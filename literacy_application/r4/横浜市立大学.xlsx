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defaultThemeVersion="124226"/>
  <mc:AlternateContent xmlns:mc="http://schemas.openxmlformats.org/markup-compatibility/2006">
    <mc:Choice Requires="x15">
      <x15ac:absPath xmlns:x15ac="http://schemas.microsoft.com/office/spreadsheetml/2010/11/ac" url="\\jimu-nas\教育推進課\02教務担当\教務共有\共有フォルダ（使用項目）\P-2：文科省GP\八景申請GP007-1：R3-：数理･データサイエンス・AI教育プログラム認定制度(リテラシーレベル)\★23_申請書類\★文科省提出ファイル\横浜市立大学\01横浜市立大学_リテラシー\"/>
    </mc:Choice>
  </mc:AlternateContent>
  <xr:revisionPtr revIDLastSave="0" documentId="13_ncr:1_{B5735D04-1B1D-497D-AC57-FD811E547C36}" xr6:coauthVersionLast="47" xr6:coauthVersionMax="47" xr10:uidLastSave="{00000000-0000-0000-0000-000000000000}"/>
  <bookViews>
    <workbookView xWindow="11775" yWindow="240" windowWidth="13485" windowHeight="15360" tabRatio="679"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0" i="40" l="1"/>
  <c r="R14" i="40"/>
  <c r="D14" i="40"/>
  <c r="K18" i="42"/>
  <c r="K16" i="42"/>
  <c r="K15" i="42"/>
  <c r="K9" i="42"/>
  <c r="K8" i="42"/>
  <c r="K7" i="42"/>
  <c r="K113" i="41"/>
  <c r="K91" i="41"/>
  <c r="K69" i="41"/>
  <c r="K46"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I29" i="41"/>
  <c r="C30" i="40"/>
  <c r="Q14" i="40"/>
  <c r="Q13" i="40"/>
  <c r="R13" i="40" s="1"/>
  <c r="Q12" i="40"/>
  <c r="R12" i="40" s="1"/>
  <c r="Q11" i="40"/>
  <c r="R11" i="40" s="1"/>
  <c r="Q10" i="40"/>
  <c r="Q30" i="40" l="1"/>
  <c r="R30" i="40" s="1"/>
  <c r="C28" i="41" s="1"/>
  <c r="R10" i="40"/>
</calcChain>
</file>

<file path=xl/sharedStrings.xml><?xml version="1.0" encoding="utf-8"?>
<sst xmlns="http://schemas.openxmlformats.org/spreadsheetml/2006/main" count="462" uniqueCount="224">
  <si>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</si>
  <si>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</si>
  <si>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</si>
  <si>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</si>
  <si>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</si>
  <si>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</si>
  <si>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</si>
  <si>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</si>
  <si>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</si>
  <si>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</si>
  <si>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</si>
  <si>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</si>
  <si>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</si>
  <si>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</si>
  <si>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</si>
  <si>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</si>
  <si>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</si>
  <si>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</si>
  <si>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</si>
  <si>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</si>
  <si>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</si>
  <si>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</si>
  <si>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</si>
  <si>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</si>
  <si>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</si>
  <si>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</si>
  <si>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</si>
  <si>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</si>
  <si>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</si>
  <si>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</si>
  <si>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</si>
  <si>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</si>
  <si>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</si>
  <si>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</si>
  <si>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</si>
  <si>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</si>
  <si>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</si>
  <si>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</si>
  <si>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</si>
  <si>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</si>
  <si>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</si>
  <si>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</si>
  <si>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</si>
  <si>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</si>
  <si>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</si>
  <si>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</si>
  <si>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</si>
  <si>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</si>
  <si>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</si>
  <si>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</si>
  <si>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</si>
  <si>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</si>
  <si>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</si>
  <si>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</si>
  <si>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</si>
  <si>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</si>
  <si>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</si>
  <si>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</si>
  <si>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</si>
  <si>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</si>
  <si>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</si>
  <si>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</si>
  <si>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</si>
  <si>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</si>
  <si>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</si>
  <si>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</si>
  <si>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</si>
  <si>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</si>
  <si>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</si>
  <si>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</si>
  <si>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</si>
  <si>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</si>
  <si>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</si>
  <si>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</si>
  <si>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</si>
  <si>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</si>
  <si>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</si>
  <si>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</si>
  <si>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</si>
  <si>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</si>
  <si>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</si>
  <si>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</si>
  <si>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</si>
  <si>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</si>
  <si>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</si>
  <si>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</si>
  <si>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</si>
  <si>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</si>
  <si>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</si>
  <si>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</si>
  <si>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</si>
  <si>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</si>
  <si>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</si>
  <si>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</si>
  <si>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</si>
  <si>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</si>
  <si>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</si>
  <si>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</si>
  <si>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</si>
  <si>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</si>
  <si>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</si>
  <si>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</si>
  <si>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</si>
  <si>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</si>
  <si>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</si>
  <si>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</si>
  <si>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</si>
  <si>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</si>
  <si>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</si>
  <si>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</si>
  <si>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</si>
  <si>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</si>
  <si>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</si>
  <si>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</si>
  <si>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</si>
  <si>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</si>
  <si>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</si>
  <si>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</si>
  <si>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</si>
  <si>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</si>
  <si>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</si>
  <si>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</si>
  <si>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</si>
  <si>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</si>
  <si>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</si>
  <si>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</si>
  <si>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</si>
  <si>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</si>
  <si>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</si>
  <si>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</si>
  <si>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</si>
  <si>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</si>
  <si>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</si>
  <si>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</si>
  <si>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</si>
  <si>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</si>
  <si>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</si>
  <si>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</si>
  <si>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</si>
  <si>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</si>
  <si>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</si>
  <si>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</si>
  <si>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</si>
  <si>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</si>
  <si>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</si>
  <si>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</si>
  <si>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</si>
  <si>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</si>
  <si>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横浜市立大学</t>
    <rPh sb="0" eb="6">
      <t>ヨコハマシリツダイガク</t>
    </rPh>
    <phoneticPr fontId="1"/>
  </si>
  <si>
    <t>公立大学</t>
  </si>
  <si>
    <t>神奈川県横浜市金沢区瀬戸２２－２</t>
    <rPh sb="0" eb="4">
      <t>カナガワケン</t>
    </rPh>
    <rPh sb="4" eb="10">
      <t>ヨコハマシカナザワク</t>
    </rPh>
    <rPh sb="10" eb="12">
      <t>セト</t>
    </rPh>
    <phoneticPr fontId="1"/>
  </si>
  <si>
    <t>ADEPTプログラム</t>
    <phoneticPr fontId="1"/>
  </si>
  <si>
    <t>中條　祐介</t>
    <rPh sb="0" eb="2">
      <t>ナカジョウ</t>
    </rPh>
    <rPh sb="3" eb="5">
      <t>ユウスケ</t>
    </rPh>
    <phoneticPr fontId="1"/>
  </si>
  <si>
    <t>山崎　眞見</t>
    <phoneticPr fontId="1"/>
  </si>
  <si>
    <t>ADEPTプログラム管理部会</t>
    <phoneticPr fontId="1"/>
  </si>
  <si>
    <t>認定教育プログラム</t>
  </si>
  <si>
    <t>学務・教務部　教育推進課　学術企画担当</t>
    <rPh sb="0" eb="2">
      <t>ガクム</t>
    </rPh>
    <rPh sb="3" eb="6">
      <t>キョウムブ</t>
    </rPh>
    <rPh sb="7" eb="12">
      <t>キョウイクスイシンカ</t>
    </rPh>
    <rPh sb="13" eb="19">
      <t>ガクジュツキカクタントウ</t>
    </rPh>
    <phoneticPr fontId="1"/>
  </si>
  <si>
    <t>様式２－１</t>
    <phoneticPr fontId="1"/>
  </si>
  <si>
    <t>学部・学科によって、修了要件は相違しない</t>
  </si>
  <si>
    <t>国際教養学部</t>
    <rPh sb="0" eb="6">
      <t>コクサイキョウヨウガクブ</t>
    </rPh>
    <phoneticPr fontId="1"/>
  </si>
  <si>
    <t>国際商学部</t>
    <rPh sb="0" eb="5">
      <t>コクサイショウガクブ</t>
    </rPh>
    <phoneticPr fontId="1"/>
  </si>
  <si>
    <t>理学部</t>
    <rPh sb="0" eb="3">
      <t>リガクブ</t>
    </rPh>
    <phoneticPr fontId="1"/>
  </si>
  <si>
    <t>データサイエンス学部</t>
    <rPh sb="8" eb="10">
      <t>ガクブ</t>
    </rPh>
    <phoneticPr fontId="1"/>
  </si>
  <si>
    <t>医学部</t>
    <rPh sb="0" eb="3">
      <t>イガクブ</t>
    </rPh>
    <phoneticPr fontId="1"/>
  </si>
  <si>
    <t>総合講義（データサイエンス入門）</t>
    <rPh sb="0" eb="4">
      <t>ソウゴウコウギ</t>
    </rPh>
    <rPh sb="13" eb="15">
      <t>ニュウモン</t>
    </rPh>
    <phoneticPr fontId="1"/>
  </si>
  <si>
    <t>公立大学法人横浜市立大学</t>
    <rPh sb="0" eb="6">
      <t>コウリツダイガクホウジン</t>
    </rPh>
    <rPh sb="6" eb="12">
      <t>ヨコハマシリツダイガク</t>
    </rPh>
    <phoneticPr fontId="1"/>
  </si>
  <si>
    <t>総合講義（企業家に学ぶ）</t>
    <rPh sb="0" eb="4">
      <t>ソウゴウコウギ</t>
    </rPh>
    <rPh sb="5" eb="8">
      <t>キギョウカ</t>
    </rPh>
    <rPh sb="9" eb="10">
      <t>マナ</t>
    </rPh>
    <phoneticPr fontId="1"/>
  </si>
  <si>
    <t>プログラミング基礎</t>
    <rPh sb="7" eb="9">
      <t>キソ</t>
    </rPh>
    <phoneticPr fontId="1"/>
  </si>
  <si>
    <t>ビジネス統計Ⅰ</t>
    <rPh sb="4" eb="6">
      <t>トウケイ</t>
    </rPh>
    <phoneticPr fontId="1"/>
  </si>
  <si>
    <t>課題探究科目（データサイエンス・リテラシー１）</t>
    <rPh sb="0" eb="6">
      <t>カダイタンキュウカモク</t>
    </rPh>
    <phoneticPr fontId="1"/>
  </si>
  <si>
    <t>社会調査法入門</t>
    <rPh sb="0" eb="7">
      <t>シャカイチョウサホウニュウモン</t>
    </rPh>
    <phoneticPr fontId="1"/>
  </si>
  <si>
    <t>情報倫理</t>
    <rPh sb="0" eb="4">
      <t>ジョウホウリンリ</t>
    </rPh>
    <phoneticPr fontId="1"/>
  </si>
  <si>
    <t>全学開講</t>
  </si>
  <si>
    <t>○</t>
  </si>
  <si>
    <t>データ分析基礎</t>
    <rPh sb="3" eb="7">
      <t>ブンセキキソ</t>
    </rPh>
    <phoneticPr fontId="1"/>
  </si>
  <si>
    <t>ビジネス統計Ⅰ</t>
    <rPh sb="4" eb="7">
      <t>トウケイ1</t>
    </rPh>
    <phoneticPr fontId="1"/>
  </si>
  <si>
    <t>ビジネス統計Ⅱ</t>
    <rPh sb="4" eb="6">
      <t>トウケイ</t>
    </rPh>
    <phoneticPr fontId="1"/>
  </si>
  <si>
    <t>課題探究科目（データサイエンス・リテラシー２）</t>
    <rPh sb="0" eb="6">
      <t>カダイタンキュウカモク</t>
    </rPh>
    <phoneticPr fontId="1"/>
  </si>
  <si>
    <t>基礎物理学実験</t>
    <rPh sb="0" eb="7">
      <t>キソブツリガクジッケン</t>
    </rPh>
    <phoneticPr fontId="1"/>
  </si>
  <si>
    <t>課題探究科目（データサイエンス・リテラシー１）</t>
    <phoneticPr fontId="1"/>
  </si>
  <si>
    <t>課題探究科目（データサイエンス・リテラシー２）</t>
    <phoneticPr fontId="1"/>
  </si>
  <si>
    <t>情報コミュニケーション入門/情報リメディアル</t>
    <rPh sb="0" eb="2">
      <t>ジョウホウ</t>
    </rPh>
    <rPh sb="11" eb="13">
      <t>ニュウモン</t>
    </rPh>
    <rPh sb="14" eb="16">
      <t>ジョウホウ</t>
    </rPh>
    <phoneticPr fontId="1"/>
  </si>
  <si>
    <t>1/0</t>
    <phoneticPr fontId="1"/>
  </si>
  <si>
    <t>現代における情報化社会において、数理・データサイエンス・ＡＩを日常の生活、仕事等の場で使いこなすことができる基礎的素養を身に付けることが重要となっている。
本プログラムでは、様々な分野，社会におけるデータ・AIの活用についての現状や、データを扱う上での留意事項等について理解するとともに、修得した知識・技能を基に、人間中心とした適切な判断ができ、自らの意志でデータやＡＩ技術を有効かつ、安全に活用することができる素養を身に付けることができる。</t>
    <rPh sb="130" eb="131">
      <t>トウ</t>
    </rPh>
    <phoneticPr fontId="1"/>
  </si>
  <si>
    <t>星野　高宏</t>
    <phoneticPr fontId="1"/>
  </si>
  <si>
    <t>045-787-8944</t>
    <phoneticPr fontId="1"/>
  </si>
  <si>
    <t>acaplan@yokohama-cu.ac.jp</t>
    <phoneticPr fontId="1"/>
  </si>
  <si>
    <t>https://www.yokohama-cu.ac.jp/univ/activity/people_development/index.html</t>
    <phoneticPr fontId="1"/>
  </si>
  <si>
    <t>令和3</t>
    <rPh sb="0" eb="2">
      <t>レイワ</t>
    </rPh>
    <phoneticPr fontId="1"/>
  </si>
  <si>
    <t>有</t>
  </si>
  <si>
    <t>・コンピュータと社会「情報コミュニケーション入門」（ 1回目）
・ビッグデータ，データを起点としたものの見方、データを起点としたものの見方、人間の知的活動を起点としたものの見方、AI、データ量の増加、計算機の処理性能の向上、AIの非連続的進化、人間の知的活動とAIの関係性、計算機の処理速度の向上、「総合講義（データサイエンス入門）」（1～3，5～14回目）</t>
    <rPh sb="11" eb="13">
      <t>ジョウホウ</t>
    </rPh>
    <rPh sb="22" eb="24">
      <t>ニュウモン</t>
    </rPh>
    <rPh sb="28" eb="30">
      <t>カイメ</t>
    </rPh>
    <rPh sb="150" eb="154">
      <t>ソウゴウコウギ</t>
    </rPh>
    <rPh sb="163" eb="165">
      <t>ニュウモン</t>
    </rPh>
    <rPh sb="176" eb="178">
      <t>カイメ</t>
    </rPh>
    <phoneticPr fontId="1"/>
  </si>
  <si>
    <t>・AI最新技術の活用例（深層生成モデル、敵対的生成ネットワーク、強化学習、転移学習、分析データ蓄積・処理の技術進化Google誕生によるビッグデータ時代の到来「総合講義（データサイエンス入門）」（5，12回目）
・新しいテクノロジーの社会実装（データやAI活用によるビジネスを含む）「総合講義（企業家に学ぶ）」（2～14回）</t>
    <rPh sb="80" eb="84">
      <t>ソウゴウコウギ</t>
    </rPh>
    <rPh sb="93" eb="95">
      <t>ニュウモン</t>
    </rPh>
    <rPh sb="102" eb="104">
      <t>カイメ</t>
    </rPh>
    <phoneticPr fontId="1"/>
  </si>
  <si>
    <t>・データ作成、情報化社会のあゆみと法制度と情報倫理、調査データ、実験データ「情報倫理」（2，14，15回目）
・社会調査の種類、社会で活用されているデータ（政策・制度づくり、計画策定、社会福祉サービス利用の判断支援など）
1次データ、2次データ、データのメタ化、構造データ、非構造化データ（文章、画像、音声・音楽など）、データの作成、データのオープン化（オープンデータ）「社会調査法入門」（2回目）</t>
    <rPh sb="4" eb="6">
      <t>サクセイ</t>
    </rPh>
    <rPh sb="26" eb="28">
      <t>チョウサ</t>
    </rPh>
    <rPh sb="32" eb="34">
      <t>ジッケン</t>
    </rPh>
    <rPh sb="38" eb="42">
      <t>ジョウホウリンリ</t>
    </rPh>
    <rPh sb="51" eb="53">
      <t>カイメ</t>
    </rPh>
    <rPh sb="56" eb="60">
      <t>シャカイチョウサ</t>
    </rPh>
    <rPh sb="61" eb="63">
      <t>シュルイ</t>
    </rPh>
    <rPh sb="186" eb="193">
      <t>シャカイチョウサホウニュウモン</t>
    </rPh>
    <rPh sb="196" eb="198">
      <t>カイメ</t>
    </rPh>
    <phoneticPr fontId="1"/>
  </si>
  <si>
    <t>・研究開発，仮説検証，原因究明，計画策定，調達，製造，物流，販売，マーケティング，サービス，判断支援，活動代替，新規生成，「総合講義（データサイエンス入門）」（1～14回目）
・統計的仮説検定の考え方「課題探究科目（データサイエンス・リテラシー１）」（13回目）
・現代社会におけるプログラミング事情，シミュレーションの方法「プログラミング基礎」（2，13回目）</t>
    <rPh sb="101" eb="107">
      <t>カダイタンキュウカモク</t>
    </rPh>
    <rPh sb="128" eb="130">
      <t>カイメ</t>
    </rPh>
    <rPh sb="170" eb="172">
      <t>キソ</t>
    </rPh>
    <rPh sb="178" eb="180">
      <t>カイメ</t>
    </rPh>
    <phoneticPr fontId="1"/>
  </si>
  <si>
    <t>・図形処理（データの可視化，アニメーション表現），プログラミング総論（プログラムの役割，プログラミング言語の種類，開発環境）「プログラミング基礎」（2～14回目）
・社会調査のデザイン、データの解析や可視化を含む全体の流れ，構造データ、非構造化データ（文章、画像、音声・音楽など）「社会調査法入門」（4回目）
・グラフ機能，データベース機能，オープンデータの利用，計算の表現「情報コミュニケーション入門」（6～10回目）</t>
    <rPh sb="21" eb="23">
      <t>ヒョウゲン</t>
    </rPh>
    <rPh sb="70" eb="72">
      <t>キソ</t>
    </rPh>
    <rPh sb="78" eb="80">
      <t>カイメ</t>
    </rPh>
    <rPh sb="141" eb="148">
      <t>シャカイチョウサホウニュウモン</t>
    </rPh>
    <rPh sb="151" eb="153">
      <t>カイメ</t>
    </rPh>
    <rPh sb="159" eb="161">
      <t>キノウ</t>
    </rPh>
    <rPh sb="168" eb="170">
      <t>キノウ</t>
    </rPh>
    <rPh sb="179" eb="181">
      <t>リヨウ</t>
    </rPh>
    <rPh sb="182" eb="184">
      <t>ケイサン</t>
    </rPh>
    <rPh sb="185" eb="187">
      <t>ヒョウゲン</t>
    </rPh>
    <rPh sb="188" eb="190">
      <t>ジョウホウ</t>
    </rPh>
    <rPh sb="199" eb="201">
      <t>ニュウモン</t>
    </rPh>
    <rPh sb="207" eb="209">
      <t>カイメ</t>
    </rPh>
    <phoneticPr fontId="1"/>
  </si>
  <si>
    <t>・社会調査のサイクル（課題抽出と定式化、データの取得、管理、加工、解析、結果の共有、課題解決に向けた提案）「社会調査法入門」（3回目）
・流通，金融，インフラ，公共，ヘルスケア等におけるデータ・AI利活用事例紹，「総合講義（データサイエンス入門）」（1～14回目）</t>
    <rPh sb="54" eb="61">
      <t>シャカイチョウサホウニュウモン</t>
    </rPh>
    <rPh sb="64" eb="66">
      <t>カイメ</t>
    </rPh>
    <phoneticPr fontId="1"/>
  </si>
  <si>
    <t>・情報セキュリティの三要素の法制度の概要、完全性(integrity)、機密性(confidentiality)、可用性(availability)、情報モラル（ネチケット）、メディアリテラシー、サイバー犯罪、サイバーセキュリティ法制の概要「情報倫理」（1～15回目）
・情報漏洩等によるセキュリティ事故の事例紹介「総合講義（データサイエンス入門）」（4回目）</t>
    <rPh sb="75" eb="77">
      <t>ジョウホウ</t>
    </rPh>
    <rPh sb="102" eb="104">
      <t>ハンザイ</t>
    </rPh>
    <rPh sb="115" eb="117">
      <t>ホウセイ</t>
    </rPh>
    <rPh sb="118" eb="120">
      <t>ガイヨウ</t>
    </rPh>
    <rPh sb="121" eb="125">
      <t>ジョウホウリンリ</t>
    </rPh>
    <rPh sb="131" eb="133">
      <t>カイメ</t>
    </rPh>
    <rPh sb="158" eb="162">
      <t>ソウゴウコウギ</t>
    </rPh>
    <rPh sb="171" eb="173">
      <t>ニュウモン</t>
    </rPh>
    <rPh sb="177" eb="179">
      <t>カイメ</t>
    </rPh>
    <phoneticPr fontId="1"/>
  </si>
  <si>
    <t>・時系列データ、分布の形・中心・散らばり、2つのデータの関係性（量的・質的データ）「ビジネス統計Ⅰ」（2～7回目）
・データの種類、データのばらつき「基礎物理学実験」（1回目）
・様々なデータの種類と種類に応じたデータの処理方法、データ取得の方法(調査)、統計量を用いたデータ記述の方法、 相関関係と因果関係「課題探究科目（データサイエンス・リテラシー１）」（2，4，8，9，11回目）</t>
    <rPh sb="1" eb="4">
      <t>ジケイレツ</t>
    </rPh>
    <rPh sb="8" eb="10">
      <t>ブンプ</t>
    </rPh>
    <rPh sb="11" eb="12">
      <t>カタチ</t>
    </rPh>
    <rPh sb="13" eb="15">
      <t>チュウシン</t>
    </rPh>
    <rPh sb="16" eb="17">
      <t>チ</t>
    </rPh>
    <rPh sb="28" eb="31">
      <t>カンケイセイ</t>
    </rPh>
    <rPh sb="32" eb="34">
      <t>リョウテキ</t>
    </rPh>
    <rPh sb="35" eb="37">
      <t>シツテキ</t>
    </rPh>
    <rPh sb="46" eb="48">
      <t>トウケイ</t>
    </rPh>
    <rPh sb="54" eb="56">
      <t>カイメ</t>
    </rPh>
    <rPh sb="63" eb="65">
      <t>シュルイ</t>
    </rPh>
    <rPh sb="75" eb="82">
      <t>キソブツリガクジッケン</t>
    </rPh>
    <rPh sb="85" eb="87">
      <t>カイメ</t>
    </rPh>
    <rPh sb="155" eb="161">
      <t>カダイタンキュウカモク</t>
    </rPh>
    <rPh sb="190" eb="192">
      <t>カイメ</t>
    </rPh>
    <phoneticPr fontId="1"/>
  </si>
  <si>
    <t>・質的データを表やグラフに表現し、情報を整理する「課題探究科目（データサイエンス・リテラシー１）」（6，7回目）
・「課題探究科目（データサイエンス・リテラシー２）」（4，5回目）
・多変量データの分析（相関関係，回帰分析の基礎，可視化，質的情報の処理，クロス集計）「データ分析基礎」（9，10回目）</t>
    <rPh sb="53" eb="55">
      <t>カイメ</t>
    </rPh>
    <rPh sb="119" eb="123">
      <t>シツテキジョウホウ</t>
    </rPh>
    <rPh sb="124" eb="126">
      <t>ショリ</t>
    </rPh>
    <rPh sb="130" eb="132">
      <t>シュウケイ</t>
    </rPh>
    <rPh sb="137" eb="141">
      <t>ブンセキキソ</t>
    </rPh>
    <rPh sb="147" eb="149">
      <t>カイメ</t>
    </rPh>
    <phoneticPr fontId="1"/>
  </si>
  <si>
    <t>・測定システムを構築し電流や温度を制御する、電圧を定期的に測定「基礎物理学実験」（3，4回目）
・変数間の相関関係、 変数間の相関関係「課題探究科目（データサイエンス・リテラシー２）」（2，3，8，9回目）
・二項分布、正規分布、標準正規分布「ビジネス統計Ⅰ」（11～13回目）
・母集団と標本、正規分布、仮説検定、回帰分析「ビジネス統計Ⅱ」（2～14回）</t>
    <rPh sb="32" eb="39">
      <t>キソブツリガクジッケン</t>
    </rPh>
    <rPh sb="44" eb="46">
      <t>カイメ</t>
    </rPh>
    <rPh sb="99" eb="101">
      <t>カイメ</t>
    </rPh>
    <rPh sb="109" eb="113">
      <t>セイキブンプ</t>
    </rPh>
    <rPh sb="114" eb="120">
      <t>ヒョウジュンセイキブンプ</t>
    </rPh>
    <rPh sb="125" eb="128">
      <t>トウケイ1</t>
    </rPh>
    <rPh sb="135" eb="137">
      <t>カイメ</t>
    </rPh>
    <rPh sb="144" eb="146">
      <t>ヒョウホン</t>
    </rPh>
    <rPh sb="147" eb="151">
      <t>セイキブンプ</t>
    </rPh>
    <rPh sb="152" eb="156">
      <t>カセツケンテイ</t>
    </rPh>
    <rPh sb="157" eb="161">
      <t>カイキブンセキ</t>
    </rPh>
    <rPh sb="175" eb="176">
      <t>カイ</t>
    </rPh>
    <phoneticPr fontId="1"/>
  </si>
  <si>
    <t>高等教育に関する全学的な戦略及び方針策定を行い、実施、推進するため、高等教育推進センターを設置（令和4年度）。データ思考にかかる教育推進に関する事項を含め、全学的な方針及び戦略の策定を所掌する。
（なお、令和3年度までは「データサイエンス推進センター」にてデータ思考に係る教育の方針決定を所掌していたが、高等教育推進センターの設置に伴い発展的に解消、移行された）</t>
    <rPh sb="45" eb="47">
      <t>セッチ</t>
    </rPh>
    <rPh sb="48" eb="50">
      <t>レイワ</t>
    </rPh>
    <rPh sb="51" eb="53">
      <t>ネンド</t>
    </rPh>
    <rPh sb="64" eb="66">
      <t>キョウイク</t>
    </rPh>
    <rPh sb="72" eb="74">
      <t>ジコウ</t>
    </rPh>
    <rPh sb="75" eb="76">
      <t>フク</t>
    </rPh>
    <rPh sb="102" eb="104">
      <t>レイワ</t>
    </rPh>
    <rPh sb="105" eb="107">
      <t>ネンド</t>
    </rPh>
    <rPh sb="119" eb="121">
      <t>スイシン</t>
    </rPh>
    <rPh sb="131" eb="133">
      <t>シコウ</t>
    </rPh>
    <rPh sb="134" eb="135">
      <t>カカ</t>
    </rPh>
    <rPh sb="136" eb="138">
      <t>キョウイク</t>
    </rPh>
    <rPh sb="139" eb="141">
      <t>ホウシン</t>
    </rPh>
    <rPh sb="141" eb="143">
      <t>ケッテイ</t>
    </rPh>
    <rPh sb="144" eb="146">
      <t>ショショウ</t>
    </rPh>
    <rPh sb="152" eb="158">
      <t>コウトウキョウイクスイシン</t>
    </rPh>
    <rPh sb="163" eb="165">
      <t>セッチ</t>
    </rPh>
    <rPh sb="166" eb="167">
      <t>トモナ</t>
    </rPh>
    <rPh sb="168" eb="171">
      <t>ハッテンテキ</t>
    </rPh>
    <rPh sb="172" eb="174">
      <t>カイショウ</t>
    </rPh>
    <rPh sb="175" eb="177">
      <t>イコウ</t>
    </rPh>
    <phoneticPr fontId="1"/>
  </si>
  <si>
    <t>高等教育推進センター長　中條祐介（副学長）
高等教育推進副センター長　本多尚（共通教養長）、船越健悟（医学部教授）、小林謙一（学務・教務部長）
教育開発部門長（データ思考教育に関する開発を含む）　中條祐介（副学長）
※なお、具体的なプログラムの構築・改善に際しては、「数理・データサイエンス・AI教育プログラム（リテラシーレベル）」のプログラム担当教員により構成されるワーキング「ADEPTプログラムWG」を定期的に開催し協議している。
＜構成員＞
ADEPTプログラム　ワーキング長　山崎　眞見（データサイエンス学部長）
※併せて、全学共通の学部横断プログラムのため、全学部長が参加する「共通教養会議（年4-5回実施）」でも方針の共有および意見交換が行われている。
＜構成員＞
共通教養長：本多尚、全学部長、共通教養教育の学科代表者等</t>
    <rPh sb="10" eb="11">
      <t>チョウ</t>
    </rPh>
    <rPh sb="12" eb="14">
      <t>ナカジョウ</t>
    </rPh>
    <rPh sb="14" eb="16">
      <t>ユウスケ</t>
    </rPh>
    <rPh sb="17" eb="20">
      <t>フクガクチョウ</t>
    </rPh>
    <rPh sb="28" eb="29">
      <t>フク</t>
    </rPh>
    <rPh sb="35" eb="37">
      <t>ホンダ</t>
    </rPh>
    <rPh sb="37" eb="38">
      <t>ヒサシ</t>
    </rPh>
    <rPh sb="39" eb="44">
      <t>キョウツウキョウヨウチョウ</t>
    </rPh>
    <rPh sb="46" eb="48">
      <t>フナコシ</t>
    </rPh>
    <rPh sb="48" eb="49">
      <t>ケン</t>
    </rPh>
    <rPh sb="49" eb="50">
      <t>サトル</t>
    </rPh>
    <rPh sb="51" eb="56">
      <t>イガクブキョウジュ</t>
    </rPh>
    <rPh sb="58" eb="60">
      <t>コバヤシ</t>
    </rPh>
    <rPh sb="60" eb="62">
      <t>ケンイチ</t>
    </rPh>
    <rPh sb="63" eb="65">
      <t>ガクム</t>
    </rPh>
    <rPh sb="66" eb="70">
      <t>キョウムブチョウ</t>
    </rPh>
    <rPh sb="78" eb="79">
      <t>チョウ</t>
    </rPh>
    <rPh sb="83" eb="85">
      <t>シコウ</t>
    </rPh>
    <rPh sb="85" eb="87">
      <t>キョウイク</t>
    </rPh>
    <rPh sb="88" eb="89">
      <t>カン</t>
    </rPh>
    <rPh sb="91" eb="93">
      <t>カイハツ</t>
    </rPh>
    <rPh sb="94" eb="95">
      <t>フク</t>
    </rPh>
    <rPh sb="113" eb="116">
      <t>グタイテキ</t>
    </rPh>
    <rPh sb="123" eb="125">
      <t>コウチク</t>
    </rPh>
    <rPh sb="126" eb="128">
      <t>カイゼン</t>
    </rPh>
    <rPh sb="129" eb="130">
      <t>サイ</t>
    </rPh>
    <rPh sb="173" eb="175">
      <t>タントウ</t>
    </rPh>
    <rPh sb="175" eb="177">
      <t>キョウイン</t>
    </rPh>
    <rPh sb="180" eb="182">
      <t>コウセイ</t>
    </rPh>
    <rPh sb="205" eb="208">
      <t>テイキテキ</t>
    </rPh>
    <rPh sb="209" eb="211">
      <t>カイサイ</t>
    </rPh>
    <rPh sb="212" eb="214">
      <t>キョウギ</t>
    </rPh>
    <rPh sb="221" eb="224">
      <t>コウセイイン</t>
    </rPh>
    <rPh sb="242" eb="243">
      <t>チョウ</t>
    </rPh>
    <rPh sb="258" eb="261">
      <t>ガクブチョウ</t>
    </rPh>
    <rPh sb="264" eb="265">
      <t>アワ</t>
    </rPh>
    <rPh sb="268" eb="270">
      <t>ゼンガク</t>
    </rPh>
    <rPh sb="270" eb="272">
      <t>キョウツウ</t>
    </rPh>
    <rPh sb="273" eb="275">
      <t>ガクブ</t>
    </rPh>
    <rPh sb="275" eb="277">
      <t>オウダン</t>
    </rPh>
    <rPh sb="286" eb="287">
      <t>ゼン</t>
    </rPh>
    <rPh sb="287" eb="290">
      <t>ガクブチョウ</t>
    </rPh>
    <rPh sb="291" eb="293">
      <t>サンカ</t>
    </rPh>
    <rPh sb="296" eb="298">
      <t>キョウツウ</t>
    </rPh>
    <rPh sb="298" eb="300">
      <t>キョウヨウ</t>
    </rPh>
    <rPh sb="300" eb="302">
      <t>カイギ</t>
    </rPh>
    <rPh sb="303" eb="304">
      <t>ネン</t>
    </rPh>
    <rPh sb="307" eb="308">
      <t>カイ</t>
    </rPh>
    <rPh sb="308" eb="310">
      <t>ジッシ</t>
    </rPh>
    <rPh sb="314" eb="316">
      <t>ホウシン</t>
    </rPh>
    <rPh sb="317" eb="319">
      <t>キョウユウ</t>
    </rPh>
    <rPh sb="322" eb="324">
      <t>イケン</t>
    </rPh>
    <rPh sb="324" eb="326">
      <t>コウカン</t>
    </rPh>
    <rPh sb="327" eb="328">
      <t>オコナ</t>
    </rPh>
    <rPh sb="336" eb="339">
      <t>コウセイイン</t>
    </rPh>
    <rPh sb="341" eb="343">
      <t>キョウツウ</t>
    </rPh>
    <rPh sb="343" eb="345">
      <t>キョウヨウ</t>
    </rPh>
    <rPh sb="345" eb="346">
      <t>チョウ</t>
    </rPh>
    <rPh sb="347" eb="349">
      <t>ホンダ</t>
    </rPh>
    <rPh sb="349" eb="350">
      <t>ナオ</t>
    </rPh>
    <rPh sb="351" eb="352">
      <t>ゼン</t>
    </rPh>
    <rPh sb="352" eb="355">
      <t>ガクブチョウ</t>
    </rPh>
    <rPh sb="356" eb="358">
      <t>キョウツウ</t>
    </rPh>
    <rPh sb="358" eb="360">
      <t>キョウヨウ</t>
    </rPh>
    <rPh sb="360" eb="362">
      <t>キョウイク</t>
    </rPh>
    <rPh sb="363" eb="365">
      <t>ガッカ</t>
    </rPh>
    <rPh sb="365" eb="367">
      <t>ダイヒョウ</t>
    </rPh>
    <rPh sb="367" eb="368">
      <t>シャ</t>
    </rPh>
    <rPh sb="368" eb="369">
      <t>トウ</t>
    </rPh>
    <phoneticPr fontId="1"/>
  </si>
  <si>
    <t>履修率向上によって目標履修者数を達成するため、令和３年度より、プログラム対象科目（必修科目）について、各学部の時間割を調整し、全学部生が履修可能な時間へ配置した。
以後の取り組みにより、5年目以降には全学部生の半数以上が履修できる体制を構築する。
令和４年度以降は、履修率の向上に向けて、以下のような取組を重ねる。
（１）時間割配置の変更および工夫
（２）学生周知の徹底：新学期オリエンテーション等での周知
（３）履修指導
（４）学部単位での履修ロードマップ、履修モデルの作成
（５）全学部の年度計画化：令和４年度から「データ思考」を全学部・研究科の共通課題に位置づけ、各学部は、本プログラムを含めた年度目標を立てて自己点検評価を行う。</t>
    <rPh sb="0" eb="2">
      <t>リシュウ</t>
    </rPh>
    <rPh sb="2" eb="3">
      <t>リツ</t>
    </rPh>
    <rPh sb="3" eb="5">
      <t>コウジョウ</t>
    </rPh>
    <rPh sb="9" eb="11">
      <t>モクヒョウ</t>
    </rPh>
    <rPh sb="11" eb="13">
      <t>リシュウ</t>
    </rPh>
    <rPh sb="13" eb="14">
      <t>シャ</t>
    </rPh>
    <rPh sb="14" eb="15">
      <t>スウ</t>
    </rPh>
    <rPh sb="16" eb="18">
      <t>タッセイ</t>
    </rPh>
    <rPh sb="23" eb="25">
      <t>レイワ</t>
    </rPh>
    <rPh sb="26" eb="28">
      <t>ネンド</t>
    </rPh>
    <rPh sb="51" eb="54">
      <t>カクガクブ</t>
    </rPh>
    <rPh sb="55" eb="58">
      <t>ジカンワリ</t>
    </rPh>
    <rPh sb="59" eb="61">
      <t>チョウセイ</t>
    </rPh>
    <rPh sb="82" eb="84">
      <t>イゴ</t>
    </rPh>
    <rPh sb="85" eb="87">
      <t>トリクミ</t>
    </rPh>
    <rPh sb="92" eb="94">
      <t>ネンメ</t>
    </rPh>
    <rPh sb="94" eb="96">
      <t>イコウ</t>
    </rPh>
    <rPh sb="98" eb="99">
      <t>ゼン</t>
    </rPh>
    <rPh sb="99" eb="102">
      <t>ガクブセイ</t>
    </rPh>
    <rPh sb="103" eb="105">
      <t>ハンスウ</t>
    </rPh>
    <rPh sb="105" eb="107">
      <t>イジョウ</t>
    </rPh>
    <rPh sb="108" eb="110">
      <t>リシュウ</t>
    </rPh>
    <rPh sb="113" eb="115">
      <t>タイセイ</t>
    </rPh>
    <rPh sb="116" eb="118">
      <t>コウチク</t>
    </rPh>
    <rPh sb="123" eb="125">
      <t>レイワ</t>
    </rPh>
    <rPh sb="126" eb="128">
      <t>ネンド</t>
    </rPh>
    <rPh sb="128" eb="130">
      <t>イコウ</t>
    </rPh>
    <rPh sb="132" eb="134">
      <t>リシュウ</t>
    </rPh>
    <rPh sb="134" eb="135">
      <t>リツ</t>
    </rPh>
    <rPh sb="136" eb="138">
      <t>コウジョウ</t>
    </rPh>
    <rPh sb="139" eb="140">
      <t>ム</t>
    </rPh>
    <rPh sb="151" eb="153">
      <t>トリクミ</t>
    </rPh>
    <rPh sb="160" eb="163">
      <t>ジカンワリ</t>
    </rPh>
    <rPh sb="163" eb="165">
      <t>ハイチ</t>
    </rPh>
    <rPh sb="166" eb="168">
      <t>ヘンコウ</t>
    </rPh>
    <rPh sb="171" eb="173">
      <t>クフウ</t>
    </rPh>
    <rPh sb="177" eb="179">
      <t>ガクセイ</t>
    </rPh>
    <rPh sb="179" eb="181">
      <t>シュウチ</t>
    </rPh>
    <rPh sb="182" eb="184">
      <t>テッテイ</t>
    </rPh>
    <rPh sb="185" eb="188">
      <t>シンガッキ</t>
    </rPh>
    <rPh sb="197" eb="198">
      <t>トウ</t>
    </rPh>
    <rPh sb="200" eb="202">
      <t>シュウチ</t>
    </rPh>
    <rPh sb="214" eb="216">
      <t>ガクブ</t>
    </rPh>
    <rPh sb="216" eb="218">
      <t>タンイ</t>
    </rPh>
    <rPh sb="220" eb="222">
      <t>リシュウ</t>
    </rPh>
    <rPh sb="229" eb="231">
      <t>リシュウ</t>
    </rPh>
    <rPh sb="235" eb="237">
      <t>サクセイ</t>
    </rPh>
    <rPh sb="241" eb="244">
      <t>ゼンガクブ</t>
    </rPh>
    <rPh sb="245" eb="247">
      <t>ネンド</t>
    </rPh>
    <rPh sb="247" eb="249">
      <t>ケイカク</t>
    </rPh>
    <rPh sb="249" eb="250">
      <t>カ</t>
    </rPh>
    <phoneticPr fontId="1"/>
  </si>
  <si>
    <t>（１）オリエンテーション、説明会：在校生および新入生に本プログラムの説明・紹介を行い、プログラム登録を行うため、新入生および在校生全員が参加する学期始めの「（学部別）オリエンテーション」でプログラム説明を行うとともに、全学共通の「領域横断型プログラム説明会」でも説明対象プログラムとする。
（２）学部共通履修ガイドへのプログラム掲載（領域横断型プログラム）
（３）YCU-Portal（履修登録・シラバス）やYCU-Board（ポータル、LMS機能）等の学生利用システムへの情報掲載
（４）大学Webサイトへの情報掲載および学生利用システムへつながるリンク掲載
（５）学部単位での履修ロードマップ、履修モデルの作成および周知：各学部毎にデータサイエンス能力獲得のための可視化を図る。
（６）ゼミにおける周知：1年次の教養ゼミ・基礎ゼミ、2年次以降の各学部ゼミ単位でも周知。</t>
    <rPh sb="37" eb="39">
      <t>ショウカイ</t>
    </rPh>
    <rPh sb="149" eb="151">
      <t>ガクブ</t>
    </rPh>
    <rPh sb="151" eb="153">
      <t>キョウツウ</t>
    </rPh>
    <rPh sb="153" eb="155">
      <t>リシュウ</t>
    </rPh>
    <rPh sb="165" eb="167">
      <t>ケイサイ</t>
    </rPh>
    <rPh sb="168" eb="170">
      <t>リョウイキ</t>
    </rPh>
    <rPh sb="170" eb="173">
      <t>オウダンガタ</t>
    </rPh>
    <rPh sb="195" eb="197">
      <t>リシュウ</t>
    </rPh>
    <rPh sb="197" eb="199">
      <t>トウロク</t>
    </rPh>
    <rPh sb="223" eb="225">
      <t>キノウ</t>
    </rPh>
    <rPh sb="227" eb="228">
      <t>トウ</t>
    </rPh>
    <rPh sb="229" eb="231">
      <t>ガクセイ</t>
    </rPh>
    <rPh sb="231" eb="233">
      <t>リヨウ</t>
    </rPh>
    <rPh sb="239" eb="241">
      <t>ジョウホウ</t>
    </rPh>
    <rPh sb="241" eb="243">
      <t>ケイサイ</t>
    </rPh>
    <rPh sb="248" eb="250">
      <t>ダイガク</t>
    </rPh>
    <rPh sb="281" eb="283">
      <t>ケイサイ</t>
    </rPh>
    <rPh sb="314" eb="316">
      <t>シュウチ</t>
    </rPh>
    <rPh sb="356" eb="358">
      <t>シュウチ</t>
    </rPh>
    <rPh sb="360" eb="362">
      <t>ネンジ</t>
    </rPh>
    <rPh sb="363" eb="365">
      <t>キョウヨウ</t>
    </rPh>
    <rPh sb="368" eb="370">
      <t>キソ</t>
    </rPh>
    <rPh sb="374" eb="376">
      <t>ネンジ</t>
    </rPh>
    <rPh sb="376" eb="378">
      <t>イコウ</t>
    </rPh>
    <rPh sb="379" eb="382">
      <t>カクガクブ</t>
    </rPh>
    <phoneticPr fontId="1"/>
  </si>
  <si>
    <t>「領域横断型　ADEPTプログラム」は、事前に参加申請を行い、プログラムを構成する「必修科目（下記１・２）」、「選択科目（下記３～１２）」から１単位以上取得した場合に、プログラム修了とする。
（１）必修科目：１．情報コミュニケーション入門/情報リメディアル、２．総合講義（データサイエンス入門）
（２）選択科目：３．総合講義（企業家に学ぶ）、４．プログラミング基礎、５．データ分析基礎、６．ビジネス統計Ⅰ、７．ビジネス統計Ⅱ、８．基礎物理学実験、９．課題探究科目（データサイエンス・リテラシー１）、10．課題探究科目（データサイエンス・リテラシー２）、11．社会調査法入門、12．情報倫理</t>
    <rPh sb="1" eb="6">
      <t>リョウイキオウダンガタ</t>
    </rPh>
    <rPh sb="20" eb="22">
      <t>ジゼン</t>
    </rPh>
    <rPh sb="23" eb="27">
      <t>サンカシンセイ</t>
    </rPh>
    <rPh sb="28" eb="29">
      <t>オコナ</t>
    </rPh>
    <rPh sb="37" eb="39">
      <t>コウセイ</t>
    </rPh>
    <rPh sb="42" eb="46">
      <t>ヒッシュウカモク</t>
    </rPh>
    <rPh sb="47" eb="49">
      <t>カキ</t>
    </rPh>
    <rPh sb="56" eb="60">
      <t>センタクカモク</t>
    </rPh>
    <rPh sb="61" eb="63">
      <t>カキ</t>
    </rPh>
    <rPh sb="72" eb="76">
      <t>タンイイジョウ</t>
    </rPh>
    <rPh sb="76" eb="78">
      <t>シュトク</t>
    </rPh>
    <rPh sb="89" eb="91">
      <t>シュウリョウ</t>
    </rPh>
    <rPh sb="99" eb="103">
      <t>ヒッシュウカモク</t>
    </rPh>
    <rPh sb="106" eb="108">
      <t>ジョウホウ</t>
    </rPh>
    <rPh sb="117" eb="119">
      <t>ニュウモン</t>
    </rPh>
    <rPh sb="120" eb="122">
      <t>ジョウホウ</t>
    </rPh>
    <rPh sb="131" eb="135">
      <t>ソウゴウコウギ</t>
    </rPh>
    <rPh sb="144" eb="146">
      <t>ニュウモン</t>
    </rPh>
    <rPh sb="151" eb="155">
      <t>センタクカモク</t>
    </rPh>
    <rPh sb="158" eb="162">
      <t>ソウゴウコウギ</t>
    </rPh>
    <rPh sb="180" eb="182">
      <t>キソ</t>
    </rPh>
    <rPh sb="188" eb="192">
      <t>ブンセキキソ</t>
    </rPh>
    <rPh sb="199" eb="201">
      <t>トウケイ</t>
    </rPh>
    <rPh sb="209" eb="211">
      <t>トウケイ</t>
    </rPh>
    <rPh sb="215" eb="222">
      <t>キソブツリガクジッケン</t>
    </rPh>
    <rPh sb="225" eb="231">
      <t>カダイタンキュウカモク</t>
    </rPh>
    <rPh sb="279" eb="286">
      <t>シャカイチョウサホウニュウモン</t>
    </rPh>
    <rPh sb="290" eb="294">
      <t>ジョウホウリンリ</t>
    </rPh>
    <phoneticPr fontId="1"/>
  </si>
  <si>
    <t>・YCU-Board（ポータル、LMS機能）、およびOffice365のTeamsなどを用いて、ICTを活用した学修支援を行う。特に、令和４年度以降は学生用LMS（YCU-Board）を全学で導入して、学習進捗の管理を行うことが可能となったため、学生のプログラム参加のモチベーション向上が期待される。</t>
    <rPh sb="44" eb="45">
      <t>モチ</t>
    </rPh>
    <rPh sb="52" eb="54">
      <t>カツヨウ</t>
    </rPh>
    <rPh sb="56" eb="58">
      <t>ガクシュウ</t>
    </rPh>
    <rPh sb="58" eb="60">
      <t>シエン</t>
    </rPh>
    <rPh sb="61" eb="62">
      <t>オコナ</t>
    </rPh>
    <rPh sb="64" eb="65">
      <t>トク</t>
    </rPh>
    <rPh sb="67" eb="69">
      <t>レイワ</t>
    </rPh>
    <rPh sb="70" eb="72">
      <t>ネンド</t>
    </rPh>
    <rPh sb="72" eb="74">
      <t>イコウ</t>
    </rPh>
    <rPh sb="75" eb="78">
      <t>ガクセイヨウ</t>
    </rPh>
    <rPh sb="93" eb="95">
      <t>ゼンガク</t>
    </rPh>
    <rPh sb="96" eb="98">
      <t>ドウニュウ</t>
    </rPh>
    <rPh sb="109" eb="110">
      <t>オコナ</t>
    </rPh>
    <rPh sb="114" eb="116">
      <t>カノウ</t>
    </rPh>
    <rPh sb="123" eb="125">
      <t>ガクセイ</t>
    </rPh>
    <rPh sb="131" eb="133">
      <t>サンカ</t>
    </rPh>
    <rPh sb="141" eb="143">
      <t>コウジョウ</t>
    </rPh>
    <rPh sb="144" eb="146">
      <t>キタイ</t>
    </rPh>
    <phoneticPr fontId="1"/>
  </si>
  <si>
    <t>・忘れられる権利、データ倫理:データのねつ造、改ざん、盗用、プライバシー保護、AI社会原則、データバイアス、AIサービスの責任論 、データ・AI活用における負の事例紹介「総合講義（データサイエンス入門）」（4回目）
・データに関する倫理やデータ・アルゴリズムの偏りを理解「課題探究科目（データサイエンス・リテラシー１）」（5回目）
・プライバシーと個人情報保護、情報化社会のあゆみと法制度と情報倫理、知的財産権と著作権の保護、サイバーセキュリティ法制の概要「情報倫理」（1～15回目）
・研究倫理について、個人情報保護、データの倫理（捏造、改ざん、盗用、プライバシー保護）、データバイアス、調査協力者の扱い「社会調査法入門」（7回目）</t>
    <rPh sb="94" eb="98">
      <t>ソウゴウコウギ</t>
    </rPh>
    <rPh sb="107" eb="109">
      <t>ニュウモン</t>
    </rPh>
    <rPh sb="113" eb="115">
      <t>カイメ</t>
    </rPh>
    <rPh sb="238" eb="242">
      <t>ジョウホウリンリ</t>
    </rPh>
    <rPh sb="248" eb="249">
      <t>カイ</t>
    </rPh>
    <rPh sb="249" eb="250">
      <t>メ</t>
    </rPh>
    <phoneticPr fontId="1"/>
  </si>
  <si>
    <t>（１）科目配置：２科目のプログラム必修科目のうち「情報コミュニケーション入門/情報リメディアル」は、正課カリキュラムでも卒業要件となる科目のため、学部生全員が履修する。
また、もう一方のプログラム必修科目「総合講義（データサイエンス入門）」は、全学部生が履修できる曜日・時限に開講するよう時間割調整を行う。（令和４年度は他科目と重複しない６時限目に開講する）併せて、希望者全員が履修できるようにオンライン開講とする。
プログラム選択科目を履修可能にするため、学部専門科目の時間割配置を変更する。
（２）オリエンテーション、説明会：在校生および新入生に本プログラムの説明・紹介を行い、プログラム登録を行うため、新入生および在校生全員が参加する学期始めの「（学部別）オリエンテーション」でプログラム説明を行うとともに、全学共通の「領域横断型プログラム説明会」でも説明対象プログラムとする。対象科目やゼミ単位でも周知を行う。
（３）履修指導：令和４年度から稼働したLMSを活用し、学生指導や学修サポート等を行い、学生のプログラム履修を促進する。</t>
    <rPh sb="3" eb="5">
      <t>カモク</t>
    </rPh>
    <rPh sb="5" eb="7">
      <t>ハイチ</t>
    </rPh>
    <rPh sb="9" eb="11">
      <t>カモク</t>
    </rPh>
    <rPh sb="17" eb="19">
      <t>ヒッシュウ</t>
    </rPh>
    <rPh sb="19" eb="21">
      <t>カモク</t>
    </rPh>
    <rPh sb="50" eb="51">
      <t>セイ</t>
    </rPh>
    <rPh sb="90" eb="92">
      <t>イッポウ</t>
    </rPh>
    <rPh sb="98" eb="100">
      <t>ヒッシュウ</t>
    </rPh>
    <rPh sb="100" eb="102">
      <t>カモク</t>
    </rPh>
    <rPh sb="122" eb="123">
      <t>ゼン</t>
    </rPh>
    <rPh sb="123" eb="126">
      <t>ガクブセイ</t>
    </rPh>
    <rPh sb="127" eb="129">
      <t>リシュウ</t>
    </rPh>
    <rPh sb="132" eb="134">
      <t>ヨウビ</t>
    </rPh>
    <rPh sb="138" eb="140">
      <t>カイコウ</t>
    </rPh>
    <rPh sb="144" eb="147">
      <t>ジカンワリ</t>
    </rPh>
    <rPh sb="147" eb="149">
      <t>チョウセイ</t>
    </rPh>
    <rPh sb="150" eb="151">
      <t>オコナ</t>
    </rPh>
    <rPh sb="154" eb="156">
      <t>レイワ</t>
    </rPh>
    <rPh sb="157" eb="159">
      <t>ネンド</t>
    </rPh>
    <rPh sb="160" eb="161">
      <t>ホカ</t>
    </rPh>
    <rPh sb="161" eb="163">
      <t>カモク</t>
    </rPh>
    <rPh sb="164" eb="166">
      <t>チョウフク</t>
    </rPh>
    <rPh sb="170" eb="173">
      <t>ジゲンメ</t>
    </rPh>
    <rPh sb="174" eb="176">
      <t>カイコウ</t>
    </rPh>
    <rPh sb="179" eb="180">
      <t>アワ</t>
    </rPh>
    <rPh sb="183" eb="186">
      <t>キボウシャ</t>
    </rPh>
    <rPh sb="186" eb="188">
      <t>ゼンイン</t>
    </rPh>
    <rPh sb="189" eb="191">
      <t>リシュウ</t>
    </rPh>
    <rPh sb="202" eb="204">
      <t>カイコウ</t>
    </rPh>
    <rPh sb="262" eb="264">
      <t>セツメイ</t>
    </rPh>
    <rPh sb="264" eb="265">
      <t>カイ</t>
    </rPh>
    <rPh sb="266" eb="269">
      <t>ザイコウセイ</t>
    </rPh>
    <rPh sb="272" eb="275">
      <t>シンニュウセイ</t>
    </rPh>
    <rPh sb="276" eb="277">
      <t>ホン</t>
    </rPh>
    <rPh sb="283" eb="285">
      <t>セツメイ</t>
    </rPh>
    <rPh sb="286" eb="288">
      <t>ショウカイ</t>
    </rPh>
    <rPh sb="289" eb="290">
      <t>オコナ</t>
    </rPh>
    <rPh sb="297" eb="299">
      <t>トウロク</t>
    </rPh>
    <rPh sb="300" eb="301">
      <t>オコナ</t>
    </rPh>
    <rPh sb="305" eb="308">
      <t>シンニュウセイ</t>
    </rPh>
    <rPh sb="311" eb="314">
      <t>ザイコウセイ</t>
    </rPh>
    <rPh sb="314" eb="315">
      <t>ゼン</t>
    </rPh>
    <rPh sb="315" eb="316">
      <t>イン</t>
    </rPh>
    <rPh sb="317" eb="319">
      <t>サンカ</t>
    </rPh>
    <rPh sb="321" eb="323">
      <t>ガッキ</t>
    </rPh>
    <rPh sb="323" eb="324">
      <t>ハジ</t>
    </rPh>
    <rPh sb="328" eb="330">
      <t>ガクブ</t>
    </rPh>
    <rPh sb="330" eb="331">
      <t>ベツ</t>
    </rPh>
    <rPh sb="351" eb="352">
      <t>オコナ</t>
    </rPh>
    <rPh sb="358" eb="360">
      <t>ゼンガク</t>
    </rPh>
    <rPh sb="360" eb="362">
      <t>キョウツウ</t>
    </rPh>
    <rPh sb="364" eb="366">
      <t>リョウイキ</t>
    </rPh>
    <rPh sb="366" eb="369">
      <t>オウダンガタ</t>
    </rPh>
    <rPh sb="374" eb="377">
      <t>セツメイカイ</t>
    </rPh>
    <rPh sb="380" eb="382">
      <t>セツメイ</t>
    </rPh>
    <rPh sb="382" eb="384">
      <t>タイショウ</t>
    </rPh>
    <phoneticPr fontId="1"/>
  </si>
  <si>
    <t>・本プログラム全般に関しては、担当事務局が学生からの質問や相談を受け付ける。
また、プログラム（科目）担当教員は、授業時間以外にも、学生から質問や相談をメール、LMSやTeamsのチャット機能などを用いて受け付けることが可能である。
・各講義内またはシラバスにおいて科目担当教員のオフィスアワー（実施場所や連絡方法）を学生へ周知し、学生からの質問等を受け付ける。</t>
    <rPh sb="1" eb="2">
      <t>ホン</t>
    </rPh>
    <rPh sb="7" eb="9">
      <t>ゼンパン</t>
    </rPh>
    <rPh sb="10" eb="11">
      <t>カン</t>
    </rPh>
    <rPh sb="15" eb="17">
      <t>タントウ</t>
    </rPh>
    <rPh sb="17" eb="20">
      <t>ジムキョク</t>
    </rPh>
    <rPh sb="21" eb="23">
      <t>ガクセイ</t>
    </rPh>
    <rPh sb="26" eb="28">
      <t>シツモン</t>
    </rPh>
    <rPh sb="29" eb="31">
      <t>ソウダン</t>
    </rPh>
    <rPh sb="32" eb="33">
      <t>ウ</t>
    </rPh>
    <rPh sb="34" eb="35">
      <t>ツ</t>
    </rPh>
    <rPh sb="57" eb="59">
      <t>ジュギョウ</t>
    </rPh>
    <rPh sb="59" eb="61">
      <t>ジカン</t>
    </rPh>
    <rPh sb="61" eb="63">
      <t>イガイ</t>
    </rPh>
    <rPh sb="94" eb="96">
      <t>キノウ</t>
    </rPh>
    <rPh sb="99" eb="100">
      <t>モチ</t>
    </rPh>
    <rPh sb="102" eb="103">
      <t>ウ</t>
    </rPh>
    <rPh sb="104" eb="105">
      <t>ツ</t>
    </rPh>
    <rPh sb="110" eb="112">
      <t>カノウ</t>
    </rPh>
    <rPh sb="119" eb="120">
      <t>カク</t>
    </rPh>
    <rPh sb="120" eb="123">
      <t>コウギナイ</t>
    </rPh>
    <rPh sb="134" eb="140">
      <t>カモクタントウキョウイン</t>
    </rPh>
    <rPh sb="149" eb="153">
      <t>ジッシバショ</t>
    </rPh>
    <rPh sb="154" eb="158">
      <t>レンラクホウホウ</t>
    </rPh>
    <rPh sb="160" eb="162">
      <t>ガクセイ</t>
    </rPh>
    <rPh sb="163" eb="165">
      <t>シュウチ</t>
    </rPh>
    <rPh sb="167" eb="169">
      <t>ガクセイ</t>
    </rPh>
    <rPh sb="172" eb="175">
      <t>シツモントウ</t>
    </rPh>
    <rPh sb="176" eb="177">
      <t>ウ</t>
    </rPh>
    <rPh sb="178" eb="179">
      <t>ツ</t>
    </rPh>
    <phoneticPr fontId="1"/>
  </si>
  <si>
    <t xml:space="preserve">ADEPTプログラムへの参加申請フォームにおいて、学生から履修予定の科目とプログラムへの参加理由を表記の上申請を受け付けることで、学生側には本プログラム履修の目的意識を付ける。また、修了申請フォームにおいては、修得した科目と学修後に得た技術や意識変化について提出させることで、学修成果の振り返りができるような運営を行う。
大学側では、学生の参加申請・修了申請の際に提出された記載内容を分析し、プログラムの改善に活用する。
また、全科目において「授業評価アンケート」を実施し、学生の理解度及び学修成果を把握する。各学部のFD・SD推進委員会にて分析結果を共有するとともに、各学部でも分析し、各科目の改善に活用するほか、その後のFD活動の課題として活用する。
</t>
    <rPh sb="76" eb="78">
      <t>リシュウ</t>
    </rPh>
    <rPh sb="84" eb="85">
      <t>ツ</t>
    </rPh>
    <rPh sb="143" eb="144">
      <t>フ</t>
    </rPh>
    <rPh sb="145" eb="146">
      <t>カエ</t>
    </rPh>
    <rPh sb="216" eb="217">
      <t>ゼン</t>
    </rPh>
    <rPh sb="217" eb="219">
      <t>カモク</t>
    </rPh>
    <rPh sb="235" eb="237">
      <t>ジッシ</t>
    </rPh>
    <rPh sb="239" eb="241">
      <t>ガクセイ</t>
    </rPh>
    <rPh sb="242" eb="244">
      <t>リカイ</t>
    </rPh>
    <rPh sb="244" eb="245">
      <t>ド</t>
    </rPh>
    <rPh sb="245" eb="246">
      <t>オヨ</t>
    </rPh>
    <rPh sb="247" eb="249">
      <t>ガクシュウ</t>
    </rPh>
    <rPh sb="249" eb="251">
      <t>セイカ</t>
    </rPh>
    <rPh sb="252" eb="254">
      <t>ハアク</t>
    </rPh>
    <rPh sb="257" eb="260">
      <t>カクガクブ</t>
    </rPh>
    <rPh sb="266" eb="268">
      <t>スイシン</t>
    </rPh>
    <rPh sb="268" eb="271">
      <t>イインカイ</t>
    </rPh>
    <rPh sb="273" eb="275">
      <t>ブンセキ</t>
    </rPh>
    <rPh sb="275" eb="277">
      <t>ケッカ</t>
    </rPh>
    <rPh sb="278" eb="280">
      <t>キョウユウ</t>
    </rPh>
    <rPh sb="287" eb="290">
      <t>カクガクブ</t>
    </rPh>
    <rPh sb="292" eb="294">
      <t>ブンセキ</t>
    </rPh>
    <rPh sb="296" eb="299">
      <t>カクカモク</t>
    </rPh>
    <rPh sb="300" eb="302">
      <t>カイゼン</t>
    </rPh>
    <rPh sb="303" eb="305">
      <t>カツヨウ</t>
    </rPh>
    <rPh sb="312" eb="313">
      <t>ゴ</t>
    </rPh>
    <rPh sb="316" eb="318">
      <t>カツドウ</t>
    </rPh>
    <rPh sb="319" eb="321">
      <t>カダイ</t>
    </rPh>
    <rPh sb="324" eb="326">
      <t>カツヨウ</t>
    </rPh>
    <phoneticPr fontId="1"/>
  </si>
  <si>
    <t xml:space="preserve">ADEPTプログラムの修了申請において学生からのフィードバックの内容を基にプログラム参加前後での数理・データサイエンス・AIの基礎的素養に関する理解度を比較する。
全科目において実施している「授業評価アンケート」のうち「学習到達目標の達成」等の項目を分析することにより、学生の理解度及び学修成果を把握することができる。
</t>
    <rPh sb="121" eb="122">
      <t>ナド</t>
    </rPh>
    <phoneticPr fontId="1"/>
  </si>
  <si>
    <t>ADEPTプログラムへの参加、及び修了申請フォームにおける好事例や、学期毎に実施される授業評価アンケートの結果を抜粋し、受講生の声を後輩や未受講の学生に提示することで、プログラム参加を促す取組を進める。</t>
    <rPh sb="12" eb="14">
      <t>サンカ</t>
    </rPh>
    <rPh sb="15" eb="16">
      <t>オヨ</t>
    </rPh>
    <rPh sb="17" eb="21">
      <t>シュウリョウシンセイ</t>
    </rPh>
    <rPh sb="29" eb="32">
      <t>コウジレイ</t>
    </rPh>
    <rPh sb="34" eb="36">
      <t>ガッキ</t>
    </rPh>
    <rPh sb="36" eb="37">
      <t>マイ</t>
    </rPh>
    <rPh sb="38" eb="40">
      <t>ジッシ</t>
    </rPh>
    <rPh sb="43" eb="47">
      <t>ジュギョウヒョウカ</t>
    </rPh>
    <rPh sb="53" eb="55">
      <t>ケッカ</t>
    </rPh>
    <rPh sb="56" eb="58">
      <t>バッスイ</t>
    </rPh>
    <rPh sb="60" eb="62">
      <t>ジュコウ</t>
    </rPh>
    <rPh sb="62" eb="63">
      <t>セイ</t>
    </rPh>
    <rPh sb="64" eb="65">
      <t>コエ</t>
    </rPh>
    <rPh sb="66" eb="68">
      <t>コウハイ</t>
    </rPh>
    <rPh sb="69" eb="70">
      <t>ミ</t>
    </rPh>
    <rPh sb="70" eb="72">
      <t>ジュコウ</t>
    </rPh>
    <rPh sb="73" eb="75">
      <t>ガクセイ</t>
    </rPh>
    <rPh sb="76" eb="78">
      <t>テイジ</t>
    </rPh>
    <rPh sb="89" eb="91">
      <t>サンカ</t>
    </rPh>
    <rPh sb="92" eb="93">
      <t>ウナガ</t>
    </rPh>
    <rPh sb="94" eb="96">
      <t>トリクミ</t>
    </rPh>
    <rPh sb="97" eb="98">
      <t>スス</t>
    </rPh>
    <phoneticPr fontId="1"/>
  </si>
  <si>
    <t>令和３年度は、目標履修者数を達成するために、プログラム対象科目（必修科目）について、各学部の時間割を調整し、全学部生が履修可能な時間へ配置した。
令和４年度はプログラム必修科目の一つを、プログラム外の学部科目と重複しないよう６時限目に移動する。併せて、令和４年度から稼働したLMSを活用し、学生指導や学修サポート等を行い、学生のプログラム履修を促進する。
（間接的には、令和４年度から「データ思考」を全学部・研究科の取り組み課題として位置づけ、年度目標を立て、自己点検評価を行うこととなった）
また、前述のADEPTプログラムへの参加・修了申請フォームにおける好事例等の周知により、学生の参加意欲向上を促す。</t>
    <rPh sb="0" eb="2">
      <t>レイワ</t>
    </rPh>
    <rPh sb="3" eb="5">
      <t>ネンド</t>
    </rPh>
    <rPh sb="251" eb="253">
      <t>ゼンジュツ</t>
    </rPh>
    <rPh sb="266" eb="268">
      <t>サンカ</t>
    </rPh>
    <rPh sb="269" eb="271">
      <t>シュウリョウ</t>
    </rPh>
    <rPh sb="271" eb="273">
      <t>シンセイ</t>
    </rPh>
    <rPh sb="281" eb="284">
      <t>コウジレイ</t>
    </rPh>
    <rPh sb="284" eb="285">
      <t>トウ</t>
    </rPh>
    <rPh sb="286" eb="288">
      <t>シュウチ</t>
    </rPh>
    <rPh sb="292" eb="294">
      <t>ガクセイ</t>
    </rPh>
    <rPh sb="295" eb="297">
      <t>サンカ</t>
    </rPh>
    <rPh sb="297" eb="301">
      <t>イヨクコウジョウ</t>
    </rPh>
    <rPh sb="302" eb="303">
      <t>ウナガ</t>
    </rPh>
    <phoneticPr fontId="1"/>
  </si>
  <si>
    <t>本学では、卒後３年目の学生に、「卒業生アンケート」を実施しているため、今後本プログラムを修了した学生の進路や勤務先等における活用度状況等の把握が可能である。
また、本プログラムの修了者の進路についてはデータ収集を進め、協力が得られる場合には、修了者や勤務先にヒアリング等を行い、本プログラムについて外部的に評価をするしくみを構築していく。</t>
    <rPh sb="0" eb="2">
      <t>ホンガク</t>
    </rPh>
    <rPh sb="5" eb="7">
      <t>ソツゴ</t>
    </rPh>
    <rPh sb="8" eb="10">
      <t>ネンメ</t>
    </rPh>
    <rPh sb="11" eb="13">
      <t>ガクセイ</t>
    </rPh>
    <rPh sb="16" eb="19">
      <t>ソツギョウセイ</t>
    </rPh>
    <rPh sb="26" eb="28">
      <t>ジッシ</t>
    </rPh>
    <rPh sb="35" eb="37">
      <t>コンゴ</t>
    </rPh>
    <rPh sb="37" eb="38">
      <t>ホン</t>
    </rPh>
    <rPh sb="44" eb="46">
      <t>シュウリョウ</t>
    </rPh>
    <rPh sb="48" eb="50">
      <t>ガクセイ</t>
    </rPh>
    <rPh sb="51" eb="53">
      <t>シンロ</t>
    </rPh>
    <rPh sb="54" eb="57">
      <t>キンムサキ</t>
    </rPh>
    <rPh sb="57" eb="58">
      <t>トウ</t>
    </rPh>
    <rPh sb="62" eb="64">
      <t>カツヨウ</t>
    </rPh>
    <rPh sb="82" eb="83">
      <t>ホン</t>
    </rPh>
    <rPh sb="89" eb="92">
      <t>シュウリョウシャ</t>
    </rPh>
    <rPh sb="93" eb="95">
      <t>シンロ</t>
    </rPh>
    <rPh sb="103" eb="105">
      <t>シュウシュウ</t>
    </rPh>
    <rPh sb="106" eb="107">
      <t>スス</t>
    </rPh>
    <rPh sb="109" eb="111">
      <t>キョウリョク</t>
    </rPh>
    <rPh sb="112" eb="113">
      <t>エ</t>
    </rPh>
    <rPh sb="116" eb="118">
      <t>バアイ</t>
    </rPh>
    <rPh sb="121" eb="124">
      <t>シュウリョウシャ</t>
    </rPh>
    <rPh sb="125" eb="128">
      <t>キンムサキ</t>
    </rPh>
    <rPh sb="134" eb="135">
      <t>トウ</t>
    </rPh>
    <rPh sb="136" eb="137">
      <t>オコナ</t>
    </rPh>
    <rPh sb="139" eb="140">
      <t>ホン</t>
    </rPh>
    <rPh sb="149" eb="152">
      <t>ガイブテキ</t>
    </rPh>
    <phoneticPr fontId="1"/>
  </si>
  <si>
    <t>プログラム担当教員は、共同研究関係企業や包括連携協定を結ぶ企業等から広く意見を募り、その意見を収集することでプログラム改善に活用する。
今後は、大学が主催する「合同企業説明会参加企業（例年２００社前後）に対してアンケートを実施し、本学の教育プログラムの内容や、企業が本学に求める教育の意見収集を行うことも検討する。</t>
    <rPh sb="5" eb="7">
      <t>タントウ</t>
    </rPh>
    <rPh sb="7" eb="9">
      <t>キョウイン</t>
    </rPh>
    <rPh sb="11" eb="13">
      <t>キョウドウ</t>
    </rPh>
    <rPh sb="13" eb="15">
      <t>ケンキュウ</t>
    </rPh>
    <rPh sb="15" eb="17">
      <t>カンケイ</t>
    </rPh>
    <rPh sb="17" eb="19">
      <t>キギョウ</t>
    </rPh>
    <rPh sb="20" eb="22">
      <t>ホウカツ</t>
    </rPh>
    <rPh sb="22" eb="24">
      <t>レンケイ</t>
    </rPh>
    <rPh sb="24" eb="26">
      <t>キョウテイ</t>
    </rPh>
    <rPh sb="27" eb="28">
      <t>ムス</t>
    </rPh>
    <rPh sb="29" eb="31">
      <t>キギョウ</t>
    </rPh>
    <rPh sb="31" eb="32">
      <t>ナド</t>
    </rPh>
    <rPh sb="34" eb="35">
      <t>ヒロ</t>
    </rPh>
    <rPh sb="36" eb="38">
      <t>イケン</t>
    </rPh>
    <rPh sb="39" eb="40">
      <t>ツノ</t>
    </rPh>
    <rPh sb="59" eb="61">
      <t>カイゼン</t>
    </rPh>
    <rPh sb="62" eb="64">
      <t>カツヨウ</t>
    </rPh>
    <rPh sb="68" eb="70">
      <t>コンゴ</t>
    </rPh>
    <rPh sb="72" eb="74">
      <t>ダイガク</t>
    </rPh>
    <rPh sb="75" eb="77">
      <t>シュサイ</t>
    </rPh>
    <rPh sb="80" eb="82">
      <t>ゴウドウ</t>
    </rPh>
    <rPh sb="82" eb="84">
      <t>キギョウ</t>
    </rPh>
    <rPh sb="84" eb="87">
      <t>セツメイカイ</t>
    </rPh>
    <rPh sb="87" eb="89">
      <t>サンカ</t>
    </rPh>
    <rPh sb="89" eb="91">
      <t>キギョウ</t>
    </rPh>
    <rPh sb="92" eb="94">
      <t>レイネン</t>
    </rPh>
    <rPh sb="97" eb="98">
      <t>シャ</t>
    </rPh>
    <rPh sb="98" eb="100">
      <t>ゼンゴ</t>
    </rPh>
    <rPh sb="102" eb="103">
      <t>タイ</t>
    </rPh>
    <rPh sb="111" eb="113">
      <t>ジッシ</t>
    </rPh>
    <rPh sb="115" eb="117">
      <t>ホンガク</t>
    </rPh>
    <rPh sb="118" eb="120">
      <t>キョウイク</t>
    </rPh>
    <rPh sb="126" eb="128">
      <t>ナイヨウ</t>
    </rPh>
    <rPh sb="130" eb="132">
      <t>キギョウ</t>
    </rPh>
    <rPh sb="133" eb="135">
      <t>ホンガク</t>
    </rPh>
    <rPh sb="136" eb="137">
      <t>モト</t>
    </rPh>
    <rPh sb="139" eb="141">
      <t>キョウイク</t>
    </rPh>
    <rPh sb="142" eb="144">
      <t>イケン</t>
    </rPh>
    <rPh sb="144" eb="146">
      <t>シュウシュウ</t>
    </rPh>
    <rPh sb="147" eb="148">
      <t>オコナ</t>
    </rPh>
    <rPh sb="152" eb="154">
      <t>ケントウ</t>
    </rPh>
    <phoneticPr fontId="1"/>
  </si>
  <si>
    <t>全学部生の必修科目では、データを起点としたものの見方、データ量の増加とビックデータ、計算機の処理性能の向上、AIの進化、人間の知的活動とAIの関係性など、情報の進化を学びながら、リテラシーレベルに相応の内容で構成している。ADEPTプログラムの修了申請フォームの内容や学期毎の授業評価アンケートにより、内容を検証するとともに、学生の興味関心を惹きつけるテーマや事例について改善を行っている。</t>
    <rPh sb="0" eb="1">
      <t>ゼン</t>
    </rPh>
    <rPh sb="1" eb="4">
      <t>ガクブセイ</t>
    </rPh>
    <rPh sb="5" eb="7">
      <t>ヒッシュウ</t>
    </rPh>
    <rPh sb="7" eb="9">
      <t>カモク</t>
    </rPh>
    <rPh sb="77" eb="79">
      <t>ジョウホウ</t>
    </rPh>
    <rPh sb="80" eb="82">
      <t>シンカ</t>
    </rPh>
    <rPh sb="83" eb="84">
      <t>マナ</t>
    </rPh>
    <rPh sb="98" eb="100">
      <t>フサワ</t>
    </rPh>
    <rPh sb="101" eb="103">
      <t>ナイヨウ</t>
    </rPh>
    <rPh sb="104" eb="106">
      <t>コウセイ</t>
    </rPh>
    <rPh sb="122" eb="126">
      <t>シュウリョウシンセイ</t>
    </rPh>
    <rPh sb="131" eb="133">
      <t>ナイヨウ</t>
    </rPh>
    <rPh sb="134" eb="136">
      <t>ガッキ</t>
    </rPh>
    <rPh sb="136" eb="137">
      <t>マイ</t>
    </rPh>
    <rPh sb="138" eb="142">
      <t>ジュギョウヒョウカ</t>
    </rPh>
    <rPh sb="151" eb="153">
      <t>ナイヨウ</t>
    </rPh>
    <rPh sb="154" eb="156">
      <t>ケンショウ</t>
    </rPh>
    <rPh sb="163" eb="165">
      <t>ガクセイ</t>
    </rPh>
    <rPh sb="171" eb="172">
      <t>ヒ</t>
    </rPh>
    <rPh sb="180" eb="182">
      <t>ジレイ</t>
    </rPh>
    <rPh sb="186" eb="188">
      <t>カイゼン</t>
    </rPh>
    <rPh sb="189" eb="190">
      <t>オコナ</t>
    </rPh>
    <phoneticPr fontId="1"/>
  </si>
  <si>
    <t>ADEPTプログラムの修了申請フォームの内容全科目の授業評価アンケートの結果について、教学IR検討ワーキング、FD・SD委員会および各学部担当教員が分析し、次学期以降の教育改善に役立てている。併せて各学部でのFDに活用する。
令和４年度は、FD・SD委員会を通じて学生との意見交換を開催することを計画しており、「学生の立場に立った分かりやすい授業」の実施を目指す。</t>
    <rPh sb="22" eb="23">
      <t>ゼン</t>
    </rPh>
    <rPh sb="23" eb="25">
      <t>カモク</t>
    </rPh>
    <rPh sb="26" eb="28">
      <t>ジュギョウ</t>
    </rPh>
    <rPh sb="28" eb="30">
      <t>ヒョウカ</t>
    </rPh>
    <rPh sb="36" eb="38">
      <t>ケッカ</t>
    </rPh>
    <rPh sb="43" eb="45">
      <t>キョウガク</t>
    </rPh>
    <rPh sb="47" eb="49">
      <t>ケントウ</t>
    </rPh>
    <rPh sb="60" eb="63">
      <t>イインカイ</t>
    </rPh>
    <rPh sb="66" eb="69">
      <t>カクガクブ</t>
    </rPh>
    <rPh sb="69" eb="71">
      <t>タントウ</t>
    </rPh>
    <rPh sb="71" eb="73">
      <t>キョウイン</t>
    </rPh>
    <rPh sb="78" eb="79">
      <t>ジ</t>
    </rPh>
    <rPh sb="79" eb="81">
      <t>ガッキ</t>
    </rPh>
    <rPh sb="81" eb="83">
      <t>イコウ</t>
    </rPh>
    <rPh sb="84" eb="86">
      <t>キョウイク</t>
    </rPh>
    <rPh sb="86" eb="88">
      <t>カイゼン</t>
    </rPh>
    <rPh sb="89" eb="91">
      <t>ヤクダ</t>
    </rPh>
    <rPh sb="96" eb="97">
      <t>アワ</t>
    </rPh>
    <rPh sb="99" eb="102">
      <t>カクガクブ</t>
    </rPh>
    <rPh sb="107" eb="109">
      <t>カツヨウ</t>
    </rPh>
    <rPh sb="113" eb="115">
      <t>レイワ</t>
    </rPh>
    <rPh sb="116" eb="118">
      <t>ネンド</t>
    </rPh>
    <rPh sb="129" eb="130">
      <t>ツウ</t>
    </rPh>
    <rPh sb="132" eb="134">
      <t>ガクセイ</t>
    </rPh>
    <rPh sb="136" eb="138">
      <t>イケン</t>
    </rPh>
    <rPh sb="138" eb="140">
      <t>コウカン</t>
    </rPh>
    <rPh sb="141" eb="143">
      <t>カイサイ</t>
    </rPh>
    <rPh sb="148" eb="150">
      <t>ケイカク</t>
    </rPh>
    <rPh sb="156" eb="158">
      <t>ガクセイ</t>
    </rPh>
    <rPh sb="159" eb="161">
      <t>タチバ</t>
    </rPh>
    <rPh sb="162" eb="163">
      <t>タ</t>
    </rPh>
    <rPh sb="165" eb="166">
      <t>ワ</t>
    </rPh>
    <rPh sb="171" eb="173">
      <t>ジュギョウ</t>
    </rPh>
    <rPh sb="175" eb="177">
      <t>ジッシ</t>
    </rPh>
    <rPh sb="178" eb="180">
      <t>メザ</t>
    </rPh>
    <phoneticPr fontId="1"/>
  </si>
  <si>
    <t>ADEPTプログラム管理部会長</t>
    <phoneticPr fontId="1"/>
  </si>
  <si>
    <t>高等教育推進センター</t>
    <phoneticPr fontId="1"/>
  </si>
  <si>
    <t>中條　祐介</t>
    <phoneticPr fontId="1"/>
  </si>
  <si>
    <t>高等教育推進センター長</t>
    <phoneticPr fontId="1"/>
  </si>
  <si>
    <t>高等教育推進センター</t>
    <rPh sb="0" eb="2">
      <t>コウトウ</t>
    </rPh>
    <rPh sb="2" eb="4">
      <t>キョウイク</t>
    </rPh>
    <rPh sb="4" eb="6">
      <t>スイシン</t>
    </rPh>
    <phoneticPr fontId="1"/>
  </si>
  <si>
    <t>ADEPTプログラム管理部会の履修指導、修了要件の確認を経て、教育推進課において、プログラムの履修・取得状況の分析を実施し、全学部長が構成員となっている「共通教養会議」で確認の上、課題についての意見交換を行う。
国際教養学部：23人（全学部生の2％）
国際商学部：24人（全学部生の2％）
理学部：13人（全学部生の3％）
データサイエンス学部：28人（全学部生の12％）
医学部：7人（全学部生の1％）</t>
    <rPh sb="10" eb="14">
      <t>カンリブカイ</t>
    </rPh>
    <rPh sb="15" eb="19">
      <t>リシュウシドウ</t>
    </rPh>
    <rPh sb="20" eb="24">
      <t>シュウリョウヨウケン</t>
    </rPh>
    <rPh sb="25" eb="27">
      <t>カクニン</t>
    </rPh>
    <rPh sb="28" eb="29">
      <t>ヘ</t>
    </rPh>
    <rPh sb="31" eb="33">
      <t>キョウイク</t>
    </rPh>
    <rPh sb="33" eb="36">
      <t>スイシンカ</t>
    </rPh>
    <rPh sb="62" eb="65">
      <t>ゼンガクブ</t>
    </rPh>
    <rPh sb="65" eb="66">
      <t>チョウ</t>
    </rPh>
    <rPh sb="67" eb="69">
      <t>コウセイ</t>
    </rPh>
    <rPh sb="69" eb="70">
      <t>イン</t>
    </rPh>
    <rPh sb="77" eb="79">
      <t>キョウツウ</t>
    </rPh>
    <rPh sb="79" eb="81">
      <t>キョウヨウ</t>
    </rPh>
    <rPh sb="81" eb="83">
      <t>カイギ</t>
    </rPh>
    <rPh sb="85" eb="87">
      <t>カクニン</t>
    </rPh>
    <rPh sb="88" eb="89">
      <t>ウエ</t>
    </rPh>
    <rPh sb="90" eb="92">
      <t>カダイ</t>
    </rPh>
    <rPh sb="97" eb="101">
      <t>イケンコウカン</t>
    </rPh>
    <rPh sb="102" eb="103">
      <t>オコナ</t>
    </rPh>
    <rPh sb="107" eb="111">
      <t>コクサイキョウヨウ</t>
    </rPh>
    <rPh sb="111" eb="113">
      <t>ガクブ</t>
    </rPh>
    <rPh sb="116" eb="117">
      <t>ニン</t>
    </rPh>
    <rPh sb="118" eb="119">
      <t>ゼン</t>
    </rPh>
    <rPh sb="119" eb="122">
      <t>ガクブセイ</t>
    </rPh>
    <rPh sb="127" eb="130">
      <t>コクサイショウ</t>
    </rPh>
    <rPh sb="146" eb="147">
      <t>リ</t>
    </rPh>
    <rPh sb="188" eb="189">
      <t>イ</t>
    </rPh>
    <phoneticPr fontId="1"/>
  </si>
  <si>
    <t>https://www.yokohama-cu.ac.jp/univ/activity/people_development/index.html#title7</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</si>
</sst>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
      <sz val="12"/>
      <color rgb="FF7030A0"/>
      <name val="ＭＳ Ｐゴシック"/>
      <family val="2"/>
      <charset val="128"/>
      <scheme val="minor"/>
    </font>
  </fonts>
  <fills count="2">
    <fill>
      <patternFill patternType="none"/>
    </fill>
    <fill>
      <patternFill patternType="gray125"/>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top style="dashed">
        <color indexed="64"/>
      </top>
      <bottom style="thin">
        <color auto="1"/>
      </bottom>
      <diagonal/>
    </border>
    <border>
      <left/>
      <right/>
      <top style="dashed">
        <color indexed="64"/>
      </top>
      <bottom style="thin">
        <color auto="1"/>
      </bottom>
      <diagonal/>
    </border>
    <border>
      <left/>
      <right style="thin">
        <color auto="1"/>
      </right>
      <top style="dashed">
        <color indexed="64"/>
      </top>
      <bottom style="thin">
        <color auto="1"/>
      </bottom>
      <diagonal/>
    </border>
    <border>
      <left style="dashed">
        <color indexed="64"/>
      </left>
      <right style="thin">
        <color auto="1"/>
      </right>
      <top style="thin">
        <color auto="1"/>
      </top>
      <bottom style="dashed">
        <color indexed="64"/>
      </bottom>
      <diagonal/>
    </border>
    <border>
      <left/>
      <right/>
      <top style="thin">
        <color auto="1"/>
      </top>
      <bottom style="dashed">
        <color indexed="64"/>
      </bottom>
      <diagonal/>
    </border>
    <border>
      <left/>
      <right style="thin">
        <color auto="1"/>
      </right>
      <top style="thin">
        <color auto="1"/>
      </top>
      <bottom style="dashed">
        <color indexed="64"/>
      </bottom>
      <diagonal/>
    </border>
    <border>
      <left style="dashed">
        <color indexed="64"/>
      </left>
      <right style="thin">
        <color auto="1"/>
      </right>
      <top style="dashed">
        <color indexed="64"/>
      </top>
      <bottom style="thin">
        <color auto="1"/>
      </bottom>
      <diagonal/>
    </border>
    <border>
      <left style="dashed">
        <color indexed="64"/>
      </left>
      <right style="thin">
        <color auto="1"/>
      </right>
      <top style="thin">
        <color auto="1"/>
      </top>
      <bottom/>
      <diagonal/>
    </border>
    <border>
      <left style="dashed">
        <color indexed="64"/>
      </left>
      <right style="thin">
        <color auto="1"/>
      </right>
      <top/>
      <bottom style="thin">
        <color auto="1"/>
      </bottom>
      <diagonal/>
    </border>
    <border>
      <left style="dashed">
        <color indexed="64"/>
      </left>
      <right style="thin">
        <color auto="1"/>
      </right>
      <top style="dashed">
        <color indexed="64"/>
      </top>
      <bottom style="dashed">
        <color indexed="64"/>
      </bottom>
      <diagonal/>
    </border>
    <border>
      <left style="thin">
        <color auto="1"/>
      </left>
      <right/>
      <top style="dashed">
        <color indexed="64"/>
      </top>
      <bottom style="dashed">
        <color indexed="64"/>
      </bottom>
      <diagonal/>
    </border>
    <border>
      <left/>
      <right/>
      <top style="dashed">
        <color indexed="64"/>
      </top>
      <bottom style="dashed">
        <color indexed="64"/>
      </bottom>
      <diagonal/>
    </border>
    <border>
      <left/>
      <right style="thin">
        <color auto="1"/>
      </right>
      <top style="dashed">
        <color indexed="64"/>
      </top>
      <bottom style="dashed">
        <color indexed="64"/>
      </bottom>
      <diagonal/>
    </border>
    <border>
      <left style="thin">
        <color auto="1"/>
      </left>
      <right/>
      <top style="thin">
        <color auto="1"/>
      </top>
      <bottom style="dashed">
        <color indexed="64"/>
      </bottom>
      <diagonal/>
    </border>
    <border>
      <left style="thin">
        <color auto="1"/>
      </left>
      <right style="dashed">
        <color indexed="64"/>
      </right>
      <top style="thin">
        <color auto="1"/>
      </top>
      <bottom/>
      <diagonal/>
    </border>
    <border>
      <left style="thin">
        <color auto="1"/>
      </left>
      <right style="dashed">
        <color indexed="64"/>
      </right>
      <top/>
      <bottom style="thin">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43">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43" xfId="0" applyFont="1" applyBorder="1" applyAlignment="1">
      <alignment horizontal="center" vertical="center" shrinkToFit="1"/>
    </xf>
    <xf numFmtId="0" fontId="24" fillId="0" borderId="0" xfId="0" applyFont="1">
      <alignment vertical="center"/>
    </xf>
    <xf numFmtId="49" fontId="19" fillId="0" borderId="12" xfId="0" applyNumberFormat="1" applyFont="1" applyBorder="1" applyAlignment="1">
      <alignment horizontal="center" vertical="center"/>
    </xf>
    <xf numFmtId="49" fontId="19" fillId="0" borderId="54" xfId="0" applyNumberFormat="1" applyFont="1" applyBorder="1" applyAlignment="1">
      <alignment horizontal="center" vertical="center"/>
    </xf>
    <xf numFmtId="49" fontId="19" fillId="0" borderId="53" xfId="0" applyNumberFormat="1" applyFont="1" applyBorder="1" applyAlignment="1">
      <alignment horizontal="center" vertical="center"/>
    </xf>
    <xf numFmtId="49" fontId="19" fillId="0" borderId="55" xfId="0" applyNumberFormat="1" applyFont="1" applyBorder="1" applyAlignment="1">
      <alignment horizontal="center" vertical="center"/>
    </xf>
    <xf numFmtId="49" fontId="19" fillId="0" borderId="50" xfId="0" applyNumberFormat="1" applyFont="1" applyBorder="1" applyAlignment="1">
      <alignment horizontal="center" vertical="center"/>
    </xf>
    <xf numFmtId="49" fontId="19" fillId="0" borderId="56" xfId="0" applyNumberFormat="1" applyFont="1" applyBorder="1" applyAlignment="1">
      <alignment horizontal="center" vertical="center"/>
    </xf>
    <xf numFmtId="49" fontId="19" fillId="0" borderId="52" xfId="0" applyNumberFormat="1" applyFont="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6" xfId="0" applyFont="1" applyBorder="1" applyAlignment="1">
      <alignment horizontal="left" vertical="center"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Fill="1" applyBorder="1" applyAlignment="1">
      <alignment horizontal="left" vertical="center" shrinkToFit="1"/>
    </xf>
    <xf numFmtId="0" fontId="8" fillId="0" borderId="39" xfId="0" applyFont="1" applyFill="1" applyBorder="1" applyAlignment="1">
      <alignment horizontal="left" vertical="center" shrinkToFit="1"/>
    </xf>
    <xf numFmtId="0" fontId="8" fillId="0" borderId="38" xfId="0" applyFont="1" applyFill="1" applyBorder="1" applyAlignment="1">
      <alignment horizontal="left" vertical="center" shrinkToFit="1"/>
    </xf>
    <xf numFmtId="0" fontId="8" fillId="0" borderId="19" xfId="0" applyFont="1" applyFill="1" applyBorder="1" applyAlignment="1">
      <alignment horizontal="left" vertical="center" shrinkToFit="1"/>
    </xf>
    <xf numFmtId="0" fontId="8" fillId="0" borderId="20" xfId="0" applyFont="1" applyFill="1" applyBorder="1" applyAlignment="1">
      <alignment horizontal="left" vertical="center" shrinkToFit="1"/>
    </xf>
    <xf numFmtId="0" fontId="8" fillId="0" borderId="18" xfId="0" applyFont="1" applyFill="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23" fillId="0" borderId="7" xfId="0" applyFont="1" applyBorder="1" applyAlignment="1">
      <alignment vertical="center" wrapText="1" shrinkToFit="1"/>
    </xf>
    <xf numFmtId="0" fontId="23" fillId="0" borderId="8" xfId="0" applyFont="1" applyBorder="1" applyAlignment="1">
      <alignment vertical="center" wrapText="1" shrinkToFit="1"/>
    </xf>
    <xf numFmtId="0" fontId="23" fillId="0" borderId="9" xfId="0" applyFont="1" applyBorder="1" applyAlignment="1">
      <alignment vertical="center" wrapText="1" shrinkToFit="1"/>
    </xf>
    <xf numFmtId="0" fontId="23" fillId="0" borderId="5" xfId="0" applyFont="1" applyBorder="1" applyAlignment="1">
      <alignment vertical="center" wrapText="1" shrinkToFit="1"/>
    </xf>
    <xf numFmtId="0" fontId="23" fillId="0" borderId="0" xfId="0" applyFont="1" applyBorder="1" applyAlignment="1">
      <alignment vertical="center" wrapText="1" shrinkToFit="1"/>
    </xf>
    <xf numFmtId="0" fontId="23" fillId="0" borderId="10" xfId="0" applyFont="1" applyBorder="1" applyAlignment="1">
      <alignment vertical="center" wrapText="1" shrinkToFit="1"/>
    </xf>
    <xf numFmtId="0" fontId="23" fillId="0" borderId="11" xfId="0" applyFont="1" applyBorder="1" applyAlignment="1">
      <alignment vertical="center" wrapText="1" shrinkToFit="1"/>
    </xf>
    <xf numFmtId="0" fontId="23" fillId="0" borderId="6" xfId="0" applyFont="1" applyBorder="1" applyAlignment="1">
      <alignment vertical="center" wrapText="1" shrinkToFit="1"/>
    </xf>
    <xf numFmtId="0" fontId="23" fillId="0" borderId="12" xfId="0" applyFont="1" applyBorder="1" applyAlignment="1">
      <alignment vertical="center"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0" xfId="0" applyFont="1" applyBorder="1" applyAlignment="1">
      <alignment horizontal="left" vertical="center" wrapText="1" shrinkToFit="1"/>
    </xf>
    <xf numFmtId="0" fontId="21" fillId="0" borderId="10" xfId="0" applyFont="1" applyBorder="1" applyAlignment="1">
      <alignment horizontal="left" vertical="center" wrapText="1" shrinkToFit="1"/>
    </xf>
    <xf numFmtId="0" fontId="20" fillId="0" borderId="8" xfId="0" applyFont="1" applyBorder="1" applyAlignment="1">
      <alignment horizontal="left" vertical="center" wrapText="1" shrinkToFit="1"/>
    </xf>
    <xf numFmtId="0" fontId="21" fillId="0" borderId="8" xfId="0" applyFont="1" applyBorder="1" applyAlignment="1">
      <alignment horizontal="left" vertical="center" shrinkToFit="1"/>
    </xf>
    <xf numFmtId="0" fontId="21" fillId="0" borderId="9" xfId="0" applyFont="1" applyBorder="1" applyAlignment="1">
      <alignment horizontal="left" vertical="center" shrinkToFit="1"/>
    </xf>
    <xf numFmtId="0" fontId="20" fillId="0" borderId="6" xfId="0" applyFont="1" applyBorder="1" applyAlignment="1">
      <alignment horizontal="left" vertical="center" wrapText="1" shrinkToFit="1"/>
    </xf>
    <xf numFmtId="0" fontId="21" fillId="0" borderId="12" xfId="0" applyFont="1" applyBorder="1" applyAlignment="1">
      <alignment horizontal="left" vertical="center" wrapText="1" shrinkToFit="1"/>
    </xf>
    <xf numFmtId="0" fontId="20" fillId="0" borderId="47" xfId="0" applyFont="1" applyBorder="1" applyAlignment="1">
      <alignment horizontal="left" vertical="center" wrapText="1" shrinkToFit="1"/>
    </xf>
    <xf numFmtId="0" fontId="21" fillId="0" borderId="48" xfId="0" applyFont="1" applyBorder="1" applyAlignment="1">
      <alignment horizontal="left" vertical="center" wrapText="1" shrinkToFit="1"/>
    </xf>
    <xf numFmtId="0" fontId="21" fillId="0" borderId="49" xfId="0" applyFont="1" applyBorder="1" applyAlignment="1">
      <alignment horizontal="left" vertical="center" wrapText="1" shrinkToFit="1"/>
    </xf>
    <xf numFmtId="0" fontId="23" fillId="0" borderId="60" xfId="0" applyFont="1" applyBorder="1" applyAlignment="1">
      <alignment horizontal="left" vertical="center" wrapText="1" shrinkToFit="1"/>
    </xf>
    <xf numFmtId="0" fontId="23" fillId="0" borderId="51" xfId="0" applyFont="1" applyBorder="1" applyAlignment="1">
      <alignment horizontal="left" vertical="center" shrinkToFit="1"/>
    </xf>
    <xf numFmtId="0" fontId="23" fillId="0" borderId="52" xfId="0" applyFont="1" applyBorder="1" applyAlignment="1">
      <alignment horizontal="left" vertical="center" shrinkToFit="1"/>
    </xf>
    <xf numFmtId="0" fontId="8" fillId="0" borderId="11" xfId="0" applyFont="1" applyBorder="1" applyAlignment="1">
      <alignment horizontal="center" vertical="center"/>
    </xf>
    <xf numFmtId="0" fontId="8" fillId="0" borderId="6" xfId="0" applyFont="1" applyBorder="1" applyAlignment="1">
      <alignment horizontal="center" vertical="center"/>
    </xf>
    <xf numFmtId="0" fontId="8" fillId="0" borderId="12" xfId="0" applyFont="1" applyBorder="1" applyAlignment="1">
      <alignment horizontal="center" vertical="center"/>
    </xf>
    <xf numFmtId="0" fontId="8" fillId="0" borderId="0" xfId="0" applyFont="1" applyAlignment="1">
      <alignment vertical="center" wrapText="1"/>
    </xf>
    <xf numFmtId="0" fontId="18" fillId="0" borderId="0" xfId="0" applyFont="1" applyAlignment="1">
      <alignment horizontal="center" vertical="center"/>
    </xf>
    <xf numFmtId="0" fontId="8" fillId="0" borderId="7" xfId="0" applyFont="1" applyFill="1" applyBorder="1" applyAlignment="1">
      <alignment horizontal="left" vertical="top" wrapText="1" shrinkToFit="1"/>
    </xf>
    <xf numFmtId="0" fontId="8" fillId="0" borderId="8" xfId="0" applyFont="1" applyFill="1" applyBorder="1" applyAlignment="1">
      <alignment horizontal="left" vertical="top" shrinkToFit="1"/>
    </xf>
    <xf numFmtId="0" fontId="8" fillId="0" borderId="9" xfId="0" applyFont="1" applyFill="1" applyBorder="1" applyAlignment="1">
      <alignment horizontal="left" vertical="top" shrinkToFit="1"/>
    </xf>
    <xf numFmtId="0" fontId="8" fillId="0" borderId="5" xfId="0" applyFont="1" applyFill="1" applyBorder="1" applyAlignment="1">
      <alignment horizontal="left" vertical="top" shrinkToFit="1"/>
    </xf>
    <xf numFmtId="0" fontId="8" fillId="0" borderId="0" xfId="0" applyFont="1" applyFill="1" applyBorder="1" applyAlignment="1">
      <alignment horizontal="left" vertical="top" shrinkToFit="1"/>
    </xf>
    <xf numFmtId="0" fontId="8" fillId="0" borderId="10" xfId="0" applyFont="1" applyFill="1" applyBorder="1" applyAlignment="1">
      <alignment horizontal="left" vertical="top" shrinkToFit="1"/>
    </xf>
    <xf numFmtId="0" fontId="8" fillId="0" borderId="0" xfId="0" applyFont="1" applyFill="1" applyAlignment="1">
      <alignment horizontal="left" vertical="top" shrinkToFit="1"/>
    </xf>
    <xf numFmtId="0" fontId="8" fillId="0" borderId="11" xfId="0" applyFont="1" applyFill="1" applyBorder="1" applyAlignment="1">
      <alignment horizontal="left" vertical="top" shrinkToFit="1"/>
    </xf>
    <xf numFmtId="0" fontId="8" fillId="0" borderId="6" xfId="0" applyFont="1" applyFill="1" applyBorder="1" applyAlignment="1">
      <alignment horizontal="left" vertical="top" shrinkToFit="1"/>
    </xf>
    <xf numFmtId="0" fontId="8" fillId="0" borderId="12" xfId="0" applyFont="1" applyFill="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20" fillId="0" borderId="57" xfId="0" applyFont="1" applyBorder="1" applyAlignment="1">
      <alignment vertical="center" wrapText="1" shrinkToFit="1"/>
    </xf>
    <xf numFmtId="0" fontId="21" fillId="0" borderId="58" xfId="0" applyFont="1" applyBorder="1" applyAlignment="1">
      <alignment vertical="center" shrinkToFit="1"/>
    </xf>
    <xf numFmtId="0" fontId="21" fillId="0" borderId="59" xfId="0" applyFont="1" applyBorder="1" applyAlignment="1">
      <alignment vertical="center" shrinkToFit="1"/>
    </xf>
    <xf numFmtId="0" fontId="21" fillId="0" borderId="7" xfId="0" applyFont="1" applyBorder="1" applyAlignment="1">
      <alignment vertical="center" wrapText="1"/>
    </xf>
    <xf numFmtId="0" fontId="21" fillId="0" borderId="11" xfId="0" applyFont="1" applyBorder="1" applyAlignment="1">
      <alignment vertical="center" wrapText="1"/>
    </xf>
    <xf numFmtId="0" fontId="20" fillId="0" borderId="61" xfId="0" applyFont="1" applyBorder="1" applyAlignment="1">
      <alignment vertical="center" wrapText="1"/>
    </xf>
    <xf numFmtId="0" fontId="20" fillId="0" borderId="62" xfId="0" applyFont="1" applyBorder="1" applyAlignment="1">
      <alignment vertical="center" wrapText="1"/>
    </xf>
    <xf numFmtId="0" fontId="20" fillId="0" borderId="7" xfId="0" applyFont="1" applyBorder="1" applyAlignment="1">
      <alignment vertical="center" wrapText="1"/>
    </xf>
    <xf numFmtId="0" fontId="20" fillId="0" borderId="5" xfId="0" applyFont="1" applyBorder="1" applyAlignment="1">
      <alignment vertical="center" wrapText="1"/>
    </xf>
    <xf numFmtId="0" fontId="23" fillId="0" borderId="8" xfId="0" applyFont="1" applyBorder="1" applyAlignment="1">
      <alignment vertical="center" shrinkToFit="1"/>
    </xf>
    <xf numFmtId="0" fontId="23" fillId="0" borderId="9" xfId="0" applyFont="1" applyBorder="1" applyAlignment="1">
      <alignment vertical="center" shrinkToFit="1"/>
    </xf>
    <xf numFmtId="0" fontId="23" fillId="0" borderId="47" xfId="0" applyFont="1" applyBorder="1" applyAlignment="1">
      <alignment vertical="center" wrapText="1" shrinkToFit="1"/>
    </xf>
    <xf numFmtId="0" fontId="23" fillId="0" borderId="48" xfId="0" applyFont="1" applyBorder="1" applyAlignment="1">
      <alignment vertical="center" shrinkToFit="1"/>
    </xf>
    <xf numFmtId="0" fontId="23" fillId="0" borderId="49" xfId="0" applyFont="1" applyBorder="1" applyAlignment="1">
      <alignment vertical="center" shrinkToFit="1"/>
    </xf>
    <xf numFmtId="0" fontId="21" fillId="0" borderId="5" xfId="0" applyFont="1" applyBorder="1" applyAlignment="1">
      <alignment vertical="center" wrapText="1"/>
    </xf>
    <xf numFmtId="0" fontId="22" fillId="0" borderId="60" xfId="0" applyFont="1" applyBorder="1" applyAlignment="1">
      <alignment horizontal="left" vertical="center" wrapText="1" shrinkToFit="1"/>
    </xf>
    <xf numFmtId="0" fontId="22" fillId="0" borderId="51" xfId="0" applyFont="1" applyBorder="1" applyAlignment="1">
      <alignment horizontal="left" vertical="center" shrinkToFit="1"/>
    </xf>
    <xf numFmtId="0" fontId="22" fillId="0" borderId="52" xfId="0" applyFont="1" applyBorder="1" applyAlignment="1">
      <alignment horizontal="left" vertical="center" shrinkToFit="1"/>
    </xf>
    <xf numFmtId="0" fontId="20" fillId="0" borderId="45" xfId="0" applyFont="1" applyBorder="1" applyAlignment="1">
      <alignment horizontal="left" vertical="center" wrapText="1" shrinkToFit="1"/>
    </xf>
    <xf numFmtId="0" fontId="21" fillId="0" borderId="46"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0" fillId="0" borderId="60" xfId="0" applyFont="1" applyBorder="1" applyAlignment="1">
      <alignment horizontal="left" vertical="center" wrapText="1" shrinkToFit="1"/>
    </xf>
    <xf numFmtId="0" fontId="21" fillId="0" borderId="51" xfId="0" applyFont="1" applyBorder="1" applyAlignment="1">
      <alignment horizontal="left" vertical="center" shrinkToFit="1"/>
    </xf>
    <xf numFmtId="0" fontId="21" fillId="0" borderId="52" xfId="0" applyFont="1" applyBorder="1" applyAlignment="1">
      <alignment horizontal="left" vertical="center"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4" xfId="0" applyFont="1" applyBorder="1" applyAlignment="1">
      <alignment vertical="center" shrinkToFit="1"/>
    </xf>
    <xf numFmtId="0" fontId="8" fillId="0" borderId="7" xfId="0" applyFont="1" applyFill="1" applyBorder="1" applyAlignment="1">
      <alignment vertical="top" wrapText="1" shrinkToFit="1"/>
    </xf>
    <xf numFmtId="0" fontId="8" fillId="0" borderId="8" xfId="0" applyFont="1" applyFill="1" applyBorder="1" applyAlignment="1">
      <alignment vertical="top" wrapText="1" shrinkToFit="1"/>
    </xf>
    <xf numFmtId="0" fontId="8" fillId="0" borderId="8" xfId="0" applyFont="1" applyFill="1" applyBorder="1" applyAlignment="1">
      <alignment vertical="top" shrinkToFit="1"/>
    </xf>
    <xf numFmtId="0" fontId="8" fillId="0" borderId="9" xfId="0" applyFont="1" applyFill="1" applyBorder="1" applyAlignment="1">
      <alignment vertical="top" shrinkToFit="1"/>
    </xf>
    <xf numFmtId="0" fontId="8" fillId="0" borderId="5" xfId="0" applyFont="1" applyFill="1" applyBorder="1" applyAlignment="1">
      <alignment vertical="top" shrinkToFit="1"/>
    </xf>
    <xf numFmtId="0" fontId="8" fillId="0" borderId="0" xfId="0" applyFont="1" applyFill="1" applyAlignment="1">
      <alignment vertical="top" shrinkToFit="1"/>
    </xf>
    <xf numFmtId="0" fontId="8" fillId="0" borderId="10" xfId="0" applyFont="1" applyFill="1" applyBorder="1" applyAlignment="1">
      <alignment vertical="top" shrinkToFit="1"/>
    </xf>
    <xf numFmtId="0" fontId="8" fillId="0" borderId="11" xfId="0" applyFont="1" applyFill="1" applyBorder="1" applyAlignment="1">
      <alignment vertical="top" shrinkToFit="1"/>
    </xf>
    <xf numFmtId="0" fontId="8" fillId="0" borderId="6" xfId="0" applyFont="1" applyFill="1" applyBorder="1" applyAlignment="1">
      <alignment vertical="top" shrinkToFit="1"/>
    </xf>
    <xf numFmtId="0" fontId="8" fillId="0" borderId="12" xfId="0" applyFont="1" applyFill="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8" fillId="0" borderId="19" xfId="0" applyFont="1" applyFill="1" applyBorder="1" applyAlignment="1">
      <alignment vertical="top" wrapText="1" shrinkToFit="1"/>
    </xf>
    <xf numFmtId="0" fontId="8" fillId="0" borderId="20" xfId="0" applyFont="1" applyFill="1" applyBorder="1" applyAlignment="1">
      <alignment vertical="top" wrapText="1" shrinkToFit="1"/>
    </xf>
    <xf numFmtId="0" fontId="8" fillId="0" borderId="18" xfId="0" applyFont="1" applyFill="1" applyBorder="1" applyAlignment="1">
      <alignmen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caplan@yokohama-c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kohama-cu.ac.jp/univ/activity/people_development/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110" zoomScaleNormal="100" zoomScaleSheetLayoutView="110" workbookViewId="0">
      <selection activeCell="E18" sqref="E18:F18"/>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2" t="s">
        <v>25</v>
      </c>
      <c r="N1" s="142"/>
    </row>
    <row r="2" spans="1:15" ht="24" customHeight="1" x14ac:dyDescent="0.15">
      <c r="A2" s="146" t="s">
        <v>83</v>
      </c>
      <c r="B2" s="146"/>
      <c r="C2" s="146"/>
      <c r="D2" s="146"/>
      <c r="E2" s="146"/>
      <c r="F2" s="146"/>
      <c r="G2" s="146"/>
      <c r="H2" s="146"/>
      <c r="I2" s="146"/>
      <c r="J2" s="146"/>
      <c r="K2" s="146"/>
      <c r="L2" s="146"/>
      <c r="M2" s="146"/>
      <c r="N2" s="146"/>
    </row>
    <row r="3" spans="1:15" ht="24" customHeight="1" x14ac:dyDescent="0.15"/>
    <row r="4" spans="1:15" ht="24" customHeight="1" x14ac:dyDescent="0.15">
      <c r="A4" s="14" t="s">
        <v>6</v>
      </c>
      <c r="B4" s="15" t="s">
        <v>16</v>
      </c>
      <c r="C4" s="131" t="s">
        <v>148</v>
      </c>
      <c r="D4" s="132"/>
      <c r="E4" s="132"/>
      <c r="F4" s="132"/>
      <c r="G4" s="132"/>
      <c r="H4" s="132"/>
      <c r="I4" s="132"/>
      <c r="J4" s="132"/>
      <c r="K4" s="132"/>
      <c r="L4" s="132"/>
      <c r="M4" s="132"/>
      <c r="N4" s="141"/>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31" t="s">
        <v>165</v>
      </c>
      <c r="E6" s="132"/>
      <c r="F6" s="132"/>
      <c r="G6" s="132"/>
      <c r="H6" s="141"/>
      <c r="I6" s="17" t="s">
        <v>86</v>
      </c>
      <c r="J6" s="37" t="s">
        <v>87</v>
      </c>
      <c r="K6" s="131" t="s">
        <v>149</v>
      </c>
      <c r="L6" s="132"/>
      <c r="M6" s="132"/>
      <c r="N6" s="141"/>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31" t="s">
        <v>150</v>
      </c>
      <c r="D8" s="132"/>
      <c r="E8" s="132"/>
      <c r="F8" s="132"/>
      <c r="G8" s="132"/>
      <c r="H8" s="132"/>
      <c r="I8" s="132"/>
      <c r="J8" s="132"/>
      <c r="K8" s="132"/>
      <c r="L8" s="132"/>
      <c r="M8" s="132"/>
      <c r="N8" s="141"/>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31" t="s">
        <v>151</v>
      </c>
      <c r="F10" s="132"/>
      <c r="G10" s="132"/>
      <c r="H10" s="132"/>
      <c r="I10" s="132"/>
      <c r="J10" s="132"/>
      <c r="K10" s="132"/>
      <c r="L10" s="132"/>
      <c r="M10" s="132"/>
      <c r="N10" s="141"/>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47" t="s">
        <v>188</v>
      </c>
      <c r="F12" s="148"/>
      <c r="G12" s="17" t="s">
        <v>96</v>
      </c>
      <c r="H12" s="14" t="s">
        <v>97</v>
      </c>
      <c r="N12" s="111" t="s">
        <v>189</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43" t="s">
        <v>5</v>
      </c>
      <c r="D14" s="144"/>
      <c r="E14" s="135">
        <v>778</v>
      </c>
      <c r="F14" s="136"/>
      <c r="G14" s="18" t="s">
        <v>7</v>
      </c>
      <c r="I14" s="143" t="s">
        <v>8</v>
      </c>
      <c r="J14" s="144"/>
      <c r="K14" s="135">
        <v>891</v>
      </c>
      <c r="L14" s="145"/>
      <c r="M14" s="136"/>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23">
        <v>40</v>
      </c>
      <c r="L16" s="124"/>
      <c r="M16" s="125"/>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5">
        <v>900</v>
      </c>
      <c r="F18" s="136"/>
      <c r="G18" s="21" t="s">
        <v>21</v>
      </c>
      <c r="H18" s="20"/>
      <c r="K18" s="137"/>
      <c r="L18" s="137"/>
      <c r="M18" s="137"/>
      <c r="N18" s="137"/>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26">
        <v>4252</v>
      </c>
      <c r="K20" s="127"/>
      <c r="L20" s="128"/>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35">
        <v>950</v>
      </c>
      <c r="D22" s="136"/>
      <c r="E22" s="10" t="s">
        <v>22</v>
      </c>
      <c r="F22" s="20"/>
      <c r="G22" s="129" t="s">
        <v>18</v>
      </c>
      <c r="H22" s="129"/>
      <c r="I22" s="135">
        <v>983</v>
      </c>
      <c r="J22" s="136"/>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35">
        <v>995</v>
      </c>
      <c r="D24" s="136"/>
      <c r="E24" s="10" t="s">
        <v>22</v>
      </c>
      <c r="F24" s="20"/>
      <c r="G24" s="129" t="s">
        <v>20</v>
      </c>
      <c r="H24" s="129"/>
      <c r="I24" s="135">
        <v>1149</v>
      </c>
      <c r="J24" s="136"/>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35">
        <v>101</v>
      </c>
      <c r="D26" s="136"/>
      <c r="E26" s="10" t="s">
        <v>7</v>
      </c>
      <c r="F26" s="20"/>
      <c r="G26" s="129" t="s">
        <v>47</v>
      </c>
      <c r="H26" s="129"/>
      <c r="I26" s="135">
        <v>74</v>
      </c>
      <c r="J26" s="136"/>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30" t="s">
        <v>74</v>
      </c>
      <c r="C29" s="130"/>
      <c r="D29" s="131" t="s">
        <v>152</v>
      </c>
      <c r="E29" s="132"/>
      <c r="F29" s="132"/>
      <c r="G29" s="133" t="s">
        <v>23</v>
      </c>
      <c r="H29" s="130"/>
      <c r="I29" s="134"/>
      <c r="J29" s="131" t="s">
        <v>220</v>
      </c>
      <c r="K29" s="132"/>
      <c r="L29" s="132"/>
      <c r="M29" s="132"/>
      <c r="N29" s="141"/>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1" t="s">
        <v>218</v>
      </c>
      <c r="C32" s="132"/>
      <c r="D32" s="132"/>
      <c r="E32" s="132"/>
      <c r="F32" s="132"/>
      <c r="G32" s="132"/>
      <c r="H32" s="132"/>
      <c r="I32" s="132"/>
      <c r="J32" s="132"/>
      <c r="K32" s="132"/>
      <c r="L32" s="132"/>
      <c r="M32" s="132"/>
      <c r="N32" s="141"/>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0" t="s">
        <v>74</v>
      </c>
      <c r="C34" s="130"/>
      <c r="D34" s="131" t="s">
        <v>219</v>
      </c>
      <c r="E34" s="132"/>
      <c r="F34" s="132"/>
      <c r="G34" s="133" t="s">
        <v>55</v>
      </c>
      <c r="H34" s="130"/>
      <c r="I34" s="134"/>
      <c r="J34" s="131" t="s">
        <v>220</v>
      </c>
      <c r="K34" s="132"/>
      <c r="L34" s="132"/>
      <c r="M34" s="132"/>
      <c r="N34" s="141"/>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31" t="s">
        <v>154</v>
      </c>
      <c r="C37" s="132"/>
      <c r="D37" s="132"/>
      <c r="E37" s="132"/>
      <c r="F37" s="132"/>
      <c r="G37" s="132"/>
      <c r="H37" s="132"/>
      <c r="I37" s="132"/>
      <c r="J37" s="132"/>
      <c r="K37" s="132"/>
      <c r="L37" s="132"/>
      <c r="M37" s="132"/>
      <c r="N37" s="141"/>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30" t="s">
        <v>74</v>
      </c>
      <c r="C39" s="130"/>
      <c r="D39" s="131" t="s">
        <v>153</v>
      </c>
      <c r="E39" s="132"/>
      <c r="F39" s="132"/>
      <c r="G39" s="133" t="s">
        <v>55</v>
      </c>
      <c r="H39" s="130"/>
      <c r="I39" s="134"/>
      <c r="J39" s="138" t="s">
        <v>217</v>
      </c>
      <c r="K39" s="139"/>
      <c r="L39" s="139"/>
      <c r="M39" s="139"/>
      <c r="N39" s="140"/>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31" t="s">
        <v>155</v>
      </c>
      <c r="G41" s="132"/>
      <c r="H41" s="132"/>
      <c r="I41" s="132"/>
      <c r="J41" s="132"/>
      <c r="K41" s="132"/>
      <c r="L41" s="132"/>
      <c r="M41" s="132"/>
      <c r="N41" s="141"/>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55" t="s">
        <v>156</v>
      </c>
      <c r="D44" s="156"/>
      <c r="E44" s="156"/>
      <c r="F44" s="156"/>
      <c r="G44" s="156"/>
      <c r="H44" s="156"/>
      <c r="I44" s="26" t="s">
        <v>2</v>
      </c>
      <c r="J44" s="27"/>
      <c r="K44" s="131" t="s">
        <v>184</v>
      </c>
      <c r="L44" s="132"/>
      <c r="M44" s="132"/>
      <c r="N44" s="141"/>
      <c r="O44" s="31" t="str">
        <f>IF(OR(C44="",K44=""),"入力してください","")</f>
        <v/>
      </c>
    </row>
    <row r="45" spans="1:15" ht="24" customHeight="1" x14ac:dyDescent="0.15">
      <c r="B45" s="25" t="s">
        <v>4</v>
      </c>
      <c r="C45" s="149" t="s">
        <v>186</v>
      </c>
      <c r="D45" s="150"/>
      <c r="E45" s="150"/>
      <c r="F45" s="150"/>
      <c r="G45" s="150"/>
      <c r="H45" s="151"/>
      <c r="I45" s="26" t="s">
        <v>3</v>
      </c>
      <c r="J45" s="27"/>
      <c r="K45" s="152" t="s">
        <v>185</v>
      </c>
      <c r="L45" s="153"/>
      <c r="M45" s="153"/>
      <c r="N45" s="154"/>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80192318-CD32-4B0A-96A3-095E70855F5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zoomScaleNormal="100" zoomScaleSheetLayoutView="10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84" t="s">
        <v>157</v>
      </c>
      <c r="X1" s="184"/>
      <c r="Y1" s="184"/>
      <c r="Z1" s="184"/>
    </row>
    <row r="2" spans="1:26" ht="18" customHeight="1" x14ac:dyDescent="0.15">
      <c r="A2" s="232" t="s">
        <v>67</v>
      </c>
      <c r="B2" s="232"/>
      <c r="C2" s="232"/>
      <c r="D2" s="232"/>
      <c r="E2" s="232"/>
      <c r="F2" s="232"/>
      <c r="G2" s="232"/>
      <c r="H2" s="232"/>
      <c r="I2" s="232"/>
      <c r="J2" s="232"/>
      <c r="K2" s="232"/>
      <c r="L2" s="232"/>
      <c r="M2" s="232"/>
      <c r="N2" s="232"/>
      <c r="O2" s="232"/>
      <c r="P2" s="232"/>
      <c r="Q2" s="232"/>
      <c r="R2" s="232"/>
      <c r="S2" s="232"/>
      <c r="T2" s="232"/>
      <c r="U2" s="232"/>
      <c r="V2" s="232"/>
      <c r="W2" s="232"/>
      <c r="X2" s="232"/>
      <c r="Y2" s="232"/>
      <c r="Z2" s="232"/>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72" t="s">
        <v>158</v>
      </c>
      <c r="P4" s="173"/>
      <c r="Q4" s="173"/>
      <c r="R4" s="173"/>
      <c r="S4" s="173"/>
      <c r="T4" s="173"/>
      <c r="U4" s="173"/>
      <c r="V4" s="173"/>
      <c r="W4" s="173"/>
      <c r="X4" s="173"/>
      <c r="Y4" s="173"/>
      <c r="Z4" s="174"/>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33" t="s">
        <v>204</v>
      </c>
      <c r="C6" s="234"/>
      <c r="D6" s="234"/>
      <c r="E6" s="234"/>
      <c r="F6" s="234"/>
      <c r="G6" s="234"/>
      <c r="H6" s="234"/>
      <c r="I6" s="234"/>
      <c r="J6" s="234"/>
      <c r="K6" s="234"/>
      <c r="L6" s="234"/>
      <c r="M6" s="234"/>
      <c r="N6" s="234"/>
      <c r="O6" s="234"/>
      <c r="P6" s="234"/>
      <c r="Q6" s="234"/>
      <c r="R6" s="234"/>
      <c r="S6" s="234"/>
      <c r="T6" s="234"/>
      <c r="U6" s="234"/>
      <c r="V6" s="234"/>
      <c r="W6" s="234"/>
      <c r="X6" s="234"/>
      <c r="Y6" s="234"/>
      <c r="Z6" s="235"/>
    </row>
    <row r="7" spans="1:26" ht="18" customHeight="1" x14ac:dyDescent="0.15">
      <c r="B7" s="236"/>
      <c r="C7" s="237"/>
      <c r="D7" s="237"/>
      <c r="E7" s="237"/>
      <c r="F7" s="237"/>
      <c r="G7" s="237"/>
      <c r="H7" s="237"/>
      <c r="I7" s="237"/>
      <c r="J7" s="237"/>
      <c r="K7" s="237"/>
      <c r="L7" s="237"/>
      <c r="M7" s="237"/>
      <c r="N7" s="237"/>
      <c r="O7" s="237"/>
      <c r="P7" s="237"/>
      <c r="Q7" s="237"/>
      <c r="R7" s="237"/>
      <c r="S7" s="237"/>
      <c r="T7" s="237"/>
      <c r="U7" s="237"/>
      <c r="V7" s="237"/>
      <c r="W7" s="237"/>
      <c r="X7" s="237"/>
      <c r="Y7" s="237"/>
      <c r="Z7" s="238"/>
    </row>
    <row r="8" spans="1:26" ht="18" customHeight="1" x14ac:dyDescent="0.15">
      <c r="B8" s="236"/>
      <c r="C8" s="237"/>
      <c r="D8" s="237"/>
      <c r="E8" s="237"/>
      <c r="F8" s="237"/>
      <c r="G8" s="237"/>
      <c r="H8" s="237"/>
      <c r="I8" s="237"/>
      <c r="J8" s="237"/>
      <c r="K8" s="237"/>
      <c r="L8" s="237"/>
      <c r="M8" s="237"/>
      <c r="N8" s="237"/>
      <c r="O8" s="237"/>
      <c r="P8" s="237"/>
      <c r="Q8" s="237"/>
      <c r="R8" s="237"/>
      <c r="S8" s="237"/>
      <c r="T8" s="237"/>
      <c r="U8" s="237"/>
      <c r="V8" s="237"/>
      <c r="W8" s="237"/>
      <c r="X8" s="237"/>
      <c r="Y8" s="237"/>
      <c r="Z8" s="238"/>
    </row>
    <row r="9" spans="1:26" ht="18" customHeight="1" x14ac:dyDescent="0.15">
      <c r="B9" s="236"/>
      <c r="C9" s="237"/>
      <c r="D9" s="237"/>
      <c r="E9" s="237"/>
      <c r="F9" s="237"/>
      <c r="G9" s="237"/>
      <c r="H9" s="237"/>
      <c r="I9" s="237"/>
      <c r="J9" s="237"/>
      <c r="K9" s="237"/>
      <c r="L9" s="237"/>
      <c r="M9" s="237"/>
      <c r="N9" s="237"/>
      <c r="O9" s="237"/>
      <c r="P9" s="237"/>
      <c r="Q9" s="237"/>
      <c r="R9" s="237"/>
      <c r="S9" s="237"/>
      <c r="T9" s="237"/>
      <c r="U9" s="237"/>
      <c r="V9" s="237"/>
      <c r="W9" s="237"/>
      <c r="X9" s="237"/>
      <c r="Y9" s="237"/>
      <c r="Z9" s="238"/>
    </row>
    <row r="10" spans="1:26" ht="18" customHeight="1" x14ac:dyDescent="0.15">
      <c r="B10" s="236"/>
      <c r="C10" s="239"/>
      <c r="D10" s="239"/>
      <c r="E10" s="239"/>
      <c r="F10" s="239"/>
      <c r="G10" s="239"/>
      <c r="H10" s="239"/>
      <c r="I10" s="239"/>
      <c r="J10" s="239"/>
      <c r="K10" s="239"/>
      <c r="L10" s="239"/>
      <c r="M10" s="239"/>
      <c r="N10" s="239"/>
      <c r="O10" s="239"/>
      <c r="P10" s="239"/>
      <c r="Q10" s="239"/>
      <c r="R10" s="239"/>
      <c r="S10" s="239"/>
      <c r="T10" s="239"/>
      <c r="U10" s="239"/>
      <c r="V10" s="239"/>
      <c r="W10" s="239"/>
      <c r="X10" s="239"/>
      <c r="Y10" s="239"/>
      <c r="Z10" s="238"/>
    </row>
    <row r="11" spans="1:26" ht="18" customHeight="1" x14ac:dyDescent="0.15">
      <c r="B11" s="240"/>
      <c r="C11" s="241"/>
      <c r="D11" s="241"/>
      <c r="E11" s="241"/>
      <c r="F11" s="241"/>
      <c r="G11" s="241"/>
      <c r="H11" s="241"/>
      <c r="I11" s="241"/>
      <c r="J11" s="241"/>
      <c r="K11" s="241"/>
      <c r="L11" s="241"/>
      <c r="M11" s="241"/>
      <c r="N11" s="241"/>
      <c r="O11" s="241"/>
      <c r="P11" s="241"/>
      <c r="Q11" s="241"/>
      <c r="R11" s="241"/>
      <c r="S11" s="241"/>
      <c r="T11" s="241"/>
      <c r="U11" s="241"/>
      <c r="V11" s="241"/>
      <c r="W11" s="241"/>
      <c r="X11" s="241"/>
      <c r="Y11" s="241"/>
      <c r="Z11" s="242"/>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31" t="s">
        <v>125</v>
      </c>
      <c r="B13" s="231"/>
      <c r="C13" s="231"/>
      <c r="D13" s="231"/>
      <c r="E13" s="231"/>
      <c r="F13" s="231"/>
      <c r="G13" s="231"/>
      <c r="H13" s="231"/>
      <c r="I13" s="231"/>
      <c r="J13" s="231"/>
      <c r="K13" s="231"/>
      <c r="L13" s="231"/>
      <c r="M13" s="231"/>
      <c r="N13" s="231"/>
      <c r="O13" s="231"/>
      <c r="P13" s="231"/>
      <c r="Q13" s="231"/>
      <c r="R13" s="231"/>
      <c r="S13" s="231"/>
      <c r="T13" s="231"/>
      <c r="U13" s="231"/>
      <c r="V13" s="231"/>
      <c r="W13" s="231"/>
      <c r="X13" s="231"/>
      <c r="Y13" s="231"/>
      <c r="Z13" s="231"/>
    </row>
    <row r="14" spans="1:26" ht="18" customHeight="1" x14ac:dyDescent="0.15">
      <c r="A14" s="231"/>
      <c r="B14" s="231"/>
      <c r="C14" s="231"/>
      <c r="D14" s="231"/>
      <c r="E14" s="231"/>
      <c r="F14" s="231"/>
      <c r="G14" s="231"/>
      <c r="H14" s="231"/>
      <c r="I14" s="231"/>
      <c r="J14" s="231"/>
      <c r="K14" s="231"/>
      <c r="L14" s="231"/>
      <c r="M14" s="231"/>
      <c r="N14" s="231"/>
      <c r="O14" s="231"/>
      <c r="P14" s="231"/>
      <c r="Q14" s="231"/>
      <c r="R14" s="231"/>
      <c r="S14" s="231"/>
      <c r="T14" s="231"/>
      <c r="U14" s="231"/>
      <c r="V14" s="231"/>
      <c r="W14" s="231"/>
      <c r="X14" s="231"/>
      <c r="Y14" s="231"/>
      <c r="Z14" s="231"/>
    </row>
    <row r="15" spans="1:26" ht="18" customHeight="1" x14ac:dyDescent="0.15">
      <c r="A15" s="14"/>
      <c r="B15" s="172" t="s">
        <v>100</v>
      </c>
      <c r="C15" s="173"/>
      <c r="D15" s="173"/>
      <c r="E15" s="173"/>
      <c r="F15" s="174"/>
      <c r="G15" s="30" t="s">
        <v>141</v>
      </c>
      <c r="H15" s="106" t="s">
        <v>140</v>
      </c>
      <c r="I15" s="173" t="s">
        <v>101</v>
      </c>
      <c r="J15" s="173"/>
      <c r="K15" s="173"/>
      <c r="L15" s="75" t="s">
        <v>104</v>
      </c>
      <c r="M15" s="75" t="s">
        <v>107</v>
      </c>
      <c r="N15" s="172" t="s">
        <v>100</v>
      </c>
      <c r="O15" s="173"/>
      <c r="P15" s="173"/>
      <c r="Q15" s="173"/>
      <c r="R15" s="173"/>
      <c r="S15" s="174"/>
      <c r="T15" s="30" t="s">
        <v>141</v>
      </c>
      <c r="U15" s="106" t="s">
        <v>140</v>
      </c>
      <c r="V15" s="173" t="s">
        <v>101</v>
      </c>
      <c r="W15" s="173"/>
      <c r="X15" s="173"/>
      <c r="Y15" s="75" t="s">
        <v>104</v>
      </c>
      <c r="Z15" s="75" t="s">
        <v>107</v>
      </c>
    </row>
    <row r="16" spans="1:26" ht="18" customHeight="1" x14ac:dyDescent="0.15">
      <c r="A16" s="14"/>
      <c r="B16" s="185" t="s">
        <v>181</v>
      </c>
      <c r="C16" s="186"/>
      <c r="D16" s="186"/>
      <c r="E16" s="186"/>
      <c r="F16" s="187"/>
      <c r="G16" s="107" t="s">
        <v>182</v>
      </c>
      <c r="H16" s="107" t="s">
        <v>173</v>
      </c>
      <c r="I16" s="194" t="s">
        <v>172</v>
      </c>
      <c r="J16" s="195"/>
      <c r="K16" s="196"/>
      <c r="L16" s="107" t="s">
        <v>173</v>
      </c>
      <c r="M16" s="107"/>
      <c r="N16" s="157" t="s">
        <v>171</v>
      </c>
      <c r="O16" s="158"/>
      <c r="P16" s="158"/>
      <c r="Q16" s="158"/>
      <c r="R16" s="158"/>
      <c r="S16" s="159"/>
      <c r="T16" s="107">
        <v>2</v>
      </c>
      <c r="U16" s="107"/>
      <c r="V16" s="194" t="s">
        <v>172</v>
      </c>
      <c r="W16" s="195"/>
      <c r="X16" s="196"/>
      <c r="Y16" s="107" t="s">
        <v>173</v>
      </c>
      <c r="Z16" s="107" t="s">
        <v>173</v>
      </c>
    </row>
    <row r="17" spans="1:26" ht="18" customHeight="1" x14ac:dyDescent="0.15">
      <c r="A17" s="14"/>
      <c r="B17" s="188" t="s">
        <v>164</v>
      </c>
      <c r="C17" s="189"/>
      <c r="D17" s="189"/>
      <c r="E17" s="189"/>
      <c r="F17" s="190"/>
      <c r="G17" s="108">
        <v>2</v>
      </c>
      <c r="H17" s="108" t="s">
        <v>173</v>
      </c>
      <c r="I17" s="166" t="s">
        <v>172</v>
      </c>
      <c r="J17" s="167"/>
      <c r="K17" s="168"/>
      <c r="L17" s="108" t="s">
        <v>173</v>
      </c>
      <c r="M17" s="108" t="s">
        <v>173</v>
      </c>
      <c r="N17" s="160"/>
      <c r="O17" s="161"/>
      <c r="P17" s="161"/>
      <c r="Q17" s="161"/>
      <c r="R17" s="161"/>
      <c r="S17" s="162"/>
      <c r="T17" s="108"/>
      <c r="U17" s="108"/>
      <c r="V17" s="166"/>
      <c r="W17" s="167"/>
      <c r="X17" s="168"/>
      <c r="Y17" s="108"/>
      <c r="Z17" s="108"/>
    </row>
    <row r="18" spans="1:26" ht="18" customHeight="1" x14ac:dyDescent="0.15">
      <c r="A18" s="14"/>
      <c r="B18" s="175" t="s">
        <v>166</v>
      </c>
      <c r="C18" s="176"/>
      <c r="D18" s="176"/>
      <c r="E18" s="176"/>
      <c r="F18" s="177"/>
      <c r="G18" s="108">
        <v>2</v>
      </c>
      <c r="H18" s="108"/>
      <c r="I18" s="166" t="s">
        <v>172</v>
      </c>
      <c r="J18" s="167"/>
      <c r="K18" s="168"/>
      <c r="L18" s="108" t="s">
        <v>173</v>
      </c>
      <c r="M18" s="108" t="s">
        <v>173</v>
      </c>
      <c r="N18" s="160"/>
      <c r="O18" s="161"/>
      <c r="P18" s="161"/>
      <c r="Q18" s="161"/>
      <c r="R18" s="161"/>
      <c r="S18" s="162"/>
      <c r="T18" s="108"/>
      <c r="U18" s="108"/>
      <c r="V18" s="166"/>
      <c r="W18" s="167"/>
      <c r="X18" s="168"/>
      <c r="Y18" s="108"/>
      <c r="Z18" s="108"/>
    </row>
    <row r="19" spans="1:26" ht="18" customHeight="1" x14ac:dyDescent="0.15">
      <c r="A19" s="14"/>
      <c r="B19" s="175" t="s">
        <v>167</v>
      </c>
      <c r="C19" s="176"/>
      <c r="D19" s="176"/>
      <c r="E19" s="176"/>
      <c r="F19" s="177"/>
      <c r="G19" s="108">
        <v>1</v>
      </c>
      <c r="H19" s="108"/>
      <c r="I19" s="166" t="s">
        <v>172</v>
      </c>
      <c r="J19" s="167"/>
      <c r="K19" s="168"/>
      <c r="L19" s="108" t="s">
        <v>173</v>
      </c>
      <c r="M19" s="108" t="s">
        <v>173</v>
      </c>
      <c r="N19" s="160"/>
      <c r="O19" s="161"/>
      <c r="P19" s="161"/>
      <c r="Q19" s="161"/>
      <c r="R19" s="161"/>
      <c r="S19" s="162"/>
      <c r="T19" s="108"/>
      <c r="U19" s="108"/>
      <c r="V19" s="166"/>
      <c r="W19" s="167"/>
      <c r="X19" s="168"/>
      <c r="Y19" s="108"/>
      <c r="Z19" s="108"/>
    </row>
    <row r="20" spans="1:26" ht="18" customHeight="1" x14ac:dyDescent="0.15">
      <c r="A20" s="14"/>
      <c r="B20" s="175" t="s">
        <v>168</v>
      </c>
      <c r="C20" s="176"/>
      <c r="D20" s="176"/>
      <c r="E20" s="176"/>
      <c r="F20" s="177"/>
      <c r="G20" s="108">
        <v>2</v>
      </c>
      <c r="H20" s="108"/>
      <c r="I20" s="166" t="s">
        <v>172</v>
      </c>
      <c r="J20" s="167"/>
      <c r="K20" s="168"/>
      <c r="L20" s="108" t="s">
        <v>173</v>
      </c>
      <c r="M20" s="108"/>
      <c r="N20" s="160"/>
      <c r="O20" s="161"/>
      <c r="P20" s="161"/>
      <c r="Q20" s="161"/>
      <c r="R20" s="161"/>
      <c r="S20" s="162"/>
      <c r="T20" s="108"/>
      <c r="U20" s="108"/>
      <c r="V20" s="166"/>
      <c r="W20" s="167"/>
      <c r="X20" s="168"/>
      <c r="Y20" s="108"/>
      <c r="Z20" s="108"/>
    </row>
    <row r="21" spans="1:26" ht="18" customHeight="1" x14ac:dyDescent="0.15">
      <c r="A21" s="29"/>
      <c r="B21" s="175" t="s">
        <v>169</v>
      </c>
      <c r="C21" s="176"/>
      <c r="D21" s="176"/>
      <c r="E21" s="176"/>
      <c r="F21" s="177"/>
      <c r="G21" s="108">
        <v>2</v>
      </c>
      <c r="H21" s="108"/>
      <c r="I21" s="166" t="s">
        <v>172</v>
      </c>
      <c r="J21" s="167"/>
      <c r="K21" s="168"/>
      <c r="L21" s="108" t="s">
        <v>173</v>
      </c>
      <c r="M21" s="108"/>
      <c r="N21" s="160"/>
      <c r="O21" s="161"/>
      <c r="P21" s="161"/>
      <c r="Q21" s="161"/>
      <c r="R21" s="161"/>
      <c r="S21" s="162"/>
      <c r="T21" s="108"/>
      <c r="U21" s="108"/>
      <c r="V21" s="166"/>
      <c r="W21" s="167"/>
      <c r="X21" s="168"/>
      <c r="Y21" s="108"/>
      <c r="Z21" s="108"/>
    </row>
    <row r="22" spans="1:26" ht="18" customHeight="1" x14ac:dyDescent="0.15">
      <c r="A22" s="29"/>
      <c r="B22" s="181" t="s">
        <v>170</v>
      </c>
      <c r="C22" s="182"/>
      <c r="D22" s="182"/>
      <c r="E22" s="182"/>
      <c r="F22" s="183"/>
      <c r="G22" s="109">
        <v>2</v>
      </c>
      <c r="H22" s="109"/>
      <c r="I22" s="169" t="s">
        <v>172</v>
      </c>
      <c r="J22" s="170"/>
      <c r="K22" s="171"/>
      <c r="L22" s="114" t="s">
        <v>173</v>
      </c>
      <c r="M22" s="114"/>
      <c r="N22" s="163"/>
      <c r="O22" s="164"/>
      <c r="P22" s="164"/>
      <c r="Q22" s="164"/>
      <c r="R22" s="164"/>
      <c r="S22" s="165"/>
      <c r="T22" s="109"/>
      <c r="U22" s="109"/>
      <c r="V22" s="169"/>
      <c r="W22" s="170"/>
      <c r="X22" s="171"/>
      <c r="Y22" s="114"/>
      <c r="Z22" s="114"/>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31" t="s">
        <v>126</v>
      </c>
      <c r="B24" s="231"/>
      <c r="C24" s="231"/>
      <c r="D24" s="231"/>
      <c r="E24" s="231"/>
      <c r="F24" s="231"/>
      <c r="G24" s="231"/>
      <c r="H24" s="231"/>
      <c r="I24" s="231"/>
      <c r="J24" s="231"/>
      <c r="K24" s="231"/>
      <c r="L24" s="231"/>
      <c r="M24" s="231"/>
      <c r="N24" s="231"/>
      <c r="O24" s="231"/>
      <c r="P24" s="231"/>
      <c r="Q24" s="231"/>
      <c r="R24" s="231"/>
      <c r="S24" s="231"/>
      <c r="T24" s="231"/>
      <c r="U24" s="231"/>
      <c r="V24" s="231"/>
      <c r="W24" s="231"/>
      <c r="X24" s="231"/>
      <c r="Y24" s="231"/>
      <c r="Z24" s="231"/>
    </row>
    <row r="25" spans="1:26" ht="18" customHeight="1" x14ac:dyDescent="0.15">
      <c r="A25" s="231"/>
      <c r="B25" s="231"/>
      <c r="C25" s="231"/>
      <c r="D25" s="231"/>
      <c r="E25" s="231"/>
      <c r="F25" s="231"/>
      <c r="G25" s="231"/>
      <c r="H25" s="231"/>
      <c r="I25" s="231"/>
      <c r="J25" s="231"/>
      <c r="K25" s="231"/>
      <c r="L25" s="231"/>
      <c r="M25" s="231"/>
      <c r="N25" s="231"/>
      <c r="O25" s="231"/>
      <c r="P25" s="231"/>
      <c r="Q25" s="231"/>
      <c r="R25" s="231"/>
      <c r="S25" s="231"/>
      <c r="T25" s="231"/>
      <c r="U25" s="231"/>
      <c r="V25" s="231"/>
      <c r="W25" s="231"/>
      <c r="X25" s="231"/>
      <c r="Y25" s="231"/>
      <c r="Z25" s="231"/>
    </row>
    <row r="26" spans="1:26" ht="18" customHeight="1" x14ac:dyDescent="0.15">
      <c r="A26" s="14"/>
      <c r="B26" s="172" t="s">
        <v>100</v>
      </c>
      <c r="C26" s="173"/>
      <c r="D26" s="173"/>
      <c r="E26" s="173"/>
      <c r="F26" s="174"/>
      <c r="G26" s="30" t="s">
        <v>141</v>
      </c>
      <c r="H26" s="106" t="s">
        <v>140</v>
      </c>
      <c r="I26" s="173" t="s">
        <v>101</v>
      </c>
      <c r="J26" s="173"/>
      <c r="K26" s="173"/>
      <c r="L26" s="75" t="s">
        <v>127</v>
      </c>
      <c r="M26" s="75" t="s">
        <v>128</v>
      </c>
      <c r="N26" s="172" t="s">
        <v>100</v>
      </c>
      <c r="O26" s="173"/>
      <c r="P26" s="173"/>
      <c r="Q26" s="173"/>
      <c r="R26" s="173"/>
      <c r="S26" s="174"/>
      <c r="T26" s="30" t="s">
        <v>141</v>
      </c>
      <c r="U26" s="106" t="s">
        <v>140</v>
      </c>
      <c r="V26" s="173" t="s">
        <v>101</v>
      </c>
      <c r="W26" s="173"/>
      <c r="X26" s="173"/>
      <c r="Y26" s="75" t="s">
        <v>127</v>
      </c>
      <c r="Z26" s="75" t="s">
        <v>128</v>
      </c>
    </row>
    <row r="27" spans="1:26" ht="18" customHeight="1" x14ac:dyDescent="0.15">
      <c r="A27" s="14"/>
      <c r="B27" s="185" t="s">
        <v>181</v>
      </c>
      <c r="C27" s="186"/>
      <c r="D27" s="186"/>
      <c r="E27" s="186"/>
      <c r="F27" s="187"/>
      <c r="G27" s="107" t="s">
        <v>182</v>
      </c>
      <c r="H27" s="107" t="s">
        <v>173</v>
      </c>
      <c r="I27" s="194" t="s">
        <v>172</v>
      </c>
      <c r="J27" s="195"/>
      <c r="K27" s="196"/>
      <c r="L27" s="107" t="s">
        <v>173</v>
      </c>
      <c r="M27" s="107"/>
      <c r="N27" s="157"/>
      <c r="O27" s="158"/>
      <c r="P27" s="158"/>
      <c r="Q27" s="158"/>
      <c r="R27" s="158"/>
      <c r="S27" s="159"/>
      <c r="T27" s="107"/>
      <c r="U27" s="107"/>
      <c r="V27" s="194"/>
      <c r="W27" s="195"/>
      <c r="X27" s="196"/>
      <c r="Y27" s="107"/>
      <c r="Z27" s="107"/>
    </row>
    <row r="28" spans="1:26" ht="18" customHeight="1" x14ac:dyDescent="0.15">
      <c r="A28" s="14"/>
      <c r="B28" s="175" t="s">
        <v>164</v>
      </c>
      <c r="C28" s="176"/>
      <c r="D28" s="176"/>
      <c r="E28" s="176"/>
      <c r="F28" s="177"/>
      <c r="G28" s="108">
        <v>2</v>
      </c>
      <c r="H28" s="108" t="s">
        <v>173</v>
      </c>
      <c r="I28" s="166" t="s">
        <v>172</v>
      </c>
      <c r="J28" s="167"/>
      <c r="K28" s="168"/>
      <c r="L28" s="108" t="s">
        <v>173</v>
      </c>
      <c r="M28" s="108" t="s">
        <v>173</v>
      </c>
      <c r="N28" s="160"/>
      <c r="O28" s="161"/>
      <c r="P28" s="161"/>
      <c r="Q28" s="161"/>
      <c r="R28" s="161"/>
      <c r="S28" s="162"/>
      <c r="T28" s="108"/>
      <c r="U28" s="108"/>
      <c r="V28" s="166"/>
      <c r="W28" s="167"/>
      <c r="X28" s="168"/>
      <c r="Y28" s="108"/>
      <c r="Z28" s="108"/>
    </row>
    <row r="29" spans="1:26" ht="18" customHeight="1" x14ac:dyDescent="0.15">
      <c r="A29" s="14"/>
      <c r="B29" s="175" t="s">
        <v>167</v>
      </c>
      <c r="C29" s="176"/>
      <c r="D29" s="176"/>
      <c r="E29" s="176"/>
      <c r="F29" s="177"/>
      <c r="G29" s="108">
        <v>1</v>
      </c>
      <c r="H29" s="108"/>
      <c r="I29" s="166" t="s">
        <v>172</v>
      </c>
      <c r="J29" s="167"/>
      <c r="K29" s="168"/>
      <c r="L29" s="108"/>
      <c r="M29" s="108" t="s">
        <v>173</v>
      </c>
      <c r="N29" s="160"/>
      <c r="O29" s="161"/>
      <c r="P29" s="161"/>
      <c r="Q29" s="161"/>
      <c r="R29" s="161"/>
      <c r="S29" s="162"/>
      <c r="T29" s="108"/>
      <c r="U29" s="108"/>
      <c r="V29" s="166"/>
      <c r="W29" s="167"/>
      <c r="X29" s="168"/>
      <c r="Y29" s="108"/>
      <c r="Z29" s="108"/>
    </row>
    <row r="30" spans="1:26" ht="18" customHeight="1" x14ac:dyDescent="0.15">
      <c r="A30" s="14"/>
      <c r="B30" s="175" t="s">
        <v>174</v>
      </c>
      <c r="C30" s="176"/>
      <c r="D30" s="176"/>
      <c r="E30" s="176"/>
      <c r="F30" s="177"/>
      <c r="G30" s="108">
        <v>1</v>
      </c>
      <c r="H30" s="108"/>
      <c r="I30" s="166" t="s">
        <v>172</v>
      </c>
      <c r="J30" s="167"/>
      <c r="K30" s="168"/>
      <c r="L30" s="108" t="s">
        <v>173</v>
      </c>
      <c r="M30" s="108"/>
      <c r="N30" s="160"/>
      <c r="O30" s="161"/>
      <c r="P30" s="161"/>
      <c r="Q30" s="161"/>
      <c r="R30" s="161"/>
      <c r="S30" s="162"/>
      <c r="T30" s="108"/>
      <c r="U30" s="108"/>
      <c r="V30" s="166"/>
      <c r="W30" s="167"/>
      <c r="X30" s="168"/>
      <c r="Y30" s="108"/>
      <c r="Z30" s="108"/>
    </row>
    <row r="31" spans="1:26" ht="18" customHeight="1" x14ac:dyDescent="0.15">
      <c r="A31" s="14"/>
      <c r="B31" s="175" t="s">
        <v>169</v>
      </c>
      <c r="C31" s="176"/>
      <c r="D31" s="176"/>
      <c r="E31" s="176"/>
      <c r="F31" s="177"/>
      <c r="G31" s="108">
        <v>2</v>
      </c>
      <c r="H31" s="108"/>
      <c r="I31" s="166" t="s">
        <v>172</v>
      </c>
      <c r="J31" s="167"/>
      <c r="K31" s="168"/>
      <c r="L31" s="108" t="s">
        <v>173</v>
      </c>
      <c r="M31" s="108" t="s">
        <v>173</v>
      </c>
      <c r="N31" s="160"/>
      <c r="O31" s="161"/>
      <c r="P31" s="161"/>
      <c r="Q31" s="161"/>
      <c r="R31" s="161"/>
      <c r="S31" s="162"/>
      <c r="T31" s="108"/>
      <c r="U31" s="108"/>
      <c r="V31" s="166"/>
      <c r="W31" s="167"/>
      <c r="X31" s="168"/>
      <c r="Y31" s="108"/>
      <c r="Z31" s="108"/>
    </row>
    <row r="32" spans="1:26" ht="18" customHeight="1" x14ac:dyDescent="0.15">
      <c r="A32" s="14"/>
      <c r="B32" s="178" t="s">
        <v>170</v>
      </c>
      <c r="C32" s="179"/>
      <c r="D32" s="179"/>
      <c r="E32" s="179"/>
      <c r="F32" s="180"/>
      <c r="G32" s="108">
        <v>2</v>
      </c>
      <c r="H32" s="108"/>
      <c r="I32" s="166" t="s">
        <v>172</v>
      </c>
      <c r="J32" s="167"/>
      <c r="K32" s="168"/>
      <c r="L32" s="108" t="s">
        <v>173</v>
      </c>
      <c r="M32" s="108" t="s">
        <v>173</v>
      </c>
      <c r="N32" s="160"/>
      <c r="O32" s="161"/>
      <c r="P32" s="161"/>
      <c r="Q32" s="161"/>
      <c r="R32" s="161"/>
      <c r="S32" s="162"/>
      <c r="T32" s="108"/>
      <c r="U32" s="108"/>
      <c r="V32" s="166"/>
      <c r="W32" s="167"/>
      <c r="X32" s="168"/>
      <c r="Y32" s="108"/>
      <c r="Z32" s="108"/>
    </row>
    <row r="33" spans="1:26" ht="18" customHeight="1" x14ac:dyDescent="0.15">
      <c r="A33" s="14"/>
      <c r="B33" s="181" t="s">
        <v>171</v>
      </c>
      <c r="C33" s="182"/>
      <c r="D33" s="182"/>
      <c r="E33" s="182"/>
      <c r="F33" s="183"/>
      <c r="G33" s="109">
        <v>2</v>
      </c>
      <c r="H33" s="109"/>
      <c r="I33" s="228" t="s">
        <v>172</v>
      </c>
      <c r="J33" s="229"/>
      <c r="K33" s="230"/>
      <c r="L33" s="114" t="s">
        <v>173</v>
      </c>
      <c r="M33" s="114" t="s">
        <v>173</v>
      </c>
      <c r="N33" s="163"/>
      <c r="O33" s="164"/>
      <c r="P33" s="164"/>
      <c r="Q33" s="164"/>
      <c r="R33" s="164"/>
      <c r="S33" s="165"/>
      <c r="T33" s="109"/>
      <c r="U33" s="109"/>
      <c r="V33" s="169"/>
      <c r="W33" s="170"/>
      <c r="X33" s="171"/>
      <c r="Y33" s="114"/>
      <c r="Z33" s="114"/>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31" t="s">
        <v>129</v>
      </c>
      <c r="B35" s="231"/>
      <c r="C35" s="231"/>
      <c r="D35" s="231"/>
      <c r="E35" s="231"/>
      <c r="F35" s="231"/>
      <c r="G35" s="231"/>
      <c r="H35" s="231"/>
      <c r="I35" s="231"/>
      <c r="J35" s="231"/>
      <c r="K35" s="231"/>
      <c r="L35" s="231"/>
      <c r="M35" s="231"/>
      <c r="N35" s="231"/>
      <c r="O35" s="231"/>
      <c r="P35" s="231"/>
      <c r="Q35" s="231"/>
      <c r="R35" s="231"/>
      <c r="S35" s="231"/>
      <c r="T35" s="231"/>
      <c r="U35" s="231"/>
      <c r="V35" s="231"/>
      <c r="W35" s="231"/>
      <c r="X35" s="231"/>
      <c r="Y35" s="231"/>
      <c r="Z35" s="231"/>
    </row>
    <row r="36" spans="1:26" ht="18" customHeight="1" x14ac:dyDescent="0.15">
      <c r="A36" s="231"/>
      <c r="B36" s="231"/>
      <c r="C36" s="231"/>
      <c r="D36" s="231"/>
      <c r="E36" s="231"/>
      <c r="F36" s="231"/>
      <c r="G36" s="231"/>
      <c r="H36" s="231"/>
      <c r="I36" s="231"/>
      <c r="J36" s="231"/>
      <c r="K36" s="231"/>
      <c r="L36" s="231"/>
      <c r="M36" s="231"/>
      <c r="N36" s="231"/>
      <c r="O36" s="231"/>
      <c r="P36" s="231"/>
      <c r="Q36" s="231"/>
      <c r="R36" s="231"/>
      <c r="S36" s="231"/>
      <c r="T36" s="231"/>
      <c r="U36" s="231"/>
      <c r="V36" s="231"/>
      <c r="W36" s="231"/>
      <c r="X36" s="231"/>
      <c r="Y36" s="231"/>
      <c r="Z36" s="231"/>
    </row>
    <row r="37" spans="1:26" ht="18" customHeight="1" x14ac:dyDescent="0.15">
      <c r="A37" s="14"/>
      <c r="B37" s="172" t="s">
        <v>100</v>
      </c>
      <c r="C37" s="173"/>
      <c r="D37" s="173"/>
      <c r="E37" s="173"/>
      <c r="F37" s="174"/>
      <c r="G37" s="30" t="s">
        <v>141</v>
      </c>
      <c r="H37" s="106" t="s">
        <v>140</v>
      </c>
      <c r="I37" s="172" t="s">
        <v>101</v>
      </c>
      <c r="J37" s="173"/>
      <c r="K37" s="174"/>
      <c r="L37" s="75" t="s">
        <v>130</v>
      </c>
      <c r="M37" s="75" t="s">
        <v>131</v>
      </c>
      <c r="N37" s="172" t="s">
        <v>100</v>
      </c>
      <c r="O37" s="173"/>
      <c r="P37" s="173"/>
      <c r="Q37" s="173"/>
      <c r="R37" s="173"/>
      <c r="S37" s="174"/>
      <c r="T37" s="30" t="s">
        <v>141</v>
      </c>
      <c r="U37" s="106" t="s">
        <v>140</v>
      </c>
      <c r="V37" s="172" t="s">
        <v>101</v>
      </c>
      <c r="W37" s="173"/>
      <c r="X37" s="174"/>
      <c r="Y37" s="75" t="s">
        <v>130</v>
      </c>
      <c r="Z37" s="75" t="s">
        <v>131</v>
      </c>
    </row>
    <row r="38" spans="1:26" ht="18" customHeight="1" x14ac:dyDescent="0.15">
      <c r="A38" s="29"/>
      <c r="B38" s="185" t="s">
        <v>181</v>
      </c>
      <c r="C38" s="186"/>
      <c r="D38" s="186"/>
      <c r="E38" s="186"/>
      <c r="F38" s="187"/>
      <c r="G38" s="107" t="s">
        <v>182</v>
      </c>
      <c r="H38" s="107" t="s">
        <v>173</v>
      </c>
      <c r="I38" s="194" t="s">
        <v>172</v>
      </c>
      <c r="J38" s="195"/>
      <c r="K38" s="196"/>
      <c r="L38" s="107" t="s">
        <v>173</v>
      </c>
      <c r="M38" s="107"/>
      <c r="N38" s="157" t="s">
        <v>169</v>
      </c>
      <c r="O38" s="158"/>
      <c r="P38" s="158"/>
      <c r="Q38" s="158"/>
      <c r="R38" s="158"/>
      <c r="S38" s="159"/>
      <c r="T38" s="107">
        <v>2</v>
      </c>
      <c r="U38" s="107"/>
      <c r="V38" s="194" t="s">
        <v>172</v>
      </c>
      <c r="W38" s="195"/>
      <c r="X38" s="196"/>
      <c r="Y38" s="107" t="s">
        <v>173</v>
      </c>
      <c r="Z38" s="107" t="s">
        <v>173</v>
      </c>
    </row>
    <row r="39" spans="1:26" ht="18" customHeight="1" x14ac:dyDescent="0.15">
      <c r="A39" s="29"/>
      <c r="B39" s="175" t="s">
        <v>164</v>
      </c>
      <c r="C39" s="176"/>
      <c r="D39" s="176"/>
      <c r="E39" s="176"/>
      <c r="F39" s="177"/>
      <c r="G39" s="108">
        <v>2</v>
      </c>
      <c r="H39" s="108" t="s">
        <v>173</v>
      </c>
      <c r="I39" s="166" t="s">
        <v>172</v>
      </c>
      <c r="J39" s="167"/>
      <c r="K39" s="168"/>
      <c r="L39" s="108" t="s">
        <v>173</v>
      </c>
      <c r="M39" s="108" t="s">
        <v>173</v>
      </c>
      <c r="N39" s="160" t="s">
        <v>177</v>
      </c>
      <c r="O39" s="161"/>
      <c r="P39" s="161"/>
      <c r="Q39" s="161"/>
      <c r="R39" s="161"/>
      <c r="S39" s="162"/>
      <c r="T39" s="108">
        <v>2</v>
      </c>
      <c r="U39" s="108"/>
      <c r="V39" s="166" t="s">
        <v>172</v>
      </c>
      <c r="W39" s="167"/>
      <c r="X39" s="168"/>
      <c r="Y39" s="108" t="s">
        <v>173</v>
      </c>
      <c r="Z39" s="108"/>
    </row>
    <row r="40" spans="1:26" ht="18" customHeight="1" x14ac:dyDescent="0.15">
      <c r="A40" s="29"/>
      <c r="B40" s="175" t="s">
        <v>166</v>
      </c>
      <c r="C40" s="176"/>
      <c r="D40" s="176"/>
      <c r="E40" s="176"/>
      <c r="F40" s="177"/>
      <c r="G40" s="108">
        <v>2</v>
      </c>
      <c r="H40" s="108"/>
      <c r="I40" s="166" t="s">
        <v>172</v>
      </c>
      <c r="J40" s="167"/>
      <c r="K40" s="168"/>
      <c r="L40" s="108"/>
      <c r="M40" s="108" t="s">
        <v>173</v>
      </c>
      <c r="N40" s="160" t="s">
        <v>170</v>
      </c>
      <c r="O40" s="161"/>
      <c r="P40" s="161"/>
      <c r="Q40" s="161"/>
      <c r="R40" s="161"/>
      <c r="S40" s="162"/>
      <c r="T40" s="108">
        <v>2</v>
      </c>
      <c r="U40" s="108"/>
      <c r="V40" s="166" t="s">
        <v>172</v>
      </c>
      <c r="W40" s="167"/>
      <c r="X40" s="168"/>
      <c r="Y40" s="108" t="s">
        <v>173</v>
      </c>
      <c r="Z40" s="108" t="s">
        <v>173</v>
      </c>
    </row>
    <row r="41" spans="1:26" ht="18" customHeight="1" x14ac:dyDescent="0.15">
      <c r="A41" s="29"/>
      <c r="B41" s="175" t="s">
        <v>167</v>
      </c>
      <c r="C41" s="176"/>
      <c r="D41" s="176"/>
      <c r="E41" s="176"/>
      <c r="F41" s="177"/>
      <c r="G41" s="108">
        <v>1</v>
      </c>
      <c r="H41" s="108"/>
      <c r="I41" s="166" t="s">
        <v>172</v>
      </c>
      <c r="J41" s="167"/>
      <c r="K41" s="168"/>
      <c r="L41" s="108" t="s">
        <v>173</v>
      </c>
      <c r="M41" s="108"/>
      <c r="N41" s="160"/>
      <c r="O41" s="161"/>
      <c r="P41" s="161"/>
      <c r="Q41" s="161"/>
      <c r="R41" s="161"/>
      <c r="S41" s="162"/>
      <c r="T41" s="108"/>
      <c r="U41" s="108"/>
      <c r="V41" s="166"/>
      <c r="W41" s="167"/>
      <c r="X41" s="168"/>
      <c r="Y41" s="108"/>
      <c r="Z41" s="108"/>
    </row>
    <row r="42" spans="1:26" ht="18" customHeight="1" x14ac:dyDescent="0.15">
      <c r="A42" s="29"/>
      <c r="B42" s="175" t="s">
        <v>174</v>
      </c>
      <c r="C42" s="176"/>
      <c r="D42" s="176"/>
      <c r="E42" s="176"/>
      <c r="F42" s="177"/>
      <c r="G42" s="108">
        <v>1</v>
      </c>
      <c r="H42" s="108"/>
      <c r="I42" s="166" t="s">
        <v>172</v>
      </c>
      <c r="J42" s="167"/>
      <c r="K42" s="168"/>
      <c r="L42" s="108" t="s">
        <v>173</v>
      </c>
      <c r="M42" s="108"/>
      <c r="N42" s="160"/>
      <c r="O42" s="161"/>
      <c r="P42" s="161"/>
      <c r="Q42" s="161"/>
      <c r="R42" s="161"/>
      <c r="S42" s="162"/>
      <c r="T42" s="108"/>
      <c r="U42" s="108"/>
      <c r="V42" s="166"/>
      <c r="W42" s="167"/>
      <c r="X42" s="168"/>
      <c r="Y42" s="108"/>
      <c r="Z42" s="108"/>
    </row>
    <row r="43" spans="1:26" ht="18" customHeight="1" x14ac:dyDescent="0.15">
      <c r="A43" s="29"/>
      <c r="B43" s="178" t="s">
        <v>175</v>
      </c>
      <c r="C43" s="179"/>
      <c r="D43" s="179"/>
      <c r="E43" s="179"/>
      <c r="F43" s="180"/>
      <c r="G43" s="108">
        <v>2</v>
      </c>
      <c r="H43" s="108"/>
      <c r="I43" s="166" t="s">
        <v>172</v>
      </c>
      <c r="J43" s="167"/>
      <c r="K43" s="168"/>
      <c r="L43" s="108" t="s">
        <v>173</v>
      </c>
      <c r="M43" s="108"/>
      <c r="N43" s="160"/>
      <c r="O43" s="161"/>
      <c r="P43" s="161"/>
      <c r="Q43" s="161"/>
      <c r="R43" s="161"/>
      <c r="S43" s="162"/>
      <c r="T43" s="108"/>
      <c r="U43" s="108"/>
      <c r="V43" s="166"/>
      <c r="W43" s="167"/>
      <c r="X43" s="168"/>
      <c r="Y43" s="108"/>
      <c r="Z43" s="108"/>
    </row>
    <row r="44" spans="1:26" ht="18" customHeight="1" x14ac:dyDescent="0.15">
      <c r="A44" s="29"/>
      <c r="B44" s="181" t="s">
        <v>176</v>
      </c>
      <c r="C44" s="182"/>
      <c r="D44" s="182"/>
      <c r="E44" s="182"/>
      <c r="F44" s="183"/>
      <c r="G44" s="109">
        <v>2</v>
      </c>
      <c r="H44" s="109"/>
      <c r="I44" s="228" t="s">
        <v>172</v>
      </c>
      <c r="J44" s="229"/>
      <c r="K44" s="230"/>
      <c r="L44" s="114" t="s">
        <v>173</v>
      </c>
      <c r="M44" s="114"/>
      <c r="N44" s="163"/>
      <c r="O44" s="164"/>
      <c r="P44" s="164"/>
      <c r="Q44" s="164"/>
      <c r="R44" s="164"/>
      <c r="S44" s="165"/>
      <c r="T44" s="109"/>
      <c r="U44" s="109"/>
      <c r="V44" s="169"/>
      <c r="W44" s="170"/>
      <c r="X44" s="171"/>
      <c r="Y44" s="114"/>
      <c r="Z44" s="114"/>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31" t="s">
        <v>132</v>
      </c>
      <c r="B46" s="231"/>
      <c r="C46" s="231"/>
      <c r="D46" s="231"/>
      <c r="E46" s="231"/>
      <c r="F46" s="231"/>
      <c r="G46" s="231"/>
      <c r="H46" s="231"/>
      <c r="I46" s="231"/>
      <c r="J46" s="231"/>
      <c r="K46" s="231"/>
      <c r="L46" s="231"/>
      <c r="M46" s="231"/>
      <c r="N46" s="231"/>
      <c r="O46" s="231"/>
      <c r="P46" s="231"/>
      <c r="Q46" s="231"/>
      <c r="R46" s="231"/>
      <c r="S46" s="231"/>
      <c r="T46" s="231"/>
      <c r="U46" s="231"/>
      <c r="V46" s="231"/>
      <c r="W46" s="231"/>
      <c r="X46" s="231"/>
      <c r="Y46" s="231"/>
      <c r="Z46" s="231"/>
    </row>
    <row r="47" spans="1:26" ht="18" customHeight="1" x14ac:dyDescent="0.15">
      <c r="A47" s="231"/>
      <c r="B47" s="231"/>
      <c r="C47" s="231"/>
      <c r="D47" s="231"/>
      <c r="E47" s="231"/>
      <c r="F47" s="231"/>
      <c r="G47" s="231"/>
      <c r="H47" s="231"/>
      <c r="I47" s="231"/>
      <c r="J47" s="231"/>
      <c r="K47" s="231"/>
      <c r="L47" s="231"/>
      <c r="M47" s="231"/>
      <c r="N47" s="231"/>
      <c r="O47" s="231"/>
      <c r="P47" s="231"/>
      <c r="Q47" s="231"/>
      <c r="R47" s="231"/>
      <c r="S47" s="231"/>
      <c r="T47" s="231"/>
      <c r="U47" s="231"/>
      <c r="V47" s="231"/>
      <c r="W47" s="231"/>
      <c r="X47" s="231"/>
      <c r="Y47" s="231"/>
      <c r="Z47" s="231"/>
    </row>
    <row r="48" spans="1:26" ht="18" customHeight="1" x14ac:dyDescent="0.15">
      <c r="A48" s="14"/>
      <c r="B48" s="172" t="s">
        <v>100</v>
      </c>
      <c r="C48" s="173"/>
      <c r="D48" s="173"/>
      <c r="E48" s="173"/>
      <c r="F48" s="174"/>
      <c r="G48" s="30" t="s">
        <v>141</v>
      </c>
      <c r="H48" s="106" t="s">
        <v>140</v>
      </c>
      <c r="I48" s="172" t="s">
        <v>101</v>
      </c>
      <c r="J48" s="173"/>
      <c r="K48" s="174"/>
      <c r="L48" s="75" t="s">
        <v>106</v>
      </c>
      <c r="M48" s="75" t="s">
        <v>108</v>
      </c>
      <c r="N48" s="172" t="s">
        <v>100</v>
      </c>
      <c r="O48" s="173"/>
      <c r="P48" s="173"/>
      <c r="Q48" s="173"/>
      <c r="R48" s="173"/>
      <c r="S48" s="174"/>
      <c r="T48" s="30" t="s">
        <v>141</v>
      </c>
      <c r="U48" s="106" t="s">
        <v>140</v>
      </c>
      <c r="V48" s="172" t="s">
        <v>101</v>
      </c>
      <c r="W48" s="173"/>
      <c r="X48" s="174"/>
      <c r="Y48" s="75" t="s">
        <v>106</v>
      </c>
      <c r="Z48" s="75" t="s">
        <v>108</v>
      </c>
    </row>
    <row r="49" spans="1:26" ht="18" customHeight="1" x14ac:dyDescent="0.15">
      <c r="A49" s="29"/>
      <c r="B49" s="185" t="s">
        <v>181</v>
      </c>
      <c r="C49" s="186"/>
      <c r="D49" s="186"/>
      <c r="E49" s="186"/>
      <c r="F49" s="187"/>
      <c r="G49" s="107" t="s">
        <v>182</v>
      </c>
      <c r="H49" s="107" t="s">
        <v>173</v>
      </c>
      <c r="I49" s="194" t="s">
        <v>172</v>
      </c>
      <c r="J49" s="195"/>
      <c r="K49" s="196"/>
      <c r="L49" s="107" t="s">
        <v>173</v>
      </c>
      <c r="M49" s="107" t="s">
        <v>173</v>
      </c>
      <c r="N49" s="157"/>
      <c r="O49" s="158"/>
      <c r="P49" s="158"/>
      <c r="Q49" s="158"/>
      <c r="R49" s="158"/>
      <c r="S49" s="159"/>
      <c r="T49" s="107"/>
      <c r="U49" s="107"/>
      <c r="V49" s="194"/>
      <c r="W49" s="195"/>
      <c r="X49" s="196"/>
      <c r="Y49" s="107"/>
      <c r="Z49" s="107"/>
    </row>
    <row r="50" spans="1:26" ht="18" customHeight="1" x14ac:dyDescent="0.15">
      <c r="A50" s="29"/>
      <c r="B50" s="175" t="s">
        <v>164</v>
      </c>
      <c r="C50" s="176"/>
      <c r="D50" s="176"/>
      <c r="E50" s="176"/>
      <c r="F50" s="177"/>
      <c r="G50" s="108">
        <v>2</v>
      </c>
      <c r="H50" s="108" t="s">
        <v>173</v>
      </c>
      <c r="I50" s="166" t="s">
        <v>172</v>
      </c>
      <c r="J50" s="167"/>
      <c r="K50" s="168"/>
      <c r="L50" s="108" t="s">
        <v>173</v>
      </c>
      <c r="M50" s="108" t="s">
        <v>173</v>
      </c>
      <c r="N50" s="160"/>
      <c r="O50" s="161"/>
      <c r="P50" s="161"/>
      <c r="Q50" s="161"/>
      <c r="R50" s="161"/>
      <c r="S50" s="162"/>
      <c r="T50" s="108"/>
      <c r="U50" s="108"/>
      <c r="V50" s="166"/>
      <c r="W50" s="167"/>
      <c r="X50" s="168"/>
      <c r="Y50" s="108"/>
      <c r="Z50" s="108"/>
    </row>
    <row r="51" spans="1:26" ht="18" customHeight="1" x14ac:dyDescent="0.15">
      <c r="A51" s="29"/>
      <c r="B51" s="175" t="s">
        <v>167</v>
      </c>
      <c r="C51" s="176"/>
      <c r="D51" s="176"/>
      <c r="E51" s="176"/>
      <c r="F51" s="177"/>
      <c r="G51" s="108">
        <v>1</v>
      </c>
      <c r="H51" s="108"/>
      <c r="I51" s="166" t="s">
        <v>172</v>
      </c>
      <c r="J51" s="167"/>
      <c r="K51" s="168"/>
      <c r="L51" s="108" t="s">
        <v>173</v>
      </c>
      <c r="M51" s="108"/>
      <c r="N51" s="160"/>
      <c r="O51" s="161"/>
      <c r="P51" s="161"/>
      <c r="Q51" s="161"/>
      <c r="R51" s="161"/>
      <c r="S51" s="162"/>
      <c r="T51" s="108"/>
      <c r="U51" s="108"/>
      <c r="V51" s="166"/>
      <c r="W51" s="167"/>
      <c r="X51" s="168"/>
      <c r="Y51" s="108"/>
      <c r="Z51" s="108"/>
    </row>
    <row r="52" spans="1:26" ht="18" customHeight="1" x14ac:dyDescent="0.15">
      <c r="A52" s="29"/>
      <c r="B52" s="175" t="s">
        <v>174</v>
      </c>
      <c r="C52" s="176"/>
      <c r="D52" s="176"/>
      <c r="E52" s="176"/>
      <c r="F52" s="177"/>
      <c r="G52" s="108">
        <v>1</v>
      </c>
      <c r="H52" s="108"/>
      <c r="I52" s="166" t="s">
        <v>172</v>
      </c>
      <c r="J52" s="167"/>
      <c r="K52" s="168"/>
      <c r="L52" s="108" t="s">
        <v>173</v>
      </c>
      <c r="M52" s="108"/>
      <c r="N52" s="160"/>
      <c r="O52" s="161"/>
      <c r="P52" s="161"/>
      <c r="Q52" s="161"/>
      <c r="R52" s="161"/>
      <c r="S52" s="162"/>
      <c r="T52" s="108"/>
      <c r="U52" s="108"/>
      <c r="V52" s="166"/>
      <c r="W52" s="167"/>
      <c r="X52" s="168"/>
      <c r="Y52" s="108"/>
      <c r="Z52" s="108"/>
    </row>
    <row r="53" spans="1:26" ht="18" customHeight="1" x14ac:dyDescent="0.15">
      <c r="A53" s="29"/>
      <c r="B53" s="175" t="s">
        <v>169</v>
      </c>
      <c r="C53" s="176"/>
      <c r="D53" s="176"/>
      <c r="E53" s="176"/>
      <c r="F53" s="177"/>
      <c r="G53" s="108">
        <v>2</v>
      </c>
      <c r="H53" s="108"/>
      <c r="I53" s="166" t="s">
        <v>172</v>
      </c>
      <c r="J53" s="167"/>
      <c r="K53" s="168"/>
      <c r="L53" s="108" t="s">
        <v>173</v>
      </c>
      <c r="M53" s="108"/>
      <c r="N53" s="160"/>
      <c r="O53" s="161"/>
      <c r="P53" s="161"/>
      <c r="Q53" s="161"/>
      <c r="R53" s="161"/>
      <c r="S53" s="162"/>
      <c r="T53" s="108"/>
      <c r="U53" s="108"/>
      <c r="V53" s="166"/>
      <c r="W53" s="167"/>
      <c r="X53" s="168"/>
      <c r="Y53" s="108"/>
      <c r="Z53" s="108"/>
    </row>
    <row r="54" spans="1:26" ht="18" customHeight="1" x14ac:dyDescent="0.15">
      <c r="A54" s="29"/>
      <c r="B54" s="175" t="s">
        <v>170</v>
      </c>
      <c r="C54" s="176"/>
      <c r="D54" s="176"/>
      <c r="E54" s="176"/>
      <c r="F54" s="177"/>
      <c r="G54" s="108">
        <v>2</v>
      </c>
      <c r="H54" s="108"/>
      <c r="I54" s="166" t="s">
        <v>172</v>
      </c>
      <c r="J54" s="167"/>
      <c r="K54" s="168"/>
      <c r="L54" s="108" t="s">
        <v>173</v>
      </c>
      <c r="M54" s="108" t="s">
        <v>173</v>
      </c>
      <c r="N54" s="160"/>
      <c r="O54" s="161"/>
      <c r="P54" s="161"/>
      <c r="Q54" s="161"/>
      <c r="R54" s="161"/>
      <c r="S54" s="162"/>
      <c r="T54" s="108"/>
      <c r="U54" s="108"/>
      <c r="V54" s="166"/>
      <c r="W54" s="167"/>
      <c r="X54" s="168"/>
      <c r="Y54" s="108"/>
      <c r="Z54" s="108"/>
    </row>
    <row r="55" spans="1:26" ht="18" customHeight="1" x14ac:dyDescent="0.15">
      <c r="A55" s="29"/>
      <c r="B55" s="181" t="s">
        <v>171</v>
      </c>
      <c r="C55" s="182"/>
      <c r="D55" s="182"/>
      <c r="E55" s="182"/>
      <c r="F55" s="183"/>
      <c r="G55" s="109">
        <v>2</v>
      </c>
      <c r="H55" s="109"/>
      <c r="I55" s="169" t="s">
        <v>172</v>
      </c>
      <c r="J55" s="170"/>
      <c r="K55" s="171"/>
      <c r="L55" s="114" t="s">
        <v>173</v>
      </c>
      <c r="M55" s="114" t="s">
        <v>173</v>
      </c>
      <c r="N55" s="163"/>
      <c r="O55" s="164"/>
      <c r="P55" s="164"/>
      <c r="Q55" s="164"/>
      <c r="R55" s="164"/>
      <c r="S55" s="165"/>
      <c r="T55" s="109"/>
      <c r="U55" s="109"/>
      <c r="V55" s="169"/>
      <c r="W55" s="170"/>
      <c r="X55" s="171"/>
      <c r="Y55" s="114"/>
      <c r="Z55" s="114"/>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31" t="s">
        <v>133</v>
      </c>
      <c r="B57" s="231"/>
      <c r="C57" s="231"/>
      <c r="D57" s="231"/>
      <c r="E57" s="231"/>
      <c r="F57" s="231"/>
      <c r="G57" s="231"/>
      <c r="H57" s="231"/>
      <c r="I57" s="231"/>
      <c r="J57" s="231"/>
      <c r="K57" s="231"/>
      <c r="L57" s="231"/>
      <c r="M57" s="231"/>
      <c r="N57" s="231"/>
      <c r="O57" s="231"/>
      <c r="P57" s="231"/>
      <c r="Q57" s="231"/>
      <c r="R57" s="231"/>
      <c r="S57" s="231"/>
      <c r="T57" s="231"/>
      <c r="U57" s="231"/>
      <c r="V57" s="231"/>
      <c r="W57" s="231"/>
      <c r="X57" s="231"/>
      <c r="Y57" s="231"/>
      <c r="Z57" s="231"/>
    </row>
    <row r="58" spans="1:26" ht="18" customHeight="1" x14ac:dyDescent="0.15">
      <c r="A58" s="231"/>
      <c r="B58" s="231"/>
      <c r="C58" s="231"/>
      <c r="D58" s="231"/>
      <c r="E58" s="231"/>
      <c r="F58" s="231"/>
      <c r="G58" s="231"/>
      <c r="H58" s="231"/>
      <c r="I58" s="231"/>
      <c r="J58" s="231"/>
      <c r="K58" s="231"/>
      <c r="L58" s="231"/>
      <c r="M58" s="231"/>
      <c r="N58" s="231"/>
      <c r="O58" s="231"/>
      <c r="P58" s="231"/>
      <c r="Q58" s="231"/>
      <c r="R58" s="231"/>
      <c r="S58" s="231"/>
      <c r="T58" s="231"/>
      <c r="U58" s="231"/>
      <c r="V58" s="231"/>
      <c r="W58" s="231"/>
      <c r="X58" s="231"/>
      <c r="Y58" s="231"/>
      <c r="Z58" s="231"/>
    </row>
    <row r="59" spans="1:26" ht="18" customHeight="1" x14ac:dyDescent="0.15">
      <c r="A59" s="14"/>
      <c r="B59" s="172" t="s">
        <v>100</v>
      </c>
      <c r="C59" s="173"/>
      <c r="D59" s="173"/>
      <c r="E59" s="174"/>
      <c r="F59" s="30" t="s">
        <v>141</v>
      </c>
      <c r="G59" s="106" t="s">
        <v>140</v>
      </c>
      <c r="H59" s="103" t="s">
        <v>101</v>
      </c>
      <c r="I59" s="104"/>
      <c r="J59" s="105"/>
      <c r="K59" s="75" t="s">
        <v>105</v>
      </c>
      <c r="L59" s="75" t="s">
        <v>134</v>
      </c>
      <c r="M59" s="75" t="s">
        <v>135</v>
      </c>
      <c r="N59" s="172" t="s">
        <v>100</v>
      </c>
      <c r="O59" s="173"/>
      <c r="P59" s="173"/>
      <c r="Q59" s="173"/>
      <c r="R59" s="174"/>
      <c r="S59" s="30" t="s">
        <v>141</v>
      </c>
      <c r="T59" s="106" t="s">
        <v>140</v>
      </c>
      <c r="U59" s="103" t="s">
        <v>101</v>
      </c>
      <c r="V59" s="104"/>
      <c r="W59" s="105"/>
      <c r="X59" s="75" t="s">
        <v>105</v>
      </c>
      <c r="Y59" s="75" t="s">
        <v>134</v>
      </c>
      <c r="Z59" s="75" t="s">
        <v>135</v>
      </c>
    </row>
    <row r="60" spans="1:26" ht="18" customHeight="1" x14ac:dyDescent="0.15">
      <c r="A60" s="29"/>
      <c r="B60" s="157" t="s">
        <v>181</v>
      </c>
      <c r="C60" s="158"/>
      <c r="D60" s="158"/>
      <c r="E60" s="159"/>
      <c r="F60" s="107" t="s">
        <v>182</v>
      </c>
      <c r="G60" s="107" t="s">
        <v>173</v>
      </c>
      <c r="H60" s="194" t="s">
        <v>172</v>
      </c>
      <c r="I60" s="195"/>
      <c r="J60" s="196"/>
      <c r="K60" s="107" t="s">
        <v>173</v>
      </c>
      <c r="L60" s="107" t="s">
        <v>173</v>
      </c>
      <c r="M60" s="107" t="s">
        <v>173</v>
      </c>
      <c r="N60" s="157" t="s">
        <v>179</v>
      </c>
      <c r="O60" s="158"/>
      <c r="P60" s="158"/>
      <c r="Q60" s="158"/>
      <c r="R60" s="159"/>
      <c r="S60" s="107">
        <v>2</v>
      </c>
      <c r="T60" s="107"/>
      <c r="U60" s="194" t="s">
        <v>172</v>
      </c>
      <c r="V60" s="195"/>
      <c r="W60" s="196"/>
      <c r="X60" s="107" t="s">
        <v>173</v>
      </c>
      <c r="Y60" s="107" t="s">
        <v>173</v>
      </c>
      <c r="Z60" s="107"/>
    </row>
    <row r="61" spans="1:26" ht="18" customHeight="1" x14ac:dyDescent="0.15">
      <c r="A61" s="29"/>
      <c r="B61" s="160" t="s">
        <v>164</v>
      </c>
      <c r="C61" s="161"/>
      <c r="D61" s="161"/>
      <c r="E61" s="162"/>
      <c r="F61" s="108">
        <v>2</v>
      </c>
      <c r="G61" s="108" t="s">
        <v>173</v>
      </c>
      <c r="H61" s="166" t="s">
        <v>172</v>
      </c>
      <c r="I61" s="167"/>
      <c r="J61" s="168"/>
      <c r="K61" s="108" t="s">
        <v>173</v>
      </c>
      <c r="L61" s="108" t="s">
        <v>173</v>
      </c>
      <c r="M61" s="108" t="s">
        <v>173</v>
      </c>
      <c r="N61" s="160" t="s">
        <v>180</v>
      </c>
      <c r="O61" s="161"/>
      <c r="P61" s="161"/>
      <c r="Q61" s="161"/>
      <c r="R61" s="162"/>
      <c r="S61" s="108">
        <v>2</v>
      </c>
      <c r="T61" s="108"/>
      <c r="U61" s="166" t="s">
        <v>172</v>
      </c>
      <c r="V61" s="167"/>
      <c r="W61" s="168"/>
      <c r="X61" s="108" t="s">
        <v>173</v>
      </c>
      <c r="Y61" s="108" t="s">
        <v>173</v>
      </c>
      <c r="Z61" s="108" t="s">
        <v>173</v>
      </c>
    </row>
    <row r="62" spans="1:26" ht="18" customHeight="1" x14ac:dyDescent="0.15">
      <c r="A62" s="29"/>
      <c r="B62" s="160" t="s">
        <v>167</v>
      </c>
      <c r="C62" s="161"/>
      <c r="D62" s="161"/>
      <c r="E62" s="162"/>
      <c r="F62" s="108">
        <v>1</v>
      </c>
      <c r="G62" s="108"/>
      <c r="H62" s="166" t="s">
        <v>172</v>
      </c>
      <c r="I62" s="167"/>
      <c r="J62" s="168"/>
      <c r="K62" s="108"/>
      <c r="L62" s="108"/>
      <c r="M62" s="108" t="s">
        <v>173</v>
      </c>
      <c r="N62" s="160" t="s">
        <v>170</v>
      </c>
      <c r="O62" s="161"/>
      <c r="P62" s="161"/>
      <c r="Q62" s="161"/>
      <c r="R62" s="162"/>
      <c r="S62" s="108">
        <v>2</v>
      </c>
      <c r="T62" s="108"/>
      <c r="U62" s="166" t="s">
        <v>172</v>
      </c>
      <c r="V62" s="167"/>
      <c r="W62" s="168"/>
      <c r="X62" s="108" t="s">
        <v>173</v>
      </c>
      <c r="Y62" s="108" t="s">
        <v>173</v>
      </c>
      <c r="Z62" s="108" t="s">
        <v>173</v>
      </c>
    </row>
    <row r="63" spans="1:26" ht="18" customHeight="1" x14ac:dyDescent="0.15">
      <c r="A63" s="29"/>
      <c r="B63" s="160" t="s">
        <v>174</v>
      </c>
      <c r="C63" s="161"/>
      <c r="D63" s="161"/>
      <c r="E63" s="162"/>
      <c r="F63" s="108">
        <v>1</v>
      </c>
      <c r="G63" s="108"/>
      <c r="H63" s="166" t="s">
        <v>172</v>
      </c>
      <c r="I63" s="167"/>
      <c r="J63" s="168"/>
      <c r="K63" s="108" t="s">
        <v>173</v>
      </c>
      <c r="L63" s="108" t="s">
        <v>173</v>
      </c>
      <c r="M63" s="108" t="s">
        <v>173</v>
      </c>
      <c r="N63" s="160"/>
      <c r="O63" s="161"/>
      <c r="P63" s="161"/>
      <c r="Q63" s="161"/>
      <c r="R63" s="162"/>
      <c r="S63" s="108"/>
      <c r="T63" s="108"/>
      <c r="U63" s="166"/>
      <c r="V63" s="167"/>
      <c r="W63" s="168"/>
      <c r="X63" s="112"/>
      <c r="Y63" s="108"/>
      <c r="Z63" s="108"/>
    </row>
    <row r="64" spans="1:26" ht="18" customHeight="1" x14ac:dyDescent="0.15">
      <c r="A64" s="29"/>
      <c r="B64" s="160" t="s">
        <v>175</v>
      </c>
      <c r="C64" s="161"/>
      <c r="D64" s="161"/>
      <c r="E64" s="162"/>
      <c r="F64" s="108">
        <v>2</v>
      </c>
      <c r="G64" s="108"/>
      <c r="H64" s="166" t="s">
        <v>172</v>
      </c>
      <c r="I64" s="167"/>
      <c r="J64" s="168"/>
      <c r="K64" s="108" t="s">
        <v>173</v>
      </c>
      <c r="L64" s="108"/>
      <c r="M64" s="108" t="s">
        <v>173</v>
      </c>
      <c r="N64" s="160"/>
      <c r="O64" s="161"/>
      <c r="P64" s="161"/>
      <c r="Q64" s="161"/>
      <c r="R64" s="162"/>
      <c r="S64" s="108"/>
      <c r="T64" s="108"/>
      <c r="U64" s="166"/>
      <c r="V64" s="167"/>
      <c r="W64" s="168"/>
      <c r="X64" s="112"/>
      <c r="Y64" s="108"/>
      <c r="Z64" s="108"/>
    </row>
    <row r="65" spans="1:26" ht="18" customHeight="1" x14ac:dyDescent="0.15">
      <c r="A65" s="29"/>
      <c r="B65" s="160" t="s">
        <v>176</v>
      </c>
      <c r="C65" s="161"/>
      <c r="D65" s="161"/>
      <c r="E65" s="162"/>
      <c r="F65" s="108">
        <v>2</v>
      </c>
      <c r="G65" s="108"/>
      <c r="H65" s="166" t="s">
        <v>172</v>
      </c>
      <c r="I65" s="167"/>
      <c r="J65" s="168"/>
      <c r="K65" s="112"/>
      <c r="L65" s="108"/>
      <c r="M65" s="108" t="s">
        <v>173</v>
      </c>
      <c r="N65" s="160"/>
      <c r="O65" s="161"/>
      <c r="P65" s="161"/>
      <c r="Q65" s="161"/>
      <c r="R65" s="162"/>
      <c r="S65" s="108"/>
      <c r="T65" s="108"/>
      <c r="U65" s="166"/>
      <c r="V65" s="167"/>
      <c r="W65" s="168"/>
      <c r="X65" s="112"/>
      <c r="Y65" s="108"/>
      <c r="Z65" s="108"/>
    </row>
    <row r="66" spans="1:26" ht="18" customHeight="1" x14ac:dyDescent="0.15">
      <c r="A66" s="29"/>
      <c r="B66" s="163" t="s">
        <v>178</v>
      </c>
      <c r="C66" s="164"/>
      <c r="D66" s="164"/>
      <c r="E66" s="165"/>
      <c r="F66" s="109">
        <v>1</v>
      </c>
      <c r="G66" s="109"/>
      <c r="H66" s="169" t="s">
        <v>172</v>
      </c>
      <c r="I66" s="170"/>
      <c r="J66" s="171"/>
      <c r="K66" s="113" t="s">
        <v>173</v>
      </c>
      <c r="L66" s="114" t="s">
        <v>173</v>
      </c>
      <c r="M66" s="114" t="s">
        <v>173</v>
      </c>
      <c r="N66" s="163"/>
      <c r="O66" s="164"/>
      <c r="P66" s="164"/>
      <c r="Q66" s="164"/>
      <c r="R66" s="165"/>
      <c r="S66" s="109"/>
      <c r="T66" s="109"/>
      <c r="U66" s="169"/>
      <c r="V66" s="170"/>
      <c r="W66" s="171"/>
      <c r="X66" s="113"/>
      <c r="Y66" s="114"/>
      <c r="Z66" s="114"/>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72" t="s">
        <v>100</v>
      </c>
      <c r="C69" s="173"/>
      <c r="D69" s="173"/>
      <c r="E69" s="173"/>
      <c r="F69" s="174"/>
      <c r="G69" s="172" t="s">
        <v>146</v>
      </c>
      <c r="H69" s="173"/>
      <c r="I69" s="173"/>
      <c r="J69" s="173"/>
      <c r="K69" s="173"/>
      <c r="L69" s="173"/>
      <c r="M69" s="174"/>
      <c r="N69" s="191" t="s">
        <v>100</v>
      </c>
      <c r="O69" s="192"/>
      <c r="P69" s="192"/>
      <c r="Q69" s="192"/>
      <c r="R69" s="192"/>
      <c r="S69" s="193"/>
      <c r="T69" s="172" t="s">
        <v>146</v>
      </c>
      <c r="U69" s="173"/>
      <c r="V69" s="173"/>
      <c r="W69" s="173"/>
      <c r="X69" s="173"/>
      <c r="Y69" s="173"/>
      <c r="Z69" s="174"/>
    </row>
    <row r="70" spans="1:26" ht="18" customHeight="1" x14ac:dyDescent="0.15">
      <c r="A70" s="29"/>
      <c r="B70" s="157"/>
      <c r="C70" s="158"/>
      <c r="D70" s="158"/>
      <c r="E70" s="158"/>
      <c r="F70" s="159"/>
      <c r="G70" s="243"/>
      <c r="H70" s="244"/>
      <c r="I70" s="244"/>
      <c r="J70" s="244"/>
      <c r="K70" s="244"/>
      <c r="L70" s="244"/>
      <c r="M70" s="245"/>
      <c r="N70" s="157"/>
      <c r="O70" s="158"/>
      <c r="P70" s="158"/>
      <c r="Q70" s="158"/>
      <c r="R70" s="158"/>
      <c r="S70" s="159"/>
      <c r="T70" s="243"/>
      <c r="U70" s="244"/>
      <c r="V70" s="244"/>
      <c r="W70" s="244"/>
      <c r="X70" s="244"/>
      <c r="Y70" s="244"/>
      <c r="Z70" s="245"/>
    </row>
    <row r="71" spans="1:26" ht="18" customHeight="1" x14ac:dyDescent="0.15">
      <c r="A71" s="29"/>
      <c r="B71" s="160"/>
      <c r="C71" s="161"/>
      <c r="D71" s="161"/>
      <c r="E71" s="161"/>
      <c r="F71" s="162"/>
      <c r="G71" s="212"/>
      <c r="H71" s="213"/>
      <c r="I71" s="213"/>
      <c r="J71" s="213"/>
      <c r="K71" s="213"/>
      <c r="L71" s="213"/>
      <c r="M71" s="214"/>
      <c r="N71" s="160"/>
      <c r="O71" s="161"/>
      <c r="P71" s="161"/>
      <c r="Q71" s="161"/>
      <c r="R71" s="161"/>
      <c r="S71" s="162"/>
      <c r="T71" s="212"/>
      <c r="U71" s="213"/>
      <c r="V71" s="213"/>
      <c r="W71" s="213"/>
      <c r="X71" s="213"/>
      <c r="Y71" s="213"/>
      <c r="Z71" s="214"/>
    </row>
    <row r="72" spans="1:26" ht="18" customHeight="1" x14ac:dyDescent="0.15">
      <c r="A72" s="29"/>
      <c r="B72" s="160"/>
      <c r="C72" s="161"/>
      <c r="D72" s="161"/>
      <c r="E72" s="161"/>
      <c r="F72" s="162"/>
      <c r="G72" s="212"/>
      <c r="H72" s="213"/>
      <c r="I72" s="213"/>
      <c r="J72" s="213"/>
      <c r="K72" s="213"/>
      <c r="L72" s="213"/>
      <c r="M72" s="214"/>
      <c r="N72" s="160"/>
      <c r="O72" s="161"/>
      <c r="P72" s="161"/>
      <c r="Q72" s="161"/>
      <c r="R72" s="161"/>
      <c r="S72" s="162"/>
      <c r="T72" s="212"/>
      <c r="U72" s="213"/>
      <c r="V72" s="213"/>
      <c r="W72" s="213"/>
      <c r="X72" s="213"/>
      <c r="Y72" s="213"/>
      <c r="Z72" s="214"/>
    </row>
    <row r="73" spans="1:26" ht="18" customHeight="1" x14ac:dyDescent="0.15">
      <c r="A73" s="29"/>
      <c r="B73" s="160"/>
      <c r="C73" s="161"/>
      <c r="D73" s="161"/>
      <c r="E73" s="161"/>
      <c r="F73" s="162"/>
      <c r="G73" s="212"/>
      <c r="H73" s="213"/>
      <c r="I73" s="213"/>
      <c r="J73" s="213"/>
      <c r="K73" s="213"/>
      <c r="L73" s="213"/>
      <c r="M73" s="214"/>
      <c r="N73" s="160"/>
      <c r="O73" s="161"/>
      <c r="P73" s="161"/>
      <c r="Q73" s="161"/>
      <c r="R73" s="161"/>
      <c r="S73" s="162"/>
      <c r="T73" s="212"/>
      <c r="U73" s="213"/>
      <c r="V73" s="213"/>
      <c r="W73" s="213"/>
      <c r="X73" s="213"/>
      <c r="Y73" s="213"/>
      <c r="Z73" s="214"/>
    </row>
    <row r="74" spans="1:26" ht="18" customHeight="1" x14ac:dyDescent="0.15">
      <c r="A74" s="29"/>
      <c r="B74" s="160"/>
      <c r="C74" s="161"/>
      <c r="D74" s="161"/>
      <c r="E74" s="161"/>
      <c r="F74" s="162"/>
      <c r="G74" s="212"/>
      <c r="H74" s="213"/>
      <c r="I74" s="213"/>
      <c r="J74" s="213"/>
      <c r="K74" s="213"/>
      <c r="L74" s="213"/>
      <c r="M74" s="214"/>
      <c r="N74" s="160"/>
      <c r="O74" s="161"/>
      <c r="P74" s="161"/>
      <c r="Q74" s="161"/>
      <c r="R74" s="161"/>
      <c r="S74" s="162"/>
      <c r="T74" s="212"/>
      <c r="U74" s="213"/>
      <c r="V74" s="213"/>
      <c r="W74" s="213"/>
      <c r="X74" s="213"/>
      <c r="Y74" s="213"/>
      <c r="Z74" s="214"/>
    </row>
    <row r="75" spans="1:26" ht="18" customHeight="1" x14ac:dyDescent="0.15">
      <c r="A75" s="29"/>
      <c r="B75" s="160"/>
      <c r="C75" s="161"/>
      <c r="D75" s="161"/>
      <c r="E75" s="161"/>
      <c r="F75" s="162"/>
      <c r="G75" s="212"/>
      <c r="H75" s="213"/>
      <c r="I75" s="213"/>
      <c r="J75" s="213"/>
      <c r="K75" s="213"/>
      <c r="L75" s="213"/>
      <c r="M75" s="214"/>
      <c r="N75" s="160"/>
      <c r="O75" s="161"/>
      <c r="P75" s="161"/>
      <c r="Q75" s="161"/>
      <c r="R75" s="161"/>
      <c r="S75" s="162"/>
      <c r="T75" s="212"/>
      <c r="U75" s="213"/>
      <c r="V75" s="213"/>
      <c r="W75" s="213"/>
      <c r="X75" s="213"/>
      <c r="Y75" s="213"/>
      <c r="Z75" s="214"/>
    </row>
    <row r="76" spans="1:26" ht="18" customHeight="1" x14ac:dyDescent="0.15">
      <c r="A76" s="29"/>
      <c r="B76" s="163"/>
      <c r="C76" s="164"/>
      <c r="D76" s="164"/>
      <c r="E76" s="164"/>
      <c r="F76" s="165"/>
      <c r="G76" s="209"/>
      <c r="H76" s="210"/>
      <c r="I76" s="210"/>
      <c r="J76" s="210"/>
      <c r="K76" s="210"/>
      <c r="L76" s="210"/>
      <c r="M76" s="211"/>
      <c r="N76" s="163"/>
      <c r="O76" s="164"/>
      <c r="P76" s="164"/>
      <c r="Q76" s="164"/>
      <c r="R76" s="164"/>
      <c r="S76" s="165"/>
      <c r="T76" s="209"/>
      <c r="U76" s="210"/>
      <c r="V76" s="210"/>
      <c r="W76" s="210"/>
      <c r="X76" s="210"/>
      <c r="Y76" s="210"/>
      <c r="Z76" s="211"/>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142</v>
      </c>
    </row>
    <row r="79" spans="1:26" ht="18.75" customHeight="1" x14ac:dyDescent="0.15">
      <c r="B79" s="78" t="s">
        <v>102</v>
      </c>
      <c r="C79" s="79"/>
      <c r="D79" s="266" t="s">
        <v>103</v>
      </c>
      <c r="E79" s="266"/>
      <c r="F79" s="266"/>
      <c r="G79" s="266"/>
      <c r="H79" s="266"/>
      <c r="I79" s="266"/>
      <c r="J79" s="266"/>
      <c r="K79" s="266"/>
      <c r="L79" s="266"/>
      <c r="M79" s="266"/>
      <c r="N79" s="266"/>
      <c r="O79" s="266"/>
      <c r="P79" s="266"/>
      <c r="Q79" s="266"/>
      <c r="R79" s="266"/>
      <c r="S79" s="266"/>
      <c r="T79" s="266"/>
      <c r="U79" s="266"/>
      <c r="V79" s="266"/>
      <c r="W79" s="266"/>
      <c r="X79" s="266"/>
      <c r="Y79" s="266"/>
      <c r="Z79" s="267"/>
    </row>
    <row r="80" spans="1:26" ht="78" customHeight="1" x14ac:dyDescent="0.15">
      <c r="B80" s="251" t="s">
        <v>109</v>
      </c>
      <c r="C80" s="122" t="s">
        <v>104</v>
      </c>
      <c r="D80" s="268" t="s">
        <v>190</v>
      </c>
      <c r="E80" s="269"/>
      <c r="F80" s="269"/>
      <c r="G80" s="269"/>
      <c r="H80" s="269"/>
      <c r="I80" s="269"/>
      <c r="J80" s="269"/>
      <c r="K80" s="269"/>
      <c r="L80" s="269"/>
      <c r="M80" s="269"/>
      <c r="N80" s="269"/>
      <c r="O80" s="269"/>
      <c r="P80" s="269"/>
      <c r="Q80" s="269"/>
      <c r="R80" s="269"/>
      <c r="S80" s="269"/>
      <c r="T80" s="269"/>
      <c r="U80" s="269"/>
      <c r="V80" s="269"/>
      <c r="W80" s="269"/>
      <c r="X80" s="269"/>
      <c r="Y80" s="269"/>
      <c r="Z80" s="270"/>
    </row>
    <row r="81" spans="1:26" ht="78" customHeight="1" x14ac:dyDescent="0.15">
      <c r="B81" s="252"/>
      <c r="C81" s="116" t="s">
        <v>137</v>
      </c>
      <c r="D81" s="215" t="s">
        <v>191</v>
      </c>
      <c r="E81" s="215"/>
      <c r="F81" s="215"/>
      <c r="G81" s="215"/>
      <c r="H81" s="215"/>
      <c r="I81" s="215"/>
      <c r="J81" s="215"/>
      <c r="K81" s="215"/>
      <c r="L81" s="215"/>
      <c r="M81" s="215"/>
      <c r="N81" s="215"/>
      <c r="O81" s="215"/>
      <c r="P81" s="215"/>
      <c r="Q81" s="215"/>
      <c r="R81" s="215"/>
      <c r="S81" s="215"/>
      <c r="T81" s="215"/>
      <c r="U81" s="215"/>
      <c r="V81" s="215"/>
      <c r="W81" s="215"/>
      <c r="X81" s="215"/>
      <c r="Y81" s="215"/>
      <c r="Z81" s="216"/>
    </row>
    <row r="82" spans="1:26" ht="78" customHeight="1" x14ac:dyDescent="0.15">
      <c r="B82" s="249" t="s">
        <v>110</v>
      </c>
      <c r="C82" s="120" t="s">
        <v>127</v>
      </c>
      <c r="D82" s="217" t="s">
        <v>192</v>
      </c>
      <c r="E82" s="218"/>
      <c r="F82" s="218"/>
      <c r="G82" s="218"/>
      <c r="H82" s="218"/>
      <c r="I82" s="218"/>
      <c r="J82" s="218"/>
      <c r="K82" s="218"/>
      <c r="L82" s="218"/>
      <c r="M82" s="218"/>
      <c r="N82" s="218"/>
      <c r="O82" s="218"/>
      <c r="P82" s="218"/>
      <c r="Q82" s="218"/>
      <c r="R82" s="218"/>
      <c r="S82" s="218"/>
      <c r="T82" s="218"/>
      <c r="U82" s="218"/>
      <c r="V82" s="218"/>
      <c r="W82" s="218"/>
      <c r="X82" s="218"/>
      <c r="Y82" s="218"/>
      <c r="Z82" s="219"/>
    </row>
    <row r="83" spans="1:26" ht="78" customHeight="1" x14ac:dyDescent="0.15">
      <c r="B83" s="250"/>
      <c r="C83" s="119" t="s">
        <v>128</v>
      </c>
      <c r="D83" s="222" t="s">
        <v>193</v>
      </c>
      <c r="E83" s="223"/>
      <c r="F83" s="223"/>
      <c r="G83" s="223"/>
      <c r="H83" s="223"/>
      <c r="I83" s="223"/>
      <c r="J83" s="223"/>
      <c r="K83" s="223"/>
      <c r="L83" s="223"/>
      <c r="M83" s="223"/>
      <c r="N83" s="223"/>
      <c r="O83" s="223"/>
      <c r="P83" s="223"/>
      <c r="Q83" s="223"/>
      <c r="R83" s="223"/>
      <c r="S83" s="223"/>
      <c r="T83" s="223"/>
      <c r="U83" s="223"/>
      <c r="V83" s="223"/>
      <c r="W83" s="223"/>
      <c r="X83" s="223"/>
      <c r="Y83" s="223"/>
      <c r="Z83" s="224"/>
    </row>
    <row r="84" spans="1:26" ht="66" customHeight="1" x14ac:dyDescent="0.15">
      <c r="B84" s="249" t="s">
        <v>111</v>
      </c>
      <c r="C84" s="117" t="s">
        <v>130</v>
      </c>
      <c r="D84" s="225" t="s">
        <v>194</v>
      </c>
      <c r="E84" s="226"/>
      <c r="F84" s="226"/>
      <c r="G84" s="226"/>
      <c r="H84" s="226"/>
      <c r="I84" s="226"/>
      <c r="J84" s="226"/>
      <c r="K84" s="226"/>
      <c r="L84" s="226"/>
      <c r="M84" s="226"/>
      <c r="N84" s="226"/>
      <c r="O84" s="226"/>
      <c r="P84" s="226"/>
      <c r="Q84" s="226"/>
      <c r="R84" s="226"/>
      <c r="S84" s="226"/>
      <c r="T84" s="226"/>
      <c r="U84" s="226"/>
      <c r="V84" s="226"/>
      <c r="W84" s="226"/>
      <c r="X84" s="226"/>
      <c r="Y84" s="226"/>
      <c r="Z84" s="227"/>
    </row>
    <row r="85" spans="1:26" ht="66" customHeight="1" x14ac:dyDescent="0.15">
      <c r="B85" s="250"/>
      <c r="C85" s="118" t="s">
        <v>131</v>
      </c>
      <c r="D85" s="220" t="s">
        <v>195</v>
      </c>
      <c r="E85" s="220"/>
      <c r="F85" s="220"/>
      <c r="G85" s="220"/>
      <c r="H85" s="220"/>
      <c r="I85" s="220"/>
      <c r="J85" s="220"/>
      <c r="K85" s="220"/>
      <c r="L85" s="220"/>
      <c r="M85" s="220"/>
      <c r="N85" s="220"/>
      <c r="O85" s="220"/>
      <c r="P85" s="220"/>
      <c r="Q85" s="220"/>
      <c r="R85" s="220"/>
      <c r="S85" s="220"/>
      <c r="T85" s="220"/>
      <c r="U85" s="220"/>
      <c r="V85" s="220"/>
      <c r="W85" s="220"/>
      <c r="X85" s="220"/>
      <c r="Y85" s="220"/>
      <c r="Z85" s="221"/>
    </row>
    <row r="86" spans="1:26" ht="66" customHeight="1" x14ac:dyDescent="0.15">
      <c r="B86" s="253" t="s">
        <v>138</v>
      </c>
      <c r="C86" s="120" t="s">
        <v>106</v>
      </c>
      <c r="D86" s="261" t="s">
        <v>206</v>
      </c>
      <c r="E86" s="262"/>
      <c r="F86" s="262"/>
      <c r="G86" s="262"/>
      <c r="H86" s="262"/>
      <c r="I86" s="262"/>
      <c r="J86" s="262"/>
      <c r="K86" s="262"/>
      <c r="L86" s="262"/>
      <c r="M86" s="262"/>
      <c r="N86" s="262"/>
      <c r="O86" s="262"/>
      <c r="P86" s="262"/>
      <c r="Q86" s="262"/>
      <c r="R86" s="262"/>
      <c r="S86" s="262"/>
      <c r="T86" s="262"/>
      <c r="U86" s="262"/>
      <c r="V86" s="262"/>
      <c r="W86" s="262"/>
      <c r="X86" s="262"/>
      <c r="Y86" s="262"/>
      <c r="Z86" s="263"/>
    </row>
    <row r="87" spans="1:26" ht="66" customHeight="1" x14ac:dyDescent="0.15">
      <c r="B87" s="260"/>
      <c r="C87" s="119" t="s">
        <v>108</v>
      </c>
      <c r="D87" s="264" t="s">
        <v>196</v>
      </c>
      <c r="E87" s="264"/>
      <c r="F87" s="264"/>
      <c r="G87" s="264"/>
      <c r="H87" s="264"/>
      <c r="I87" s="264"/>
      <c r="J87" s="264"/>
      <c r="K87" s="264"/>
      <c r="L87" s="264"/>
      <c r="M87" s="264"/>
      <c r="N87" s="264"/>
      <c r="O87" s="264"/>
      <c r="P87" s="264"/>
      <c r="Q87" s="264"/>
      <c r="R87" s="264"/>
      <c r="S87" s="264"/>
      <c r="T87" s="264"/>
      <c r="U87" s="264"/>
      <c r="V87" s="264"/>
      <c r="W87" s="264"/>
      <c r="X87" s="264"/>
      <c r="Y87" s="264"/>
      <c r="Z87" s="265"/>
    </row>
    <row r="88" spans="1:26" ht="66" customHeight="1" x14ac:dyDescent="0.15">
      <c r="B88" s="253" t="s">
        <v>139</v>
      </c>
      <c r="C88" s="117" t="s">
        <v>105</v>
      </c>
      <c r="D88" s="198" t="s">
        <v>197</v>
      </c>
      <c r="E88" s="255"/>
      <c r="F88" s="255"/>
      <c r="G88" s="255"/>
      <c r="H88" s="255"/>
      <c r="I88" s="255"/>
      <c r="J88" s="255"/>
      <c r="K88" s="255"/>
      <c r="L88" s="255"/>
      <c r="M88" s="255"/>
      <c r="N88" s="255"/>
      <c r="O88" s="255"/>
      <c r="P88" s="255"/>
      <c r="Q88" s="255"/>
      <c r="R88" s="255"/>
      <c r="S88" s="255"/>
      <c r="T88" s="255"/>
      <c r="U88" s="255"/>
      <c r="V88" s="255"/>
      <c r="W88" s="255"/>
      <c r="X88" s="255"/>
      <c r="Y88" s="255"/>
      <c r="Z88" s="256"/>
    </row>
    <row r="89" spans="1:26" ht="66" customHeight="1" x14ac:dyDescent="0.15">
      <c r="B89" s="254"/>
      <c r="C89" s="121" t="s">
        <v>134</v>
      </c>
      <c r="D89" s="246" t="s">
        <v>198</v>
      </c>
      <c r="E89" s="247"/>
      <c r="F89" s="247"/>
      <c r="G89" s="247"/>
      <c r="H89" s="247"/>
      <c r="I89" s="247"/>
      <c r="J89" s="247"/>
      <c r="K89" s="247"/>
      <c r="L89" s="247"/>
      <c r="M89" s="247"/>
      <c r="N89" s="247"/>
      <c r="O89" s="247"/>
      <c r="P89" s="247"/>
      <c r="Q89" s="247"/>
      <c r="R89" s="247"/>
      <c r="S89" s="247"/>
      <c r="T89" s="247"/>
      <c r="U89" s="247"/>
      <c r="V89" s="247"/>
      <c r="W89" s="247"/>
      <c r="X89" s="247"/>
      <c r="Y89" s="247"/>
      <c r="Z89" s="248"/>
    </row>
    <row r="90" spans="1:26" ht="66" customHeight="1" x14ac:dyDescent="0.15">
      <c r="B90" s="250"/>
      <c r="C90" s="118" t="s">
        <v>135</v>
      </c>
      <c r="D90" s="257" t="s">
        <v>199</v>
      </c>
      <c r="E90" s="258"/>
      <c r="F90" s="258"/>
      <c r="G90" s="258"/>
      <c r="H90" s="258"/>
      <c r="I90" s="258"/>
      <c r="J90" s="258"/>
      <c r="K90" s="258"/>
      <c r="L90" s="258"/>
      <c r="M90" s="258"/>
      <c r="N90" s="258"/>
      <c r="O90" s="258"/>
      <c r="P90" s="258"/>
      <c r="Q90" s="258"/>
      <c r="R90" s="258"/>
      <c r="S90" s="258"/>
      <c r="T90" s="258"/>
      <c r="U90" s="258"/>
      <c r="V90" s="258"/>
      <c r="W90" s="258"/>
      <c r="X90" s="258"/>
      <c r="Y90" s="258"/>
      <c r="Z90" s="259"/>
    </row>
    <row r="91" spans="1:26" ht="6" customHeight="1" x14ac:dyDescent="0.15"/>
    <row r="92" spans="1:26" ht="18.75" customHeight="1" x14ac:dyDescent="0.15">
      <c r="A92" s="13" t="s">
        <v>143</v>
      </c>
    </row>
    <row r="93" spans="1:26" ht="18.75" customHeight="1" x14ac:dyDescent="0.15">
      <c r="B93" s="197" t="s">
        <v>183</v>
      </c>
      <c r="C93" s="198"/>
      <c r="D93" s="198"/>
      <c r="E93" s="198"/>
      <c r="F93" s="198"/>
      <c r="G93" s="198"/>
      <c r="H93" s="198"/>
      <c r="I93" s="198"/>
      <c r="J93" s="198"/>
      <c r="K93" s="198"/>
      <c r="L93" s="198"/>
      <c r="M93" s="198"/>
      <c r="N93" s="198"/>
      <c r="O93" s="198"/>
      <c r="P93" s="198"/>
      <c r="Q93" s="198"/>
      <c r="R93" s="198"/>
      <c r="S93" s="198"/>
      <c r="T93" s="198"/>
      <c r="U93" s="198"/>
      <c r="V93" s="198"/>
      <c r="W93" s="198"/>
      <c r="X93" s="198"/>
      <c r="Y93" s="198"/>
      <c r="Z93" s="199"/>
    </row>
    <row r="94" spans="1:26" ht="18.75" customHeight="1" x14ac:dyDescent="0.15">
      <c r="B94" s="200"/>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2"/>
    </row>
    <row r="95" spans="1:26" ht="18.75" customHeight="1" x14ac:dyDescent="0.15">
      <c r="B95" s="203"/>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5"/>
    </row>
    <row r="96" spans="1:26" ht="6" customHeight="1" x14ac:dyDescent="0.15"/>
    <row r="97" spans="1:26" ht="15" customHeight="1" x14ac:dyDescent="0.15">
      <c r="A97" s="13" t="s">
        <v>144</v>
      </c>
    </row>
    <row r="98" spans="1:26" ht="15" customHeight="1" x14ac:dyDescent="0.15">
      <c r="B98" s="206" t="s">
        <v>187</v>
      </c>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8"/>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H49:H55 L38:M44 Y38:Z44 L49:M55 Y49:Z55 Y60:Z66 L60:M66 H16:H22 U16:U22 T60:T66 U27:U33 H27:H33 U38:U44 H38:H44 U49:U55 G60:G66 L27:M33 K60:K64 X60:X62" xr:uid="{4C0986EB-3601-4249-85F7-B678A400A117}">
      <formula1>"○"</formula1>
    </dataValidation>
    <dataValidation type="list" allowBlank="1" showInputMessage="1" showErrorMessage="1" sqref="Z23 Z34 D34:K34 D23:K23 V16:V22 I16:I22 V27:V33 I49:I55 V38:V44 I27:I33 V49:V55 I38:I44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6882A37C-A295-4A4A-B8C5-C95484E5AD7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D14" sqref="D14"/>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71" t="s">
        <v>63</v>
      </c>
      <c r="G1" s="271"/>
      <c r="H1" s="271"/>
      <c r="I1" s="271"/>
      <c r="J1" s="271"/>
      <c r="K1" s="271"/>
      <c r="L1" s="271"/>
      <c r="M1" s="271"/>
      <c r="N1" s="271"/>
      <c r="O1" s="271"/>
      <c r="P1" s="271"/>
      <c r="Q1" s="271"/>
      <c r="R1" s="271"/>
    </row>
    <row r="2" spans="1:20" ht="18" customHeight="1" x14ac:dyDescent="0.15">
      <c r="A2" s="272" t="s">
        <v>89</v>
      </c>
      <c r="B2" s="272"/>
      <c r="C2" s="272"/>
      <c r="D2" s="272"/>
      <c r="E2" s="272"/>
      <c r="F2" s="272"/>
      <c r="G2" s="272"/>
      <c r="H2" s="272"/>
      <c r="I2" s="272"/>
      <c r="J2" s="272"/>
      <c r="K2" s="272"/>
      <c r="L2" s="272"/>
      <c r="M2" s="272"/>
      <c r="N2" s="272"/>
      <c r="O2" s="272"/>
      <c r="P2" s="272"/>
      <c r="Q2" s="272"/>
      <c r="R2" s="272"/>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147</v>
      </c>
      <c r="B4" s="4"/>
      <c r="C4" s="273" t="str">
        <f>'様式１　大学等概要'!E12</f>
        <v>令和3</v>
      </c>
      <c r="D4" s="274"/>
      <c r="E4" s="38" t="s">
        <v>113</v>
      </c>
      <c r="F4" s="38"/>
      <c r="G4" s="38"/>
      <c r="H4" s="38"/>
      <c r="I4" s="38"/>
      <c r="J4" s="82"/>
      <c r="K4" s="38"/>
      <c r="L4" s="38"/>
      <c r="M4" s="110"/>
      <c r="N4" s="110"/>
      <c r="O4" s="110"/>
      <c r="P4" s="110"/>
      <c r="Q4" s="110"/>
      <c r="R4" s="110"/>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145</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75" t="s">
        <v>79</v>
      </c>
      <c r="C8" s="277" t="s">
        <v>84</v>
      </c>
      <c r="D8" s="279" t="s">
        <v>68</v>
      </c>
      <c r="E8" s="281" t="s">
        <v>90</v>
      </c>
      <c r="F8" s="281"/>
      <c r="G8" s="281" t="s">
        <v>91</v>
      </c>
      <c r="H8" s="281"/>
      <c r="I8" s="281" t="s">
        <v>92</v>
      </c>
      <c r="J8" s="281"/>
      <c r="K8" s="282" t="s">
        <v>93</v>
      </c>
      <c r="L8" s="283"/>
      <c r="M8" s="282" t="s">
        <v>94</v>
      </c>
      <c r="N8" s="283"/>
      <c r="O8" s="282" t="s">
        <v>95</v>
      </c>
      <c r="P8" s="283"/>
      <c r="Q8" s="284" t="s">
        <v>62</v>
      </c>
      <c r="R8" s="286" t="s">
        <v>56</v>
      </c>
      <c r="T8" s="34"/>
    </row>
    <row r="9" spans="1:20" ht="18" customHeight="1" x14ac:dyDescent="0.15">
      <c r="A9" s="4"/>
      <c r="B9" s="276"/>
      <c r="C9" s="278"/>
      <c r="D9" s="280"/>
      <c r="E9" s="43" t="s">
        <v>44</v>
      </c>
      <c r="F9" s="44" t="s">
        <v>43</v>
      </c>
      <c r="G9" s="45" t="s">
        <v>44</v>
      </c>
      <c r="H9" s="46" t="s">
        <v>43</v>
      </c>
      <c r="I9" s="43" t="s">
        <v>44</v>
      </c>
      <c r="J9" s="44" t="s">
        <v>43</v>
      </c>
      <c r="K9" s="45" t="s">
        <v>44</v>
      </c>
      <c r="L9" s="46" t="s">
        <v>43</v>
      </c>
      <c r="M9" s="43" t="s">
        <v>44</v>
      </c>
      <c r="N9" s="44" t="s">
        <v>43</v>
      </c>
      <c r="O9" s="45" t="s">
        <v>44</v>
      </c>
      <c r="P9" s="46" t="s">
        <v>43</v>
      </c>
      <c r="Q9" s="285"/>
      <c r="R9" s="287"/>
      <c r="T9" s="34"/>
    </row>
    <row r="10" spans="1:20" ht="18" customHeight="1" x14ac:dyDescent="0.15">
      <c r="A10" s="47"/>
      <c r="B10" s="83" t="s">
        <v>159</v>
      </c>
      <c r="C10" s="47">
        <v>270</v>
      </c>
      <c r="D10" s="48">
        <v>1080</v>
      </c>
      <c r="E10" s="49">
        <v>23</v>
      </c>
      <c r="F10" s="50">
        <v>0</v>
      </c>
      <c r="G10" s="51">
        <v>0</v>
      </c>
      <c r="H10" s="50">
        <v>0</v>
      </c>
      <c r="I10" s="51">
        <v>0</v>
      </c>
      <c r="J10" s="50">
        <v>0</v>
      </c>
      <c r="K10" s="51">
        <v>0</v>
      </c>
      <c r="L10" s="50">
        <v>0</v>
      </c>
      <c r="M10" s="51">
        <v>0</v>
      </c>
      <c r="N10" s="50">
        <v>0</v>
      </c>
      <c r="O10" s="51">
        <v>0</v>
      </c>
      <c r="P10" s="50">
        <v>0</v>
      </c>
      <c r="Q10" s="53">
        <f>E10+G10+I10+K10+M10+O10</f>
        <v>23</v>
      </c>
      <c r="R10" s="54">
        <f>Q10/D10</f>
        <v>2.1296296296296296E-2</v>
      </c>
    </row>
    <row r="11" spans="1:20" ht="18" customHeight="1" x14ac:dyDescent="0.15">
      <c r="A11" s="47"/>
      <c r="B11" s="84" t="s">
        <v>160</v>
      </c>
      <c r="C11" s="63">
        <v>260</v>
      </c>
      <c r="D11" s="56">
        <v>1040</v>
      </c>
      <c r="E11" s="57">
        <v>24</v>
      </c>
      <c r="F11" s="58">
        <v>0</v>
      </c>
      <c r="G11" s="59">
        <v>0</v>
      </c>
      <c r="H11" s="58">
        <v>0</v>
      </c>
      <c r="I11" s="59">
        <v>0</v>
      </c>
      <c r="J11" s="58">
        <v>0</v>
      </c>
      <c r="K11" s="59">
        <v>0</v>
      </c>
      <c r="L11" s="58">
        <v>0</v>
      </c>
      <c r="M11" s="59">
        <v>0</v>
      </c>
      <c r="N11" s="58">
        <v>0</v>
      </c>
      <c r="O11" s="59">
        <v>0</v>
      </c>
      <c r="P11" s="58">
        <v>0</v>
      </c>
      <c r="Q11" s="61">
        <f t="shared" ref="Q11:Q14" si="0">E11+G11+I11+K11+M11+O11</f>
        <v>24</v>
      </c>
      <c r="R11" s="62">
        <f t="shared" ref="R11:R13" si="1">Q11/D11</f>
        <v>2.3076923076923078E-2</v>
      </c>
    </row>
    <row r="12" spans="1:20" ht="18" customHeight="1" x14ac:dyDescent="0.15">
      <c r="A12" s="47"/>
      <c r="B12" s="84" t="s">
        <v>161</v>
      </c>
      <c r="C12" s="63">
        <v>120</v>
      </c>
      <c r="D12" s="56">
        <v>480</v>
      </c>
      <c r="E12" s="57">
        <v>13</v>
      </c>
      <c r="F12" s="58">
        <v>0</v>
      </c>
      <c r="G12" s="59">
        <v>0</v>
      </c>
      <c r="H12" s="58">
        <v>0</v>
      </c>
      <c r="I12" s="59">
        <v>0</v>
      </c>
      <c r="J12" s="58">
        <v>0</v>
      </c>
      <c r="K12" s="59">
        <v>0</v>
      </c>
      <c r="L12" s="58">
        <v>0</v>
      </c>
      <c r="M12" s="59">
        <v>0</v>
      </c>
      <c r="N12" s="58">
        <v>0</v>
      </c>
      <c r="O12" s="59">
        <v>0</v>
      </c>
      <c r="P12" s="58">
        <v>0</v>
      </c>
      <c r="Q12" s="61">
        <f t="shared" si="0"/>
        <v>13</v>
      </c>
      <c r="R12" s="62">
        <f t="shared" si="1"/>
        <v>2.7083333333333334E-2</v>
      </c>
    </row>
    <row r="13" spans="1:20" ht="18" customHeight="1" x14ac:dyDescent="0.15">
      <c r="A13" s="47"/>
      <c r="B13" s="84" t="s">
        <v>162</v>
      </c>
      <c r="C13" s="63">
        <v>60</v>
      </c>
      <c r="D13" s="56">
        <v>240</v>
      </c>
      <c r="E13" s="57">
        <v>28</v>
      </c>
      <c r="F13" s="58">
        <v>1</v>
      </c>
      <c r="G13" s="59">
        <v>0</v>
      </c>
      <c r="H13" s="58">
        <v>0</v>
      </c>
      <c r="I13" s="59">
        <v>0</v>
      </c>
      <c r="J13" s="58">
        <v>0</v>
      </c>
      <c r="K13" s="59">
        <v>0</v>
      </c>
      <c r="L13" s="58">
        <v>0</v>
      </c>
      <c r="M13" s="59">
        <v>0</v>
      </c>
      <c r="N13" s="58">
        <v>0</v>
      </c>
      <c r="O13" s="59">
        <v>0</v>
      </c>
      <c r="P13" s="58">
        <v>0</v>
      </c>
      <c r="Q13" s="61">
        <f t="shared" si="0"/>
        <v>28</v>
      </c>
      <c r="R13" s="62">
        <f t="shared" si="1"/>
        <v>0.11666666666666667</v>
      </c>
    </row>
    <row r="14" spans="1:20" ht="18" customHeight="1" x14ac:dyDescent="0.15">
      <c r="A14" s="47"/>
      <c r="B14" s="84" t="s">
        <v>163</v>
      </c>
      <c r="C14" s="63">
        <v>190</v>
      </c>
      <c r="D14" s="56">
        <f>190*4+180</f>
        <v>940</v>
      </c>
      <c r="E14" s="57">
        <v>7</v>
      </c>
      <c r="F14" s="58">
        <v>0</v>
      </c>
      <c r="G14" s="59">
        <v>0</v>
      </c>
      <c r="H14" s="58">
        <v>0</v>
      </c>
      <c r="I14" s="59">
        <v>0</v>
      </c>
      <c r="J14" s="58">
        <v>0</v>
      </c>
      <c r="K14" s="59">
        <v>0</v>
      </c>
      <c r="L14" s="58">
        <v>0</v>
      </c>
      <c r="M14" s="59">
        <v>0</v>
      </c>
      <c r="N14" s="58">
        <v>0</v>
      </c>
      <c r="O14" s="59">
        <v>0</v>
      </c>
      <c r="P14" s="58">
        <v>0</v>
      </c>
      <c r="Q14" s="61">
        <f t="shared" si="0"/>
        <v>7</v>
      </c>
      <c r="R14" s="62">
        <f>Q14/D14</f>
        <v>7.4468085106382982E-3</v>
      </c>
    </row>
    <row r="15" spans="1:20" ht="18" customHeight="1" x14ac:dyDescent="0.15">
      <c r="A15" s="47"/>
      <c r="B15" s="84"/>
      <c r="C15" s="63"/>
      <c r="D15" s="56"/>
      <c r="E15" s="57"/>
      <c r="F15" s="58"/>
      <c r="G15" s="59"/>
      <c r="H15" s="60"/>
      <c r="I15" s="57"/>
      <c r="J15" s="58"/>
      <c r="K15" s="59"/>
      <c r="L15" s="60"/>
      <c r="M15" s="57"/>
      <c r="N15" s="58"/>
      <c r="O15" s="59"/>
      <c r="P15" s="60"/>
      <c r="Q15" s="61"/>
      <c r="R15" s="62"/>
    </row>
    <row r="16" spans="1:20" ht="18" customHeight="1" x14ac:dyDescent="0.15">
      <c r="A16" s="47"/>
      <c r="B16" s="84"/>
      <c r="C16" s="63"/>
      <c r="D16" s="56"/>
      <c r="E16" s="57"/>
      <c r="F16" s="58"/>
      <c r="G16" s="59"/>
      <c r="H16" s="60"/>
      <c r="I16" s="57"/>
      <c r="J16" s="58"/>
      <c r="K16" s="59"/>
      <c r="L16" s="60"/>
      <c r="M16" s="57"/>
      <c r="N16" s="58"/>
      <c r="O16" s="59"/>
      <c r="P16" s="60"/>
      <c r="Q16" s="61"/>
      <c r="R16" s="62"/>
    </row>
    <row r="17" spans="1:18" ht="18" customHeight="1" x14ac:dyDescent="0.15">
      <c r="A17" s="47"/>
      <c r="B17" s="84"/>
      <c r="C17" s="63"/>
      <c r="D17" s="56"/>
      <c r="E17" s="57"/>
      <c r="F17" s="58"/>
      <c r="G17" s="59"/>
      <c r="H17" s="60"/>
      <c r="I17" s="57"/>
      <c r="J17" s="58"/>
      <c r="K17" s="59"/>
      <c r="L17" s="60"/>
      <c r="M17" s="57"/>
      <c r="N17" s="58"/>
      <c r="O17" s="59"/>
      <c r="P17" s="60"/>
      <c r="Q17" s="61"/>
      <c r="R17" s="62"/>
    </row>
    <row r="18" spans="1:18" ht="18" customHeight="1" x14ac:dyDescent="0.15">
      <c r="A18" s="47"/>
      <c r="B18" s="84"/>
      <c r="C18" s="63"/>
      <c r="D18" s="56"/>
      <c r="E18" s="57"/>
      <c r="F18" s="58"/>
      <c r="G18" s="59"/>
      <c r="H18" s="60"/>
      <c r="I18" s="57"/>
      <c r="J18" s="58"/>
      <c r="K18" s="59"/>
      <c r="L18" s="60"/>
      <c r="M18" s="57"/>
      <c r="N18" s="58"/>
      <c r="O18" s="59"/>
      <c r="P18" s="60"/>
      <c r="Q18" s="61"/>
      <c r="R18" s="62"/>
    </row>
    <row r="19" spans="1:18" ht="18" customHeight="1" x14ac:dyDescent="0.15">
      <c r="A19" s="47"/>
      <c r="B19" s="84"/>
      <c r="C19" s="63"/>
      <c r="D19" s="56"/>
      <c r="E19" s="57"/>
      <c r="F19" s="58"/>
      <c r="G19" s="59"/>
      <c r="H19" s="60"/>
      <c r="I19" s="57"/>
      <c r="J19" s="58"/>
      <c r="K19" s="59"/>
      <c r="L19" s="60"/>
      <c r="M19" s="57"/>
      <c r="N19" s="58"/>
      <c r="O19" s="59"/>
      <c r="P19" s="60"/>
      <c r="Q19" s="61"/>
      <c r="R19" s="62"/>
    </row>
    <row r="20" spans="1:18" ht="18" customHeight="1" x14ac:dyDescent="0.15">
      <c r="A20" s="47"/>
      <c r="B20" s="84"/>
      <c r="C20" s="63"/>
      <c r="D20" s="56"/>
      <c r="E20" s="57"/>
      <c r="F20" s="58"/>
      <c r="G20" s="59"/>
      <c r="H20" s="60"/>
      <c r="I20" s="57"/>
      <c r="J20" s="58"/>
      <c r="K20" s="59"/>
      <c r="L20" s="60"/>
      <c r="M20" s="57"/>
      <c r="N20" s="58"/>
      <c r="O20" s="59"/>
      <c r="P20" s="60"/>
      <c r="Q20" s="61"/>
      <c r="R20" s="62"/>
    </row>
    <row r="21" spans="1:18" ht="18" customHeight="1" x14ac:dyDescent="0.15">
      <c r="A21" s="47"/>
      <c r="B21" s="84"/>
      <c r="C21" s="63"/>
      <c r="D21" s="56"/>
      <c r="E21" s="57"/>
      <c r="F21" s="58"/>
      <c r="G21" s="59"/>
      <c r="H21" s="60"/>
      <c r="I21" s="57"/>
      <c r="J21" s="58"/>
      <c r="K21" s="59"/>
      <c r="L21" s="60"/>
      <c r="M21" s="57"/>
      <c r="N21" s="58"/>
      <c r="O21" s="59"/>
      <c r="P21" s="60"/>
      <c r="Q21" s="61"/>
      <c r="R21" s="62"/>
    </row>
    <row r="22" spans="1:18" ht="18" customHeight="1" x14ac:dyDescent="0.15">
      <c r="A22" s="47"/>
      <c r="B22" s="84"/>
      <c r="C22" s="63"/>
      <c r="D22" s="56"/>
      <c r="E22" s="57"/>
      <c r="F22" s="58"/>
      <c r="G22" s="59"/>
      <c r="H22" s="60"/>
      <c r="I22" s="57"/>
      <c r="J22" s="58"/>
      <c r="K22" s="59"/>
      <c r="L22" s="60"/>
      <c r="M22" s="57"/>
      <c r="N22" s="58"/>
      <c r="O22" s="59"/>
      <c r="P22" s="60"/>
      <c r="Q22" s="61"/>
      <c r="R22" s="62"/>
    </row>
    <row r="23" spans="1:18" ht="18" customHeight="1" x14ac:dyDescent="0.15">
      <c r="A23" s="47"/>
      <c r="B23" s="84"/>
      <c r="C23" s="63"/>
      <c r="D23" s="56"/>
      <c r="E23" s="57"/>
      <c r="F23" s="58"/>
      <c r="G23" s="59"/>
      <c r="H23" s="60"/>
      <c r="I23" s="57"/>
      <c r="J23" s="58"/>
      <c r="K23" s="59"/>
      <c r="L23" s="60"/>
      <c r="M23" s="57"/>
      <c r="N23" s="58"/>
      <c r="O23" s="59"/>
      <c r="P23" s="60"/>
      <c r="Q23" s="61"/>
      <c r="R23" s="62"/>
    </row>
    <row r="24" spans="1:18" ht="18" customHeight="1" x14ac:dyDescent="0.15">
      <c r="A24" s="47"/>
      <c r="B24" s="84"/>
      <c r="C24" s="63"/>
      <c r="D24" s="56"/>
      <c r="E24" s="57"/>
      <c r="F24" s="58"/>
      <c r="G24" s="59"/>
      <c r="H24" s="60"/>
      <c r="I24" s="57"/>
      <c r="J24" s="58"/>
      <c r="K24" s="59"/>
      <c r="L24" s="60"/>
      <c r="M24" s="57"/>
      <c r="N24" s="58"/>
      <c r="O24" s="59"/>
      <c r="P24" s="60"/>
      <c r="Q24" s="61"/>
      <c r="R24" s="62"/>
    </row>
    <row r="25" spans="1:18" ht="18" customHeight="1" x14ac:dyDescent="0.15">
      <c r="A25" s="47"/>
      <c r="B25" s="84"/>
      <c r="C25" s="63"/>
      <c r="D25" s="56"/>
      <c r="E25" s="57"/>
      <c r="F25" s="58"/>
      <c r="G25" s="59"/>
      <c r="H25" s="60"/>
      <c r="I25" s="57"/>
      <c r="J25" s="58"/>
      <c r="K25" s="59"/>
      <c r="L25" s="60"/>
      <c r="M25" s="57"/>
      <c r="N25" s="58"/>
      <c r="O25" s="59"/>
      <c r="P25" s="60"/>
      <c r="Q25" s="61"/>
      <c r="R25" s="62"/>
    </row>
    <row r="26" spans="1:18" ht="18" customHeight="1" x14ac:dyDescent="0.15">
      <c r="A26" s="47"/>
      <c r="B26" s="84"/>
      <c r="C26" s="63"/>
      <c r="D26" s="56"/>
      <c r="E26" s="57"/>
      <c r="F26" s="58"/>
      <c r="G26" s="59"/>
      <c r="H26" s="60"/>
      <c r="I26" s="57"/>
      <c r="J26" s="58"/>
      <c r="K26" s="59"/>
      <c r="L26" s="60"/>
      <c r="M26" s="57"/>
      <c r="N26" s="58"/>
      <c r="O26" s="59"/>
      <c r="P26" s="60"/>
      <c r="Q26" s="61"/>
      <c r="R26" s="62"/>
    </row>
    <row r="27" spans="1:18" ht="18" customHeight="1" x14ac:dyDescent="0.15">
      <c r="A27" s="47"/>
      <c r="B27" s="84"/>
      <c r="C27" s="55"/>
      <c r="D27" s="56"/>
      <c r="E27" s="57"/>
      <c r="F27" s="58"/>
      <c r="G27" s="59"/>
      <c r="H27" s="60"/>
      <c r="I27" s="57"/>
      <c r="J27" s="58"/>
      <c r="K27" s="59"/>
      <c r="L27" s="60"/>
      <c r="M27" s="57"/>
      <c r="N27" s="58"/>
      <c r="O27" s="59"/>
      <c r="P27" s="60"/>
      <c r="Q27" s="61"/>
      <c r="R27" s="62"/>
    </row>
    <row r="28" spans="1:18" ht="18" customHeight="1" x14ac:dyDescent="0.15">
      <c r="A28" s="47"/>
      <c r="B28" s="84"/>
      <c r="C28" s="55"/>
      <c r="D28" s="56"/>
      <c r="E28" s="57"/>
      <c r="F28" s="58"/>
      <c r="G28" s="59"/>
      <c r="H28" s="60"/>
      <c r="I28" s="57"/>
      <c r="J28" s="58"/>
      <c r="K28" s="59"/>
      <c r="L28" s="60"/>
      <c r="M28" s="57"/>
      <c r="N28" s="58"/>
      <c r="O28" s="59"/>
      <c r="P28" s="60"/>
      <c r="Q28" s="61"/>
      <c r="R28" s="62"/>
    </row>
    <row r="29" spans="1:18" ht="18" customHeight="1" thickBot="1" x14ac:dyDescent="0.2">
      <c r="A29" s="47"/>
      <c r="B29" s="85"/>
      <c r="C29" s="86"/>
      <c r="D29" s="48"/>
      <c r="E29" s="49"/>
      <c r="F29" s="50"/>
      <c r="G29" s="51"/>
      <c r="H29" s="52"/>
      <c r="I29" s="49"/>
      <c r="J29" s="50"/>
      <c r="K29" s="51"/>
      <c r="L29" s="52"/>
      <c r="M29" s="49"/>
      <c r="N29" s="50"/>
      <c r="O29" s="51"/>
      <c r="P29" s="52"/>
      <c r="Q29" s="64"/>
      <c r="R29" s="54"/>
    </row>
    <row r="30" spans="1:18" ht="18" customHeight="1" thickTop="1" x14ac:dyDescent="0.15">
      <c r="B30" s="87" t="s">
        <v>57</v>
      </c>
      <c r="C30" s="88">
        <f t="shared" ref="C30:Q30" si="2">SUM(C10:C29)</f>
        <v>900</v>
      </c>
      <c r="D30" s="65">
        <f>SUM(D10:D29)</f>
        <v>3780</v>
      </c>
      <c r="E30" s="66">
        <f t="shared" si="2"/>
        <v>95</v>
      </c>
      <c r="F30" s="67">
        <f t="shared" si="2"/>
        <v>1</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95</v>
      </c>
      <c r="R30" s="71">
        <f>Q30/D30</f>
        <v>2.5132275132275131E-2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41" t="s">
        <v>115</v>
      </c>
    </row>
    <row r="2" spans="1:11" ht="18.75" customHeight="1" x14ac:dyDescent="0.15">
      <c r="A2" s="272" t="s">
        <v>64</v>
      </c>
      <c r="B2" s="272"/>
      <c r="C2" s="272"/>
      <c r="D2" s="272"/>
      <c r="E2" s="272"/>
      <c r="F2" s="272"/>
      <c r="G2" s="272"/>
      <c r="H2" s="272"/>
      <c r="I2" s="272"/>
      <c r="J2" s="272"/>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55" t="s">
        <v>221</v>
      </c>
      <c r="C5" s="156"/>
      <c r="D5" s="156"/>
      <c r="E5" s="156"/>
      <c r="F5" s="156"/>
      <c r="G5" s="156"/>
      <c r="H5" s="156"/>
      <c r="I5" s="156"/>
      <c r="J5" s="309"/>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89"/>
      <c r="B8" s="310" t="s">
        <v>200</v>
      </c>
      <c r="C8" s="311"/>
      <c r="D8" s="311"/>
      <c r="E8" s="311"/>
      <c r="F8" s="311"/>
      <c r="G8" s="311"/>
      <c r="H8" s="311"/>
      <c r="I8" s="312"/>
      <c r="J8" s="313"/>
      <c r="K8" s="31" t="str">
        <f>IF(B8="","入力してください","")</f>
        <v/>
      </c>
    </row>
    <row r="9" spans="1:11" s="4" customFormat="1" ht="18.75" customHeight="1" x14ac:dyDescent="0.15">
      <c r="A9" s="89"/>
      <c r="B9" s="314"/>
      <c r="C9" s="315"/>
      <c r="D9" s="315"/>
      <c r="E9" s="315"/>
      <c r="F9" s="315"/>
      <c r="G9" s="315"/>
      <c r="H9" s="315"/>
      <c r="I9" s="315"/>
      <c r="J9" s="316"/>
      <c r="K9" s="31"/>
    </row>
    <row r="10" spans="1:11" s="4" customFormat="1" ht="18.75" customHeight="1" x14ac:dyDescent="0.15">
      <c r="A10" s="89"/>
      <c r="B10" s="314"/>
      <c r="C10" s="315"/>
      <c r="D10" s="315"/>
      <c r="E10" s="315"/>
      <c r="F10" s="315"/>
      <c r="G10" s="315"/>
      <c r="H10" s="315"/>
      <c r="I10" s="315"/>
      <c r="J10" s="316"/>
      <c r="K10" s="31"/>
    </row>
    <row r="11" spans="1:11" s="4" customFormat="1" ht="18.75" customHeight="1" x14ac:dyDescent="0.15">
      <c r="A11" s="89"/>
      <c r="B11" s="314"/>
      <c r="C11" s="315"/>
      <c r="D11" s="315"/>
      <c r="E11" s="315"/>
      <c r="F11" s="315"/>
      <c r="G11" s="315"/>
      <c r="H11" s="315"/>
      <c r="I11" s="315"/>
      <c r="J11" s="316"/>
      <c r="K11" s="31"/>
    </row>
    <row r="12" spans="1:11" s="4" customFormat="1" ht="18.75" customHeight="1" x14ac:dyDescent="0.15">
      <c r="A12" s="89"/>
      <c r="B12" s="317"/>
      <c r="C12" s="318"/>
      <c r="D12" s="318"/>
      <c r="E12" s="318"/>
      <c r="F12" s="318"/>
      <c r="G12" s="318"/>
      <c r="H12" s="318"/>
      <c r="I12" s="318"/>
      <c r="J12" s="319"/>
      <c r="K12" s="31"/>
    </row>
    <row r="13" spans="1:11" s="4" customFormat="1" ht="7.5" customHeight="1" x14ac:dyDescent="0.15">
      <c r="A13" s="89"/>
      <c r="B13" s="89"/>
      <c r="C13" s="89"/>
      <c r="D13" s="89"/>
      <c r="E13" s="89"/>
      <c r="F13" s="89"/>
      <c r="G13" s="89"/>
      <c r="H13" s="89"/>
      <c r="I13" s="89"/>
      <c r="J13" s="89"/>
      <c r="K13" s="31"/>
    </row>
    <row r="14" spans="1:11" s="4" customFormat="1" ht="18.75" customHeight="1" x14ac:dyDescent="0.15">
      <c r="A14" s="90" t="s">
        <v>10</v>
      </c>
      <c r="B14" s="90" t="s">
        <v>15</v>
      </c>
      <c r="C14" s="90"/>
      <c r="D14" s="90"/>
      <c r="E14" s="90"/>
      <c r="F14" s="90"/>
      <c r="G14" s="90"/>
      <c r="H14" s="90"/>
      <c r="I14" s="90"/>
      <c r="J14" s="90"/>
      <c r="K14" s="31"/>
    </row>
    <row r="15" spans="1:11" s="4" customFormat="1" ht="18.75" customHeight="1" x14ac:dyDescent="0.15">
      <c r="A15" s="89"/>
      <c r="B15" s="310" t="s">
        <v>201</v>
      </c>
      <c r="C15" s="311"/>
      <c r="D15" s="311"/>
      <c r="E15" s="311"/>
      <c r="F15" s="311"/>
      <c r="G15" s="311"/>
      <c r="H15" s="311"/>
      <c r="I15" s="312"/>
      <c r="J15" s="313"/>
      <c r="K15" s="31" t="str">
        <f>IF(B15="","入力してください","")</f>
        <v/>
      </c>
    </row>
    <row r="16" spans="1:11" s="4" customFormat="1" ht="18.75" customHeight="1" x14ac:dyDescent="0.15">
      <c r="A16" s="89"/>
      <c r="B16" s="314"/>
      <c r="C16" s="315"/>
      <c r="D16" s="315"/>
      <c r="E16" s="315"/>
      <c r="F16" s="315"/>
      <c r="G16" s="315"/>
      <c r="H16" s="315"/>
      <c r="I16" s="315"/>
      <c r="J16" s="316"/>
      <c r="K16" s="31"/>
    </row>
    <row r="17" spans="1:11" s="4" customFormat="1" ht="18.75" customHeight="1" x14ac:dyDescent="0.15">
      <c r="A17" s="89"/>
      <c r="B17" s="314"/>
      <c r="C17" s="315"/>
      <c r="D17" s="315"/>
      <c r="E17" s="315"/>
      <c r="F17" s="315"/>
      <c r="G17" s="315"/>
      <c r="H17" s="315"/>
      <c r="I17" s="315"/>
      <c r="J17" s="316"/>
      <c r="K17" s="31"/>
    </row>
    <row r="18" spans="1:11" s="4" customFormat="1" ht="18.75" customHeight="1" x14ac:dyDescent="0.15">
      <c r="A18" s="89"/>
      <c r="B18" s="314"/>
      <c r="C18" s="315"/>
      <c r="D18" s="315"/>
      <c r="E18" s="315"/>
      <c r="F18" s="315"/>
      <c r="G18" s="315"/>
      <c r="H18" s="315"/>
      <c r="I18" s="315"/>
      <c r="J18" s="316"/>
      <c r="K18" s="31"/>
    </row>
    <row r="19" spans="1:11" s="4" customFormat="1" ht="18.75" customHeight="1" x14ac:dyDescent="0.15">
      <c r="A19" s="89"/>
      <c r="B19" s="314"/>
      <c r="C19" s="315"/>
      <c r="D19" s="315"/>
      <c r="E19" s="315"/>
      <c r="F19" s="315"/>
      <c r="G19" s="315"/>
      <c r="H19" s="315"/>
      <c r="I19" s="315"/>
      <c r="J19" s="316"/>
      <c r="K19" s="31"/>
    </row>
    <row r="20" spans="1:11" s="4" customFormat="1" ht="18.75" customHeight="1" x14ac:dyDescent="0.15">
      <c r="A20" s="89"/>
      <c r="B20" s="314"/>
      <c r="C20" s="315"/>
      <c r="D20" s="315"/>
      <c r="E20" s="315"/>
      <c r="F20" s="315"/>
      <c r="G20" s="315"/>
      <c r="H20" s="315"/>
      <c r="I20" s="315"/>
      <c r="J20" s="316"/>
      <c r="K20" s="31"/>
    </row>
    <row r="21" spans="1:11" s="4" customFormat="1" ht="18.75" customHeight="1" x14ac:dyDescent="0.15">
      <c r="A21" s="89"/>
      <c r="B21" s="314"/>
      <c r="C21" s="315"/>
      <c r="D21" s="315"/>
      <c r="E21" s="315"/>
      <c r="F21" s="315"/>
      <c r="G21" s="315"/>
      <c r="H21" s="315"/>
      <c r="I21" s="315"/>
      <c r="J21" s="316"/>
      <c r="K21" s="31"/>
    </row>
    <row r="22" spans="1:11" s="4" customFormat="1" ht="18.75" customHeight="1" x14ac:dyDescent="0.15">
      <c r="A22" s="89"/>
      <c r="B22" s="314"/>
      <c r="C22" s="315"/>
      <c r="D22" s="315"/>
      <c r="E22" s="315"/>
      <c r="F22" s="315"/>
      <c r="G22" s="315"/>
      <c r="H22" s="315"/>
      <c r="I22" s="315"/>
      <c r="J22" s="316"/>
      <c r="K22" s="31"/>
    </row>
    <row r="23" spans="1:11" s="4" customFormat="1" ht="18.75" customHeight="1" x14ac:dyDescent="0.15">
      <c r="A23" s="89"/>
      <c r="B23" s="314"/>
      <c r="C23" s="315"/>
      <c r="D23" s="315"/>
      <c r="E23" s="315"/>
      <c r="F23" s="315"/>
      <c r="G23" s="315"/>
      <c r="H23" s="315"/>
      <c r="I23" s="315"/>
      <c r="J23" s="316"/>
      <c r="K23" s="31"/>
    </row>
    <row r="24" spans="1:11" s="4" customFormat="1" ht="18.75" customHeight="1" x14ac:dyDescent="0.15">
      <c r="A24" s="89"/>
      <c r="B24" s="314"/>
      <c r="C24" s="315"/>
      <c r="D24" s="315"/>
      <c r="E24" s="315"/>
      <c r="F24" s="315"/>
      <c r="G24" s="315"/>
      <c r="H24" s="315"/>
      <c r="I24" s="315"/>
      <c r="J24" s="316"/>
      <c r="K24" s="31"/>
    </row>
    <row r="25" spans="1:11" s="4" customFormat="1" ht="18.75" customHeight="1" x14ac:dyDescent="0.15">
      <c r="A25" s="89"/>
      <c r="B25" s="317"/>
      <c r="C25" s="318"/>
      <c r="D25" s="318"/>
      <c r="E25" s="318"/>
      <c r="F25" s="318"/>
      <c r="G25" s="318"/>
      <c r="H25" s="318"/>
      <c r="I25" s="318"/>
      <c r="J25" s="319"/>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1" t="s">
        <v>116</v>
      </c>
      <c r="C28" s="92">
        <f>'様式３　履修者等数の実績'!R30</f>
        <v>2.5132275132275131E-2</v>
      </c>
      <c r="D28" s="93"/>
      <c r="E28" s="93" t="s">
        <v>117</v>
      </c>
      <c r="F28" s="92">
        <v>0.12</v>
      </c>
      <c r="G28" s="93"/>
      <c r="H28" s="93" t="s">
        <v>118</v>
      </c>
      <c r="I28" s="94">
        <v>0.23</v>
      </c>
      <c r="J28" s="95"/>
      <c r="K28" s="31"/>
    </row>
    <row r="29" spans="1:11" s="29" customFormat="1" ht="18.75" customHeight="1" x14ac:dyDescent="0.15">
      <c r="B29" s="80" t="s">
        <v>119</v>
      </c>
      <c r="C29" s="96">
        <v>0.36</v>
      </c>
      <c r="D29" s="81"/>
      <c r="E29" s="81" t="s">
        <v>120</v>
      </c>
      <c r="F29" s="96">
        <v>0.51</v>
      </c>
      <c r="G29" s="81"/>
      <c r="H29" s="81" t="s">
        <v>121</v>
      </c>
      <c r="I29" s="97">
        <f>'様式３　履修者等数の実績'!D30</f>
        <v>3780</v>
      </c>
      <c r="J29" s="98"/>
      <c r="K29" s="35"/>
    </row>
    <row r="30" spans="1:11" s="4" customFormat="1" ht="18.75" customHeight="1" x14ac:dyDescent="0.15">
      <c r="A30" s="1"/>
      <c r="B30" s="212" t="s">
        <v>122</v>
      </c>
      <c r="C30" s="213"/>
      <c r="D30" s="213"/>
      <c r="E30" s="213"/>
      <c r="F30" s="213"/>
      <c r="G30" s="213"/>
      <c r="H30" s="213"/>
      <c r="I30" s="213"/>
      <c r="J30" s="214"/>
      <c r="K30" s="35"/>
    </row>
    <row r="31" spans="1:11" s="4" customFormat="1" ht="18.75" customHeight="1" x14ac:dyDescent="0.15">
      <c r="A31" s="1"/>
      <c r="B31" s="306" t="s">
        <v>202</v>
      </c>
      <c r="C31" s="307"/>
      <c r="D31" s="307"/>
      <c r="E31" s="307"/>
      <c r="F31" s="307"/>
      <c r="G31" s="307"/>
      <c r="H31" s="307"/>
      <c r="I31" s="307"/>
      <c r="J31" s="308"/>
      <c r="K31" s="35"/>
    </row>
    <row r="32" spans="1:11" s="4" customFormat="1" ht="18.75" customHeight="1" x14ac:dyDescent="0.15">
      <c r="A32" s="1"/>
      <c r="B32" s="291"/>
      <c r="C32" s="292"/>
      <c r="D32" s="292"/>
      <c r="E32" s="292"/>
      <c r="F32" s="292"/>
      <c r="G32" s="292"/>
      <c r="H32" s="292"/>
      <c r="I32" s="292"/>
      <c r="J32" s="293"/>
      <c r="K32" s="35"/>
    </row>
    <row r="33" spans="1:11" s="4" customFormat="1" ht="18.75" customHeight="1" x14ac:dyDescent="0.15">
      <c r="A33" s="1"/>
      <c r="B33" s="291"/>
      <c r="C33" s="292"/>
      <c r="D33" s="292"/>
      <c r="E33" s="292"/>
      <c r="F33" s="292"/>
      <c r="G33" s="292"/>
      <c r="H33" s="292"/>
      <c r="I33" s="292"/>
      <c r="J33" s="293"/>
      <c r="K33" s="35"/>
    </row>
    <row r="34" spans="1:11" s="4" customFormat="1" ht="18.75" customHeight="1" x14ac:dyDescent="0.15">
      <c r="A34" s="1"/>
      <c r="B34" s="291"/>
      <c r="C34" s="292"/>
      <c r="D34" s="292"/>
      <c r="E34" s="292"/>
      <c r="F34" s="292"/>
      <c r="G34" s="292"/>
      <c r="H34" s="292"/>
      <c r="I34" s="292"/>
      <c r="J34" s="293"/>
      <c r="K34" s="35"/>
    </row>
    <row r="35" spans="1:11" s="4" customFormat="1" ht="18.75" customHeight="1" x14ac:dyDescent="0.15">
      <c r="A35" s="1"/>
      <c r="B35" s="291"/>
      <c r="C35" s="292"/>
      <c r="D35" s="292"/>
      <c r="E35" s="292"/>
      <c r="F35" s="292"/>
      <c r="G35" s="292"/>
      <c r="H35" s="292"/>
      <c r="I35" s="292"/>
      <c r="J35" s="293"/>
      <c r="K35" s="35"/>
    </row>
    <row r="36" spans="1:11" s="4" customFormat="1" ht="18.75" customHeight="1" x14ac:dyDescent="0.15">
      <c r="A36" s="1"/>
      <c r="B36" s="291"/>
      <c r="C36" s="292"/>
      <c r="D36" s="292"/>
      <c r="E36" s="292"/>
      <c r="F36" s="292"/>
      <c r="G36" s="292"/>
      <c r="H36" s="292"/>
      <c r="I36" s="292"/>
      <c r="J36" s="293"/>
      <c r="K36" s="35"/>
    </row>
    <row r="37" spans="1:11" s="4" customFormat="1" ht="18.75" customHeight="1" x14ac:dyDescent="0.15">
      <c r="A37" s="1"/>
      <c r="B37" s="291"/>
      <c r="C37" s="292"/>
      <c r="D37" s="292"/>
      <c r="E37" s="292"/>
      <c r="F37" s="292"/>
      <c r="G37" s="292"/>
      <c r="H37" s="292"/>
      <c r="I37" s="292"/>
      <c r="J37" s="293"/>
      <c r="K37" s="35"/>
    </row>
    <row r="38" spans="1:11" s="4" customFormat="1" ht="18.75" customHeight="1" x14ac:dyDescent="0.15">
      <c r="A38" s="1"/>
      <c r="B38" s="291"/>
      <c r="C38" s="292"/>
      <c r="D38" s="292"/>
      <c r="E38" s="292"/>
      <c r="F38" s="292"/>
      <c r="G38" s="292"/>
      <c r="H38" s="292"/>
      <c r="I38" s="292"/>
      <c r="J38" s="293"/>
      <c r="K38" s="35"/>
    </row>
    <row r="39" spans="1:11" s="4" customFormat="1" ht="18.75" customHeight="1" x14ac:dyDescent="0.15">
      <c r="A39" s="1"/>
      <c r="B39" s="291"/>
      <c r="C39" s="292"/>
      <c r="D39" s="292"/>
      <c r="E39" s="292"/>
      <c r="F39" s="292"/>
      <c r="G39" s="292"/>
      <c r="H39" s="292"/>
      <c r="I39" s="292"/>
      <c r="J39" s="293"/>
      <c r="K39" s="35"/>
    </row>
    <row r="40" spans="1:11" s="4" customFormat="1" ht="18.75" customHeight="1" x14ac:dyDescent="0.15">
      <c r="A40" s="1"/>
      <c r="B40" s="291"/>
      <c r="C40" s="292"/>
      <c r="D40" s="292"/>
      <c r="E40" s="292"/>
      <c r="F40" s="292"/>
      <c r="G40" s="292"/>
      <c r="H40" s="292"/>
      <c r="I40" s="292"/>
      <c r="J40" s="293"/>
      <c r="K40" s="35"/>
    </row>
    <row r="41" spans="1:11" s="4" customFormat="1" ht="18.75" customHeight="1" x14ac:dyDescent="0.15">
      <c r="A41" s="1"/>
      <c r="B41" s="291"/>
      <c r="C41" s="292"/>
      <c r="D41" s="292"/>
      <c r="E41" s="292"/>
      <c r="F41" s="292"/>
      <c r="G41" s="292"/>
      <c r="H41" s="292"/>
      <c r="I41" s="292"/>
      <c r="J41" s="293"/>
      <c r="K41" s="35"/>
    </row>
    <row r="42" spans="1:11" s="4" customFormat="1" ht="18.75" customHeight="1" x14ac:dyDescent="0.15">
      <c r="A42" s="1"/>
      <c r="B42" s="291"/>
      <c r="C42" s="292"/>
      <c r="D42" s="292"/>
      <c r="E42" s="292"/>
      <c r="F42" s="292"/>
      <c r="G42" s="292"/>
      <c r="H42" s="292"/>
      <c r="I42" s="292"/>
      <c r="J42" s="293"/>
      <c r="K42" s="35"/>
    </row>
    <row r="43" spans="1:11" ht="18.75" customHeight="1" x14ac:dyDescent="0.15">
      <c r="A43" s="39"/>
      <c r="B43" s="291"/>
      <c r="C43" s="292"/>
      <c r="D43" s="292"/>
      <c r="E43" s="292"/>
      <c r="F43" s="292"/>
      <c r="G43" s="292"/>
      <c r="H43" s="292"/>
      <c r="I43" s="292"/>
      <c r="J43" s="293"/>
      <c r="K43" s="35"/>
    </row>
    <row r="44" spans="1:11" ht="18.75" customHeight="1" x14ac:dyDescent="0.15">
      <c r="A44" s="39"/>
      <c r="B44" s="294"/>
      <c r="C44" s="295"/>
      <c r="D44" s="295"/>
      <c r="E44" s="295"/>
      <c r="F44" s="295"/>
      <c r="G44" s="295"/>
      <c r="H44" s="295"/>
      <c r="I44" s="295"/>
      <c r="J44" s="296"/>
    </row>
    <row r="45" spans="1:11" s="4" customFormat="1" ht="18.75" customHeight="1" x14ac:dyDescent="0.15">
      <c r="A45" s="99" t="s">
        <v>11</v>
      </c>
      <c r="B45" s="1" t="s">
        <v>65</v>
      </c>
      <c r="C45" s="1"/>
      <c r="D45" s="1"/>
      <c r="E45" s="1"/>
      <c r="F45" s="1"/>
      <c r="G45" s="1"/>
      <c r="H45" s="1"/>
      <c r="I45" s="99"/>
      <c r="J45" s="99"/>
      <c r="K45" s="31"/>
    </row>
    <row r="46" spans="1:11" ht="18.75" customHeight="1" x14ac:dyDescent="0.15">
      <c r="A46" s="39"/>
      <c r="B46" s="288" t="s">
        <v>207</v>
      </c>
      <c r="C46" s="289"/>
      <c r="D46" s="289"/>
      <c r="E46" s="289"/>
      <c r="F46" s="289"/>
      <c r="G46" s="289"/>
      <c r="H46" s="289"/>
      <c r="I46" s="289"/>
      <c r="J46" s="290"/>
      <c r="K46" s="31" t="str">
        <f>IF(B46="","入力してください","")</f>
        <v/>
      </c>
    </row>
    <row r="47" spans="1:11" ht="18.75" customHeight="1" x14ac:dyDescent="0.15">
      <c r="A47" s="39"/>
      <c r="B47" s="291"/>
      <c r="C47" s="292"/>
      <c r="D47" s="292"/>
      <c r="E47" s="292"/>
      <c r="F47" s="292"/>
      <c r="G47" s="292"/>
      <c r="H47" s="292"/>
      <c r="I47" s="292"/>
      <c r="J47" s="293"/>
    </row>
    <row r="48" spans="1:11" ht="18.75" customHeight="1" x14ac:dyDescent="0.15">
      <c r="A48" s="39"/>
      <c r="B48" s="291"/>
      <c r="C48" s="292"/>
      <c r="D48" s="292"/>
      <c r="E48" s="292"/>
      <c r="F48" s="292"/>
      <c r="G48" s="292"/>
      <c r="H48" s="292"/>
      <c r="I48" s="292"/>
      <c r="J48" s="293"/>
    </row>
    <row r="49" spans="1:10" ht="18.75" customHeight="1" x14ac:dyDescent="0.15">
      <c r="A49" s="39"/>
      <c r="B49" s="291"/>
      <c r="C49" s="292"/>
      <c r="D49" s="292"/>
      <c r="E49" s="292"/>
      <c r="F49" s="292"/>
      <c r="G49" s="292"/>
      <c r="H49" s="292"/>
      <c r="I49" s="292"/>
      <c r="J49" s="293"/>
    </row>
    <row r="50" spans="1:10" ht="18.75" customHeight="1" x14ac:dyDescent="0.15">
      <c r="A50" s="39"/>
      <c r="B50" s="291"/>
      <c r="C50" s="292"/>
      <c r="D50" s="292"/>
      <c r="E50" s="292"/>
      <c r="F50" s="292"/>
      <c r="G50" s="292"/>
      <c r="H50" s="292"/>
      <c r="I50" s="292"/>
      <c r="J50" s="293"/>
    </row>
    <row r="51" spans="1:10" ht="18.75" customHeight="1" x14ac:dyDescent="0.15">
      <c r="A51" s="39"/>
      <c r="B51" s="291"/>
      <c r="C51" s="292"/>
      <c r="D51" s="292"/>
      <c r="E51" s="292"/>
      <c r="F51" s="292"/>
      <c r="G51" s="292"/>
      <c r="H51" s="292"/>
      <c r="I51" s="292"/>
      <c r="J51" s="293"/>
    </row>
    <row r="52" spans="1:10" ht="18.75" customHeight="1" x14ac:dyDescent="0.15">
      <c r="A52" s="39"/>
      <c r="B52" s="291"/>
      <c r="C52" s="292"/>
      <c r="D52" s="292"/>
      <c r="E52" s="292"/>
      <c r="F52" s="292"/>
      <c r="G52" s="292"/>
      <c r="H52" s="292"/>
      <c r="I52" s="292"/>
      <c r="J52" s="293"/>
    </row>
    <row r="53" spans="1:10" ht="18.75" customHeight="1" x14ac:dyDescent="0.15">
      <c r="A53" s="39"/>
      <c r="B53" s="291"/>
      <c r="C53" s="292"/>
      <c r="D53" s="292"/>
      <c r="E53" s="292"/>
      <c r="F53" s="292"/>
      <c r="G53" s="292"/>
      <c r="H53" s="292"/>
      <c r="I53" s="292"/>
      <c r="J53" s="293"/>
    </row>
    <row r="54" spans="1:10" ht="18.75" customHeight="1" x14ac:dyDescent="0.15">
      <c r="A54" s="39"/>
      <c r="B54" s="291"/>
      <c r="C54" s="292"/>
      <c r="D54" s="292"/>
      <c r="E54" s="292"/>
      <c r="F54" s="292"/>
      <c r="G54" s="292"/>
      <c r="H54" s="292"/>
      <c r="I54" s="292"/>
      <c r="J54" s="293"/>
    </row>
    <row r="55" spans="1:10" ht="18.75" customHeight="1" x14ac:dyDescent="0.15">
      <c r="A55" s="39"/>
      <c r="B55" s="291"/>
      <c r="C55" s="292"/>
      <c r="D55" s="292"/>
      <c r="E55" s="292"/>
      <c r="F55" s="292"/>
      <c r="G55" s="292"/>
      <c r="H55" s="292"/>
      <c r="I55" s="292"/>
      <c r="J55" s="293"/>
    </row>
    <row r="56" spans="1:10" ht="18.75" customHeight="1" x14ac:dyDescent="0.15">
      <c r="A56" s="39"/>
      <c r="B56" s="291"/>
      <c r="C56" s="292"/>
      <c r="D56" s="292"/>
      <c r="E56" s="292"/>
      <c r="F56" s="292"/>
      <c r="G56" s="292"/>
      <c r="H56" s="292"/>
      <c r="I56" s="292"/>
      <c r="J56" s="293"/>
    </row>
    <row r="57" spans="1:10" ht="18.75" customHeight="1" x14ac:dyDescent="0.15">
      <c r="A57" s="39"/>
      <c r="B57" s="291"/>
      <c r="C57" s="292"/>
      <c r="D57" s="292"/>
      <c r="E57" s="292"/>
      <c r="F57" s="292"/>
      <c r="G57" s="292"/>
      <c r="H57" s="292"/>
      <c r="I57" s="292"/>
      <c r="J57" s="293"/>
    </row>
    <row r="58" spans="1:10" ht="18.75" customHeight="1" x14ac:dyDescent="0.15">
      <c r="A58" s="39"/>
      <c r="B58" s="291"/>
      <c r="C58" s="292"/>
      <c r="D58" s="292"/>
      <c r="E58" s="292"/>
      <c r="F58" s="292"/>
      <c r="G58" s="292"/>
      <c r="H58" s="292"/>
      <c r="I58" s="292"/>
      <c r="J58" s="293"/>
    </row>
    <row r="59" spans="1:10" ht="18.75" customHeight="1" x14ac:dyDescent="0.15">
      <c r="A59" s="39"/>
      <c r="B59" s="291"/>
      <c r="C59" s="292"/>
      <c r="D59" s="292"/>
      <c r="E59" s="292"/>
      <c r="F59" s="292"/>
      <c r="G59" s="292"/>
      <c r="H59" s="292"/>
      <c r="I59" s="292"/>
      <c r="J59" s="293"/>
    </row>
    <row r="60" spans="1:10" ht="18.75" customHeight="1" x14ac:dyDescent="0.15">
      <c r="A60" s="39"/>
      <c r="B60" s="291"/>
      <c r="C60" s="292"/>
      <c r="D60" s="292"/>
      <c r="E60" s="292"/>
      <c r="F60" s="292"/>
      <c r="G60" s="292"/>
      <c r="H60" s="292"/>
      <c r="I60" s="292"/>
      <c r="J60" s="293"/>
    </row>
    <row r="61" spans="1:10" ht="18.75" customHeight="1" x14ac:dyDescent="0.15">
      <c r="A61" s="39"/>
      <c r="B61" s="291"/>
      <c r="C61" s="292"/>
      <c r="D61" s="292"/>
      <c r="E61" s="292"/>
      <c r="F61" s="292"/>
      <c r="G61" s="292"/>
      <c r="H61" s="292"/>
      <c r="I61" s="292"/>
      <c r="J61" s="293"/>
    </row>
    <row r="62" spans="1:10" ht="18.75" customHeight="1" x14ac:dyDescent="0.15">
      <c r="A62" s="39"/>
      <c r="B62" s="291"/>
      <c r="C62" s="292"/>
      <c r="D62" s="292"/>
      <c r="E62" s="292"/>
      <c r="F62" s="292"/>
      <c r="G62" s="292"/>
      <c r="H62" s="292"/>
      <c r="I62" s="292"/>
      <c r="J62" s="293"/>
    </row>
    <row r="63" spans="1:10" ht="18.75" customHeight="1" x14ac:dyDescent="0.15">
      <c r="A63" s="39"/>
      <c r="B63" s="291"/>
      <c r="C63" s="292"/>
      <c r="D63" s="292"/>
      <c r="E63" s="292"/>
      <c r="F63" s="292"/>
      <c r="G63" s="292"/>
      <c r="H63" s="292"/>
      <c r="I63" s="292"/>
      <c r="J63" s="293"/>
    </row>
    <row r="64" spans="1:10" ht="18.75" customHeight="1" x14ac:dyDescent="0.15">
      <c r="A64" s="39"/>
      <c r="B64" s="291"/>
      <c r="C64" s="292"/>
      <c r="D64" s="292"/>
      <c r="E64" s="292"/>
      <c r="F64" s="292"/>
      <c r="G64" s="292"/>
      <c r="H64" s="292"/>
      <c r="I64" s="292"/>
      <c r="J64" s="293"/>
    </row>
    <row r="65" spans="1:11" ht="18.75" customHeight="1" x14ac:dyDescent="0.15">
      <c r="A65" s="39"/>
      <c r="B65" s="291"/>
      <c r="C65" s="292"/>
      <c r="D65" s="292"/>
      <c r="E65" s="292"/>
      <c r="F65" s="292"/>
      <c r="G65" s="292"/>
      <c r="H65" s="292"/>
      <c r="I65" s="292"/>
      <c r="J65" s="293"/>
    </row>
    <row r="66" spans="1:11" ht="18.75" customHeight="1" x14ac:dyDescent="0.15">
      <c r="A66" s="39"/>
      <c r="B66" s="294"/>
      <c r="C66" s="295"/>
      <c r="D66" s="295"/>
      <c r="E66" s="295"/>
      <c r="F66" s="295"/>
      <c r="G66" s="295"/>
      <c r="H66" s="295"/>
      <c r="I66" s="295"/>
      <c r="J66" s="296"/>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88" t="s">
        <v>203</v>
      </c>
      <c r="C69" s="289"/>
      <c r="D69" s="289"/>
      <c r="E69" s="289"/>
      <c r="F69" s="289"/>
      <c r="G69" s="289"/>
      <c r="H69" s="289"/>
      <c r="I69" s="297"/>
      <c r="J69" s="298"/>
      <c r="K69" s="35" t="str">
        <f>IF(B69="","入力してください","")</f>
        <v/>
      </c>
    </row>
    <row r="70" spans="1:11" s="4" customFormat="1" ht="18.75" customHeight="1" x14ac:dyDescent="0.15">
      <c r="A70" s="1"/>
      <c r="B70" s="299"/>
      <c r="C70" s="300"/>
      <c r="D70" s="300"/>
      <c r="E70" s="300"/>
      <c r="F70" s="300"/>
      <c r="G70" s="300"/>
      <c r="H70" s="300"/>
      <c r="I70" s="300"/>
      <c r="J70" s="301"/>
      <c r="K70" s="35"/>
    </row>
    <row r="71" spans="1:11" s="4" customFormat="1" ht="18.75" customHeight="1" x14ac:dyDescent="0.15">
      <c r="A71" s="1"/>
      <c r="B71" s="299"/>
      <c r="C71" s="300"/>
      <c r="D71" s="300"/>
      <c r="E71" s="300"/>
      <c r="F71" s="300"/>
      <c r="G71" s="300"/>
      <c r="H71" s="300"/>
      <c r="I71" s="300"/>
      <c r="J71" s="301"/>
      <c r="K71" s="35"/>
    </row>
    <row r="72" spans="1:11" s="4" customFormat="1" ht="18.75" customHeight="1" x14ac:dyDescent="0.15">
      <c r="A72" s="1"/>
      <c r="B72" s="299"/>
      <c r="C72" s="300"/>
      <c r="D72" s="300"/>
      <c r="E72" s="300"/>
      <c r="F72" s="300"/>
      <c r="G72" s="300"/>
      <c r="H72" s="300"/>
      <c r="I72" s="300"/>
      <c r="J72" s="301"/>
      <c r="K72" s="35"/>
    </row>
    <row r="73" spans="1:11" s="4" customFormat="1" ht="18.75" customHeight="1" x14ac:dyDescent="0.15">
      <c r="A73" s="1"/>
      <c r="B73" s="299"/>
      <c r="C73" s="300"/>
      <c r="D73" s="300"/>
      <c r="E73" s="300"/>
      <c r="F73" s="300"/>
      <c r="G73" s="300"/>
      <c r="H73" s="300"/>
      <c r="I73" s="300"/>
      <c r="J73" s="301"/>
      <c r="K73" s="35"/>
    </row>
    <row r="74" spans="1:11" s="4" customFormat="1" ht="18.75" customHeight="1" x14ac:dyDescent="0.15">
      <c r="A74" s="1"/>
      <c r="B74" s="299"/>
      <c r="C74" s="300"/>
      <c r="D74" s="300"/>
      <c r="E74" s="300"/>
      <c r="F74" s="300"/>
      <c r="G74" s="300"/>
      <c r="H74" s="300"/>
      <c r="I74" s="300"/>
      <c r="J74" s="301"/>
      <c r="K74" s="35"/>
    </row>
    <row r="75" spans="1:11" s="4" customFormat="1" ht="18.75" customHeight="1" x14ac:dyDescent="0.15">
      <c r="A75" s="1"/>
      <c r="B75" s="299"/>
      <c r="C75" s="300"/>
      <c r="D75" s="300"/>
      <c r="E75" s="300"/>
      <c r="F75" s="300"/>
      <c r="G75" s="300"/>
      <c r="H75" s="300"/>
      <c r="I75" s="300"/>
      <c r="J75" s="301"/>
      <c r="K75" s="35"/>
    </row>
    <row r="76" spans="1:11" s="4" customFormat="1" ht="18.75" customHeight="1" x14ac:dyDescent="0.15">
      <c r="A76" s="1"/>
      <c r="B76" s="299"/>
      <c r="C76" s="300"/>
      <c r="D76" s="300"/>
      <c r="E76" s="300"/>
      <c r="F76" s="300"/>
      <c r="G76" s="300"/>
      <c r="H76" s="300"/>
      <c r="I76" s="300"/>
      <c r="J76" s="301"/>
      <c r="K76" s="35"/>
    </row>
    <row r="77" spans="1:11" s="4" customFormat="1" ht="18.75" customHeight="1" x14ac:dyDescent="0.15">
      <c r="A77" s="1"/>
      <c r="B77" s="299"/>
      <c r="C77" s="300"/>
      <c r="D77" s="300"/>
      <c r="E77" s="300"/>
      <c r="F77" s="300"/>
      <c r="G77" s="300"/>
      <c r="H77" s="300"/>
      <c r="I77" s="300"/>
      <c r="J77" s="301"/>
      <c r="K77" s="35"/>
    </row>
    <row r="78" spans="1:11" s="4" customFormat="1" ht="18.75" customHeight="1" x14ac:dyDescent="0.15">
      <c r="A78" s="1"/>
      <c r="B78" s="299"/>
      <c r="C78" s="300"/>
      <c r="D78" s="300"/>
      <c r="E78" s="300"/>
      <c r="F78" s="300"/>
      <c r="G78" s="300"/>
      <c r="H78" s="300"/>
      <c r="I78" s="300"/>
      <c r="J78" s="301"/>
      <c r="K78" s="35"/>
    </row>
    <row r="79" spans="1:11" s="4" customFormat="1" ht="18.75" customHeight="1" x14ac:dyDescent="0.15">
      <c r="A79" s="1"/>
      <c r="B79" s="299"/>
      <c r="C79" s="300"/>
      <c r="D79" s="300"/>
      <c r="E79" s="300"/>
      <c r="F79" s="300"/>
      <c r="G79" s="300"/>
      <c r="H79" s="300"/>
      <c r="I79" s="300"/>
      <c r="J79" s="301"/>
      <c r="K79" s="35"/>
    </row>
    <row r="80" spans="1:11" s="4" customFormat="1" ht="18.75" customHeight="1" x14ac:dyDescent="0.15">
      <c r="A80" s="1"/>
      <c r="B80" s="299"/>
      <c r="C80" s="300"/>
      <c r="D80" s="300"/>
      <c r="E80" s="300"/>
      <c r="F80" s="300"/>
      <c r="G80" s="300"/>
      <c r="H80" s="300"/>
      <c r="I80" s="300"/>
      <c r="J80" s="301"/>
      <c r="K80" s="35"/>
    </row>
    <row r="81" spans="1:11" s="4" customFormat="1" ht="18.75" customHeight="1" x14ac:dyDescent="0.15">
      <c r="A81" s="1"/>
      <c r="B81" s="299"/>
      <c r="C81" s="300"/>
      <c r="D81" s="300"/>
      <c r="E81" s="300"/>
      <c r="F81" s="300"/>
      <c r="G81" s="300"/>
      <c r="H81" s="300"/>
      <c r="I81" s="300"/>
      <c r="J81" s="301"/>
      <c r="K81" s="35"/>
    </row>
    <row r="82" spans="1:11" s="4" customFormat="1" ht="18.75" customHeight="1" x14ac:dyDescent="0.15">
      <c r="A82" s="1"/>
      <c r="B82" s="299"/>
      <c r="C82" s="300"/>
      <c r="D82" s="300"/>
      <c r="E82" s="300"/>
      <c r="F82" s="300"/>
      <c r="G82" s="300"/>
      <c r="H82" s="300"/>
      <c r="I82" s="300"/>
      <c r="J82" s="301"/>
      <c r="K82" s="35"/>
    </row>
    <row r="83" spans="1:11" s="4" customFormat="1" ht="18.75" customHeight="1" x14ac:dyDescent="0.15">
      <c r="A83" s="1"/>
      <c r="B83" s="299"/>
      <c r="C83" s="300"/>
      <c r="D83" s="300"/>
      <c r="E83" s="300"/>
      <c r="F83" s="300"/>
      <c r="G83" s="300"/>
      <c r="H83" s="300"/>
      <c r="I83" s="300"/>
      <c r="J83" s="301"/>
      <c r="K83" s="35"/>
    </row>
    <row r="84" spans="1:11" s="4" customFormat="1" ht="18.75" customHeight="1" x14ac:dyDescent="0.15">
      <c r="A84" s="1"/>
      <c r="B84" s="299"/>
      <c r="C84" s="300"/>
      <c r="D84" s="300"/>
      <c r="E84" s="300"/>
      <c r="F84" s="300"/>
      <c r="G84" s="300"/>
      <c r="H84" s="300"/>
      <c r="I84" s="300"/>
      <c r="J84" s="301"/>
      <c r="K84" s="35"/>
    </row>
    <row r="85" spans="1:11" ht="18.75" customHeight="1" x14ac:dyDescent="0.15">
      <c r="A85" s="39"/>
      <c r="B85" s="299"/>
      <c r="C85" s="300"/>
      <c r="D85" s="300"/>
      <c r="E85" s="300"/>
      <c r="F85" s="300"/>
      <c r="G85" s="300"/>
      <c r="H85" s="300"/>
      <c r="I85" s="300"/>
      <c r="J85" s="301"/>
      <c r="K85" s="35"/>
    </row>
    <row r="86" spans="1:11" ht="18.75" customHeight="1" x14ac:dyDescent="0.15">
      <c r="A86" s="39"/>
      <c r="B86" s="302"/>
      <c r="C86" s="303"/>
      <c r="D86" s="303"/>
      <c r="E86" s="303"/>
      <c r="F86" s="303"/>
      <c r="G86" s="303"/>
      <c r="H86" s="303"/>
      <c r="I86" s="303"/>
      <c r="J86" s="304"/>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88" t="s">
        <v>205</v>
      </c>
      <c r="C89" s="289"/>
      <c r="D89" s="289"/>
      <c r="E89" s="289"/>
      <c r="F89" s="289"/>
      <c r="G89" s="289"/>
      <c r="H89" s="289"/>
      <c r="I89" s="297"/>
      <c r="J89" s="298"/>
      <c r="K89" s="31"/>
    </row>
    <row r="90" spans="1:11" s="4" customFormat="1" ht="18.75" customHeight="1" x14ac:dyDescent="0.15">
      <c r="A90" s="1"/>
      <c r="B90" s="299"/>
      <c r="C90" s="300"/>
      <c r="D90" s="300"/>
      <c r="E90" s="300"/>
      <c r="F90" s="300"/>
      <c r="G90" s="300"/>
      <c r="H90" s="300"/>
      <c r="I90" s="300"/>
      <c r="J90" s="301"/>
      <c r="K90" s="35"/>
    </row>
    <row r="91" spans="1:11" s="4" customFormat="1" ht="18.75" customHeight="1" x14ac:dyDescent="0.15">
      <c r="A91" s="1"/>
      <c r="B91" s="299"/>
      <c r="C91" s="300"/>
      <c r="D91" s="300"/>
      <c r="E91" s="300"/>
      <c r="F91" s="300"/>
      <c r="G91" s="300"/>
      <c r="H91" s="300"/>
      <c r="I91" s="300"/>
      <c r="J91" s="301"/>
      <c r="K91" s="35" t="str">
        <f>IF(B89="","入力してください","")</f>
        <v/>
      </c>
    </row>
    <row r="92" spans="1:11" s="4" customFormat="1" ht="18.75" customHeight="1" x14ac:dyDescent="0.15">
      <c r="A92" s="1"/>
      <c r="B92" s="299"/>
      <c r="C92" s="300"/>
      <c r="D92" s="300"/>
      <c r="E92" s="300"/>
      <c r="F92" s="300"/>
      <c r="G92" s="300"/>
      <c r="H92" s="300"/>
      <c r="I92" s="300"/>
      <c r="J92" s="301"/>
      <c r="K92" s="35"/>
    </row>
    <row r="93" spans="1:11" s="4" customFormat="1" ht="18.75" customHeight="1" x14ac:dyDescent="0.15">
      <c r="A93" s="1"/>
      <c r="B93" s="299"/>
      <c r="C93" s="300"/>
      <c r="D93" s="300"/>
      <c r="E93" s="300"/>
      <c r="F93" s="300"/>
      <c r="G93" s="300"/>
      <c r="H93" s="300"/>
      <c r="I93" s="300"/>
      <c r="J93" s="301"/>
      <c r="K93" s="35"/>
    </row>
    <row r="94" spans="1:11" s="4" customFormat="1" ht="18.75" customHeight="1" x14ac:dyDescent="0.15">
      <c r="A94" s="1"/>
      <c r="B94" s="299"/>
      <c r="C94" s="300"/>
      <c r="D94" s="300"/>
      <c r="E94" s="300"/>
      <c r="F94" s="300"/>
      <c r="G94" s="300"/>
      <c r="H94" s="300"/>
      <c r="I94" s="300"/>
      <c r="J94" s="301"/>
      <c r="K94" s="35"/>
    </row>
    <row r="95" spans="1:11" s="4" customFormat="1" ht="18.75" customHeight="1" x14ac:dyDescent="0.15">
      <c r="A95" s="1"/>
      <c r="B95" s="299"/>
      <c r="C95" s="300"/>
      <c r="D95" s="300"/>
      <c r="E95" s="300"/>
      <c r="F95" s="300"/>
      <c r="G95" s="300"/>
      <c r="H95" s="300"/>
      <c r="I95" s="300"/>
      <c r="J95" s="301"/>
      <c r="K95" s="35"/>
    </row>
    <row r="96" spans="1:11" s="4" customFormat="1" ht="18.75" customHeight="1" x14ac:dyDescent="0.15">
      <c r="A96" s="1"/>
      <c r="B96" s="299"/>
      <c r="C96" s="300"/>
      <c r="D96" s="300"/>
      <c r="E96" s="300"/>
      <c r="F96" s="300"/>
      <c r="G96" s="300"/>
      <c r="H96" s="300"/>
      <c r="I96" s="300"/>
      <c r="J96" s="301"/>
      <c r="K96" s="35"/>
    </row>
    <row r="97" spans="1:11" s="4" customFormat="1" ht="18.75" customHeight="1" x14ac:dyDescent="0.15">
      <c r="A97" s="1"/>
      <c r="B97" s="299"/>
      <c r="C97" s="300"/>
      <c r="D97" s="300"/>
      <c r="E97" s="300"/>
      <c r="F97" s="300"/>
      <c r="G97" s="300"/>
      <c r="H97" s="300"/>
      <c r="I97" s="300"/>
      <c r="J97" s="301"/>
      <c r="K97" s="35"/>
    </row>
    <row r="98" spans="1:11" s="4" customFormat="1" ht="18.75" customHeight="1" x14ac:dyDescent="0.15">
      <c r="A98" s="1"/>
      <c r="B98" s="299"/>
      <c r="C98" s="300"/>
      <c r="D98" s="300"/>
      <c r="E98" s="300"/>
      <c r="F98" s="300"/>
      <c r="G98" s="300"/>
      <c r="H98" s="300"/>
      <c r="I98" s="300"/>
      <c r="J98" s="301"/>
      <c r="K98" s="35"/>
    </row>
    <row r="99" spans="1:11" s="4" customFormat="1" ht="18.75" customHeight="1" x14ac:dyDescent="0.15">
      <c r="A99" s="1"/>
      <c r="B99" s="299"/>
      <c r="C99" s="300"/>
      <c r="D99" s="300"/>
      <c r="E99" s="300"/>
      <c r="F99" s="300"/>
      <c r="G99" s="300"/>
      <c r="H99" s="300"/>
      <c r="I99" s="300"/>
      <c r="J99" s="301"/>
      <c r="K99" s="35"/>
    </row>
    <row r="100" spans="1:11" s="4" customFormat="1" ht="18.75" customHeight="1" x14ac:dyDescent="0.15">
      <c r="A100" s="1"/>
      <c r="B100" s="299"/>
      <c r="C100" s="300"/>
      <c r="D100" s="300"/>
      <c r="E100" s="300"/>
      <c r="F100" s="300"/>
      <c r="G100" s="300"/>
      <c r="H100" s="300"/>
      <c r="I100" s="300"/>
      <c r="J100" s="301"/>
      <c r="K100" s="35"/>
    </row>
    <row r="101" spans="1:11" s="4" customFormat="1" ht="18.75" customHeight="1" x14ac:dyDescent="0.15">
      <c r="A101" s="1"/>
      <c r="B101" s="299"/>
      <c r="C101" s="300"/>
      <c r="D101" s="300"/>
      <c r="E101" s="300"/>
      <c r="F101" s="300"/>
      <c r="G101" s="300"/>
      <c r="H101" s="300"/>
      <c r="I101" s="300"/>
      <c r="J101" s="301"/>
      <c r="K101" s="35"/>
    </row>
    <row r="102" spans="1:11" s="4" customFormat="1" ht="18.75" customHeight="1" x14ac:dyDescent="0.15">
      <c r="A102" s="1"/>
      <c r="B102" s="299"/>
      <c r="C102" s="300"/>
      <c r="D102" s="300"/>
      <c r="E102" s="300"/>
      <c r="F102" s="300"/>
      <c r="G102" s="300"/>
      <c r="H102" s="300"/>
      <c r="I102" s="300"/>
      <c r="J102" s="301"/>
      <c r="K102" s="35"/>
    </row>
    <row r="103" spans="1:11" s="4" customFormat="1" ht="18.75" customHeight="1" x14ac:dyDescent="0.15">
      <c r="A103" s="1"/>
      <c r="B103" s="299"/>
      <c r="C103" s="300"/>
      <c r="D103" s="300"/>
      <c r="E103" s="300"/>
      <c r="F103" s="300"/>
      <c r="G103" s="300"/>
      <c r="H103" s="300"/>
      <c r="I103" s="300"/>
      <c r="J103" s="301"/>
      <c r="K103" s="35"/>
    </row>
    <row r="104" spans="1:11" s="4" customFormat="1" ht="18.75" customHeight="1" x14ac:dyDescent="0.15">
      <c r="A104" s="1"/>
      <c r="B104" s="299"/>
      <c r="C104" s="300"/>
      <c r="D104" s="300"/>
      <c r="E104" s="300"/>
      <c r="F104" s="300"/>
      <c r="G104" s="300"/>
      <c r="H104" s="300"/>
      <c r="I104" s="300"/>
      <c r="J104" s="301"/>
      <c r="K104" s="35"/>
    </row>
    <row r="105" spans="1:11" s="4" customFormat="1" ht="18.75" customHeight="1" x14ac:dyDescent="0.15">
      <c r="A105" s="1"/>
      <c r="B105" s="299"/>
      <c r="C105" s="300"/>
      <c r="D105" s="300"/>
      <c r="E105" s="300"/>
      <c r="F105" s="300"/>
      <c r="G105" s="300"/>
      <c r="H105" s="300"/>
      <c r="I105" s="300"/>
      <c r="J105" s="301"/>
      <c r="K105" s="35"/>
    </row>
    <row r="106" spans="1:11" s="4" customFormat="1" ht="18.75" customHeight="1" x14ac:dyDescent="0.15">
      <c r="A106" s="1"/>
      <c r="B106" s="299"/>
      <c r="C106" s="300"/>
      <c r="D106" s="300"/>
      <c r="E106" s="300"/>
      <c r="F106" s="300"/>
      <c r="G106" s="300"/>
      <c r="H106" s="300"/>
      <c r="I106" s="300"/>
      <c r="J106" s="301"/>
      <c r="K106" s="35"/>
    </row>
    <row r="107" spans="1:11" ht="18.75" customHeight="1" x14ac:dyDescent="0.15">
      <c r="A107" s="39"/>
      <c r="B107" s="299"/>
      <c r="C107" s="300"/>
      <c r="D107" s="300"/>
      <c r="E107" s="300"/>
      <c r="F107" s="300"/>
      <c r="G107" s="300"/>
      <c r="H107" s="300"/>
      <c r="I107" s="300"/>
      <c r="J107" s="301"/>
      <c r="K107" s="35"/>
    </row>
    <row r="108" spans="1:11" ht="18.75" customHeight="1" x14ac:dyDescent="0.15">
      <c r="A108" s="39"/>
      <c r="B108" s="302"/>
      <c r="C108" s="303"/>
      <c r="D108" s="303"/>
      <c r="E108" s="303"/>
      <c r="F108" s="303"/>
      <c r="G108" s="303"/>
      <c r="H108" s="303"/>
      <c r="I108" s="303"/>
      <c r="J108" s="304"/>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305" t="s">
        <v>82</v>
      </c>
      <c r="C110" s="305"/>
      <c r="D110" s="305"/>
      <c r="E110" s="305"/>
      <c r="F110" s="305"/>
      <c r="G110" s="305"/>
      <c r="H110" s="305"/>
      <c r="I110" s="305"/>
      <c r="J110" s="305"/>
      <c r="K110" s="31"/>
    </row>
    <row r="111" spans="1:11" ht="18.75" customHeight="1" x14ac:dyDescent="0.15">
      <c r="A111" s="39"/>
      <c r="B111" s="288" t="s">
        <v>208</v>
      </c>
      <c r="C111" s="289"/>
      <c r="D111" s="289"/>
      <c r="E111" s="289"/>
      <c r="F111" s="289"/>
      <c r="G111" s="289"/>
      <c r="H111" s="289"/>
      <c r="I111" s="297"/>
      <c r="J111" s="298"/>
    </row>
    <row r="112" spans="1:11" ht="18.75" customHeight="1" x14ac:dyDescent="0.15">
      <c r="A112" s="39"/>
      <c r="B112" s="299"/>
      <c r="C112" s="300"/>
      <c r="D112" s="300"/>
      <c r="E112" s="300"/>
      <c r="F112" s="300"/>
      <c r="G112" s="300"/>
      <c r="H112" s="300"/>
      <c r="I112" s="300"/>
      <c r="J112" s="301"/>
      <c r="K112" s="35"/>
    </row>
    <row r="113" spans="1:11" ht="18.75" customHeight="1" x14ac:dyDescent="0.15">
      <c r="A113" s="39"/>
      <c r="B113" s="299"/>
      <c r="C113" s="300"/>
      <c r="D113" s="300"/>
      <c r="E113" s="300"/>
      <c r="F113" s="300"/>
      <c r="G113" s="300"/>
      <c r="H113" s="300"/>
      <c r="I113" s="300"/>
      <c r="J113" s="301"/>
      <c r="K113" s="31" t="str">
        <f>IF(B111="","入力してください","")</f>
        <v/>
      </c>
    </row>
    <row r="114" spans="1:11" ht="18.75" customHeight="1" x14ac:dyDescent="0.15">
      <c r="A114" s="39"/>
      <c r="B114" s="299"/>
      <c r="C114" s="300"/>
      <c r="D114" s="300"/>
      <c r="E114" s="300"/>
      <c r="F114" s="300"/>
      <c r="G114" s="300"/>
      <c r="H114" s="300"/>
      <c r="I114" s="300"/>
      <c r="J114" s="301"/>
    </row>
    <row r="115" spans="1:11" ht="18.75" customHeight="1" x14ac:dyDescent="0.15">
      <c r="A115" s="39"/>
      <c r="B115" s="299"/>
      <c r="C115" s="300"/>
      <c r="D115" s="300"/>
      <c r="E115" s="300"/>
      <c r="F115" s="300"/>
      <c r="G115" s="300"/>
      <c r="H115" s="300"/>
      <c r="I115" s="300"/>
      <c r="J115" s="301"/>
    </row>
    <row r="116" spans="1:11" ht="18.75" customHeight="1" x14ac:dyDescent="0.15">
      <c r="A116" s="39"/>
      <c r="B116" s="299"/>
      <c r="C116" s="300"/>
      <c r="D116" s="300"/>
      <c r="E116" s="300"/>
      <c r="F116" s="300"/>
      <c r="G116" s="300"/>
      <c r="H116" s="300"/>
      <c r="I116" s="300"/>
      <c r="J116" s="301"/>
    </row>
    <row r="117" spans="1:11" ht="18.75" customHeight="1" x14ac:dyDescent="0.15">
      <c r="A117" s="39"/>
      <c r="B117" s="299"/>
      <c r="C117" s="300"/>
      <c r="D117" s="300"/>
      <c r="E117" s="300"/>
      <c r="F117" s="300"/>
      <c r="G117" s="300"/>
      <c r="H117" s="300"/>
      <c r="I117" s="300"/>
      <c r="J117" s="301"/>
    </row>
    <row r="118" spans="1:11" ht="18.75" customHeight="1" x14ac:dyDescent="0.15">
      <c r="A118" s="39"/>
      <c r="B118" s="299"/>
      <c r="C118" s="300"/>
      <c r="D118" s="300"/>
      <c r="E118" s="300"/>
      <c r="F118" s="300"/>
      <c r="G118" s="300"/>
      <c r="H118" s="300"/>
      <c r="I118" s="300"/>
      <c r="J118" s="301"/>
    </row>
    <row r="119" spans="1:11" ht="18.75" customHeight="1" x14ac:dyDescent="0.15">
      <c r="A119" s="39"/>
      <c r="B119" s="299"/>
      <c r="C119" s="300"/>
      <c r="D119" s="300"/>
      <c r="E119" s="300"/>
      <c r="F119" s="300"/>
      <c r="G119" s="300"/>
      <c r="H119" s="300"/>
      <c r="I119" s="300"/>
      <c r="J119" s="301"/>
    </row>
    <row r="120" spans="1:11" ht="18.75" customHeight="1" x14ac:dyDescent="0.15">
      <c r="A120" s="39"/>
      <c r="B120" s="299"/>
      <c r="C120" s="300"/>
      <c r="D120" s="300"/>
      <c r="E120" s="300"/>
      <c r="F120" s="300"/>
      <c r="G120" s="300"/>
      <c r="H120" s="300"/>
      <c r="I120" s="300"/>
      <c r="J120" s="301"/>
    </row>
    <row r="121" spans="1:11" ht="18.75" customHeight="1" x14ac:dyDescent="0.15">
      <c r="A121" s="39"/>
      <c r="B121" s="299"/>
      <c r="C121" s="300"/>
      <c r="D121" s="300"/>
      <c r="E121" s="300"/>
      <c r="F121" s="300"/>
      <c r="G121" s="300"/>
      <c r="H121" s="300"/>
      <c r="I121" s="300"/>
      <c r="J121" s="301"/>
    </row>
    <row r="122" spans="1:11" ht="18.75" customHeight="1" x14ac:dyDescent="0.15">
      <c r="A122" s="39"/>
      <c r="B122" s="299"/>
      <c r="C122" s="300"/>
      <c r="D122" s="300"/>
      <c r="E122" s="300"/>
      <c r="F122" s="300"/>
      <c r="G122" s="300"/>
      <c r="H122" s="300"/>
      <c r="I122" s="300"/>
      <c r="J122" s="301"/>
    </row>
    <row r="123" spans="1:11" ht="18.75" customHeight="1" x14ac:dyDescent="0.15">
      <c r="A123" s="39"/>
      <c r="B123" s="299"/>
      <c r="C123" s="300"/>
      <c r="D123" s="300"/>
      <c r="E123" s="300"/>
      <c r="F123" s="300"/>
      <c r="G123" s="300"/>
      <c r="H123" s="300"/>
      <c r="I123" s="300"/>
      <c r="J123" s="301"/>
    </row>
    <row r="124" spans="1:11" ht="18.75" customHeight="1" x14ac:dyDescent="0.15">
      <c r="A124" s="39"/>
      <c r="B124" s="299"/>
      <c r="C124" s="300"/>
      <c r="D124" s="300"/>
      <c r="E124" s="300"/>
      <c r="F124" s="300"/>
      <c r="G124" s="300"/>
      <c r="H124" s="300"/>
      <c r="I124" s="300"/>
      <c r="J124" s="301"/>
    </row>
    <row r="125" spans="1:11" ht="18.75" customHeight="1" x14ac:dyDescent="0.15">
      <c r="A125" s="39"/>
      <c r="B125" s="299"/>
      <c r="C125" s="300"/>
      <c r="D125" s="300"/>
      <c r="E125" s="300"/>
      <c r="F125" s="300"/>
      <c r="G125" s="300"/>
      <c r="H125" s="300"/>
      <c r="I125" s="300"/>
      <c r="J125" s="301"/>
    </row>
    <row r="126" spans="1:11" ht="18.75" customHeight="1" x14ac:dyDescent="0.15">
      <c r="A126" s="39"/>
      <c r="B126" s="299"/>
      <c r="C126" s="300"/>
      <c r="D126" s="300"/>
      <c r="E126" s="300"/>
      <c r="F126" s="300"/>
      <c r="G126" s="300"/>
      <c r="H126" s="300"/>
      <c r="I126" s="300"/>
      <c r="J126" s="301"/>
    </row>
    <row r="127" spans="1:11" ht="18.75" customHeight="1" x14ac:dyDescent="0.15">
      <c r="A127" s="39"/>
      <c r="B127" s="299"/>
      <c r="C127" s="300"/>
      <c r="D127" s="300"/>
      <c r="E127" s="300"/>
      <c r="F127" s="300"/>
      <c r="G127" s="300"/>
      <c r="H127" s="300"/>
      <c r="I127" s="300"/>
      <c r="J127" s="301"/>
    </row>
    <row r="128" spans="1:11" ht="18.75" customHeight="1" x14ac:dyDescent="0.15">
      <c r="A128" s="39"/>
      <c r="B128" s="299"/>
      <c r="C128" s="300"/>
      <c r="D128" s="300"/>
      <c r="E128" s="300"/>
      <c r="F128" s="300"/>
      <c r="G128" s="300"/>
      <c r="H128" s="300"/>
      <c r="I128" s="300"/>
      <c r="J128" s="301"/>
    </row>
    <row r="129" spans="1:10" ht="18.75" customHeight="1" x14ac:dyDescent="0.15">
      <c r="A129" s="39"/>
      <c r="B129" s="302"/>
      <c r="C129" s="303"/>
      <c r="D129" s="303"/>
      <c r="E129" s="303"/>
      <c r="F129" s="303"/>
      <c r="G129" s="303"/>
      <c r="H129" s="303"/>
      <c r="I129" s="303"/>
      <c r="J129" s="304"/>
    </row>
    <row r="130" spans="1:10" ht="7.5" customHeight="1" x14ac:dyDescent="0.15">
      <c r="A130" s="39"/>
      <c r="B130" s="100"/>
      <c r="C130" s="100"/>
      <c r="D130" s="100"/>
      <c r="E130" s="100"/>
      <c r="F130" s="100"/>
      <c r="G130" s="100"/>
      <c r="H130" s="100"/>
      <c r="I130" s="100"/>
      <c r="J130" s="100"/>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1"/>
      <c r="B144" s="101"/>
      <c r="C144" s="101"/>
      <c r="D144" s="101"/>
      <c r="E144" s="101"/>
      <c r="F144" s="101"/>
      <c r="G144" s="101"/>
      <c r="H144" s="101"/>
      <c r="I144" s="101"/>
      <c r="J144" s="101"/>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N26"/>
  <sheetViews>
    <sheetView showZeros="0" view="pageBreakPreview" zoomScale="90" zoomScaleNormal="100" zoomScaleSheetLayoutView="90" workbookViewId="0">
      <selection activeCell="H20" sqref="H20"/>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4" ht="18.75" customHeight="1" x14ac:dyDescent="0.15">
      <c r="A1" s="1" t="s">
        <v>123</v>
      </c>
      <c r="J1" s="41" t="s">
        <v>73</v>
      </c>
    </row>
    <row r="2" spans="1:14" ht="18.75" customHeight="1" x14ac:dyDescent="0.15">
      <c r="A2" s="272" t="s">
        <v>42</v>
      </c>
      <c r="B2" s="272"/>
      <c r="C2" s="272"/>
      <c r="D2" s="272"/>
      <c r="E2" s="272"/>
      <c r="F2" s="272"/>
      <c r="G2" s="272"/>
      <c r="H2" s="272"/>
      <c r="I2" s="272"/>
      <c r="J2" s="272"/>
    </row>
    <row r="3" spans="1:14" ht="7.5" customHeight="1" x14ac:dyDescent="0.15">
      <c r="A3" s="42"/>
      <c r="B3" s="42"/>
      <c r="C3" s="42"/>
      <c r="D3" s="42"/>
      <c r="E3" s="42"/>
      <c r="F3" s="42"/>
      <c r="G3" s="42"/>
      <c r="H3" s="42"/>
      <c r="I3" s="42"/>
      <c r="J3" s="42"/>
    </row>
    <row r="4" spans="1:14" ht="18.75" customHeight="1" x14ac:dyDescent="0.15">
      <c r="A4" s="1" t="s">
        <v>6</v>
      </c>
      <c r="B4" s="4" t="s">
        <v>41</v>
      </c>
      <c r="C4" s="39"/>
      <c r="D4" s="39"/>
      <c r="E4" s="40"/>
      <c r="F4" s="40"/>
      <c r="G4" s="40"/>
      <c r="H4" s="40"/>
      <c r="I4" s="40"/>
      <c r="J4" s="40"/>
    </row>
    <row r="5" spans="1:14" ht="18.75" customHeight="1" x14ac:dyDescent="0.15">
      <c r="B5" s="335" t="s">
        <v>38</v>
      </c>
      <c r="C5" s="336"/>
      <c r="D5" s="337"/>
      <c r="E5" s="338" t="s">
        <v>40</v>
      </c>
      <c r="F5" s="338"/>
      <c r="G5" s="338"/>
      <c r="H5" s="338"/>
      <c r="I5" s="338"/>
      <c r="J5" s="339"/>
    </row>
    <row r="6" spans="1:14" ht="18.75" customHeight="1" x14ac:dyDescent="0.15">
      <c r="B6" s="3" t="s">
        <v>28</v>
      </c>
      <c r="C6" s="39"/>
      <c r="D6" s="7"/>
      <c r="I6" s="40"/>
      <c r="J6" s="5"/>
    </row>
    <row r="7" spans="1:14" ht="207" customHeight="1" x14ac:dyDescent="0.15">
      <c r="B7" s="6"/>
      <c r="C7" s="326" t="s">
        <v>29</v>
      </c>
      <c r="D7" s="327"/>
      <c r="E7" s="340" t="s">
        <v>222</v>
      </c>
      <c r="F7" s="341"/>
      <c r="G7" s="341"/>
      <c r="H7" s="341"/>
      <c r="I7" s="341"/>
      <c r="J7" s="342"/>
      <c r="K7" s="31" t="str">
        <f>IF(E7="","入力してください","")</f>
        <v/>
      </c>
    </row>
    <row r="8" spans="1:14" ht="207" customHeight="1" x14ac:dyDescent="0.15">
      <c r="B8" s="6"/>
      <c r="C8" s="333" t="s">
        <v>30</v>
      </c>
      <c r="D8" s="334"/>
      <c r="E8" s="332" t="s">
        <v>209</v>
      </c>
      <c r="F8" s="328"/>
      <c r="G8" s="328"/>
      <c r="H8" s="328"/>
      <c r="I8" s="328"/>
      <c r="J8" s="329"/>
      <c r="K8" s="31" t="str">
        <f>IF(E8="","入力してください","")</f>
        <v/>
      </c>
    </row>
    <row r="9" spans="1:14" ht="172.5" customHeight="1" x14ac:dyDescent="0.15">
      <c r="B9" s="6"/>
      <c r="C9" s="326" t="s">
        <v>31</v>
      </c>
      <c r="D9" s="327"/>
      <c r="E9" s="332" t="s">
        <v>210</v>
      </c>
      <c r="F9" s="328"/>
      <c r="G9" s="328"/>
      <c r="H9" s="328"/>
      <c r="I9" s="328"/>
      <c r="J9" s="329"/>
      <c r="K9" s="31" t="str">
        <f>IF(E9="","入力してください","")</f>
        <v/>
      </c>
    </row>
    <row r="10" spans="1:14" ht="172.5" customHeight="1" x14ac:dyDescent="0.15">
      <c r="B10" s="6"/>
      <c r="C10" s="326" t="s">
        <v>32</v>
      </c>
      <c r="D10" s="327"/>
      <c r="E10" s="332" t="s">
        <v>211</v>
      </c>
      <c r="F10" s="328"/>
      <c r="G10" s="328"/>
      <c r="H10" s="328"/>
      <c r="I10" s="328"/>
      <c r="J10" s="329"/>
      <c r="K10" s="31" t="str">
        <f>IF(E10="","入力してください","")</f>
        <v/>
      </c>
    </row>
    <row r="11" spans="1:14" ht="172.5" customHeight="1" x14ac:dyDescent="0.15">
      <c r="B11" s="6"/>
      <c r="C11" s="326" t="s">
        <v>33</v>
      </c>
      <c r="D11" s="327"/>
      <c r="E11" s="332" t="s">
        <v>212</v>
      </c>
      <c r="F11" s="328"/>
      <c r="G11" s="328"/>
      <c r="H11" s="328"/>
      <c r="I11" s="328"/>
      <c r="J11" s="329"/>
      <c r="K11" s="31" t="str">
        <f>IF(E11="","入力してください","")</f>
        <v/>
      </c>
    </row>
    <row r="12" spans="1:14" ht="18.75" customHeight="1" x14ac:dyDescent="0.15">
      <c r="B12" s="9" t="s">
        <v>34</v>
      </c>
      <c r="C12" s="28"/>
      <c r="D12" s="8"/>
      <c r="E12" s="32"/>
      <c r="F12" s="32"/>
      <c r="G12" s="32"/>
      <c r="H12" s="32"/>
      <c r="I12" s="32"/>
      <c r="J12" s="33"/>
    </row>
    <row r="13" spans="1:14" ht="244.15" customHeight="1" x14ac:dyDescent="0.15">
      <c r="B13" s="6"/>
      <c r="C13" s="326" t="s">
        <v>35</v>
      </c>
      <c r="D13" s="327"/>
      <c r="E13" s="328" t="s">
        <v>213</v>
      </c>
      <c r="F13" s="328"/>
      <c r="G13" s="328"/>
      <c r="H13" s="328"/>
      <c r="I13" s="328"/>
      <c r="J13" s="329"/>
      <c r="K13" s="31" t="str">
        <f>IF(E13="","入力してください","")</f>
        <v/>
      </c>
    </row>
    <row r="14" spans="1:14" ht="255" customHeight="1" x14ac:dyDescent="0.15">
      <c r="B14" s="6"/>
      <c r="C14" s="326" t="s">
        <v>36</v>
      </c>
      <c r="D14" s="327"/>
      <c r="E14" s="328" t="s">
        <v>214</v>
      </c>
      <c r="F14" s="328"/>
      <c r="G14" s="328"/>
      <c r="H14" s="328"/>
      <c r="I14" s="328"/>
      <c r="J14" s="329"/>
      <c r="K14" s="31" t="str">
        <f>IF(E14="","入力してください","")</f>
        <v/>
      </c>
      <c r="N14" s="115"/>
    </row>
    <row r="15" spans="1:14" ht="243" customHeight="1" x14ac:dyDescent="0.15">
      <c r="B15" s="330" t="s">
        <v>37</v>
      </c>
      <c r="C15" s="331"/>
      <c r="D15" s="327"/>
      <c r="E15" s="328" t="s">
        <v>215</v>
      </c>
      <c r="F15" s="328"/>
      <c r="G15" s="328"/>
      <c r="H15" s="328"/>
      <c r="I15" s="328"/>
      <c r="J15" s="329"/>
      <c r="K15" s="31" t="str">
        <f>IF(E15="","入力してください","")</f>
        <v/>
      </c>
    </row>
    <row r="16" spans="1:14" ht="243" customHeight="1" x14ac:dyDescent="0.15">
      <c r="A16" s="31"/>
      <c r="B16" s="320" t="s">
        <v>66</v>
      </c>
      <c r="C16" s="321"/>
      <c r="D16" s="322"/>
      <c r="E16" s="295" t="s">
        <v>216</v>
      </c>
      <c r="F16" s="295"/>
      <c r="G16" s="295"/>
      <c r="H16" s="295"/>
      <c r="I16" s="295"/>
      <c r="J16" s="296"/>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124</v>
      </c>
      <c r="B18" s="4"/>
      <c r="C18" s="39"/>
      <c r="D18" s="39"/>
      <c r="E18" s="40"/>
      <c r="F18" s="90"/>
      <c r="G18" s="323" t="s">
        <v>223</v>
      </c>
      <c r="H18" s="324"/>
      <c r="I18" s="324"/>
      <c r="J18" s="325"/>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2"/>
      <c r="C24" s="102"/>
      <c r="D24" s="102"/>
      <c r="E24" s="102"/>
      <c r="F24" s="102"/>
      <c r="G24" s="102"/>
      <c r="H24" s="102"/>
      <c r="I24" s="102"/>
      <c r="J24" s="102"/>
    </row>
    <row r="25" spans="1:11" ht="22.5" customHeight="1" x14ac:dyDescent="0.15">
      <c r="B25" s="102"/>
      <c r="C25" s="102"/>
      <c r="D25" s="102"/>
      <c r="E25" s="102"/>
      <c r="F25" s="102"/>
      <c r="G25" s="102"/>
      <c r="H25" s="102"/>
      <c r="I25" s="102"/>
      <c r="J25" s="102"/>
    </row>
    <row r="26" spans="1:11" ht="22.5" customHeight="1" x14ac:dyDescent="0.15">
      <c r="B26" s="102"/>
      <c r="C26" s="102"/>
      <c r="D26" s="102"/>
      <c r="E26" s="102"/>
      <c r="F26" s="102"/>
      <c r="G26" s="102"/>
      <c r="H26" s="102"/>
      <c r="I26" s="102"/>
      <c r="J26" s="102"/>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ycustaff</cp:lastModifiedBy>
  <cp:lastPrinted>2022-05-10T08:04:33Z</cp:lastPrinted>
  <dcterms:created xsi:type="dcterms:W3CDTF">2011-06-14T05:32:50Z</dcterms:created>
  <dcterms:modified xsi:type="dcterms:W3CDTF">2022-07-15T07:37:49Z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