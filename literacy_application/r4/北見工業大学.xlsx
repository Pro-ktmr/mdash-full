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大学院2\Desktop\MDSAI\申請書類\01北見工業大学_リテラシー\"/>
    </mc:Choice>
  </mc:AlternateContent>
  <bookViews>
    <workbookView xWindow="0" yWindow="0" windowWidth="16935" windowHeight="858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l="1"/>
  <c r="R30" i="40" s="1"/>
  <c r="C28" i="41" s="1"/>
  <c r="R10" i="40"/>
</calcChain>
</file>

<file path=xl/sharedStrings.xml><?xml version="1.0" encoding="utf-8"?>
<sst xmlns="http://schemas.openxmlformats.org/spreadsheetml/2006/main" count="339" uniqueCount="223">
  <si>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</si>
  <si>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</si>
  <si>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</si>
  <si>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</si>
  <si>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</si>
  <si>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</si>
  <si>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</si>
  <si>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</si>
  <si>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</si>
  <si>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</si>
  <si>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</si>
  <si>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</si>
  <si>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</si>
  <si>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</si>
  <si>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</si>
  <si>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</si>
  <si>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</si>
  <si>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</si>
  <si>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</si>
  <si>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</si>
  <si>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</si>
  <si>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</si>
  <si>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</si>
  <si>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</si>
  <si>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</si>
  <si>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</si>
  <si>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</si>
  <si>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</si>
  <si>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</si>
  <si>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</si>
  <si>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</si>
  <si>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</si>
  <si>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</si>
  <si>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</si>
  <si>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</si>
  <si>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</si>
  <si>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</si>
  <si>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</si>
  <si>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</si>
  <si>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</si>
  <si>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</si>
  <si>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</si>
  <si>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</si>
  <si>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</si>
  <si>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</si>
  <si>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</si>
  <si>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</si>
  <si>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</si>
  <si>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</si>
  <si>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</si>
  <si>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</si>
  <si>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</si>
  <si>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</si>
  <si>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</si>
  <si>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</si>
  <si>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</si>
  <si>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</si>
  <si>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</si>
  <si>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</si>
  <si>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</si>
  <si>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</si>
  <si>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</si>
  <si>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</si>
  <si>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</si>
  <si>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</si>
  <si>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</si>
  <si>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</si>
  <si>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</si>
  <si>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</si>
  <si>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</si>
  <si>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</si>
  <si>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</si>
  <si>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</si>
  <si>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</si>
  <si>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</si>
  <si>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</si>
  <si>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</si>
  <si>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</si>
  <si>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</si>
  <si>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</si>
  <si>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</si>
  <si>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</si>
  <si>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</si>
  <si>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</si>
  <si>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</si>
  <si>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</si>
  <si>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</si>
  <si>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</si>
  <si>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</si>
  <si>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</si>
  <si>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</si>
  <si>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</si>
  <si>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</si>
  <si>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</si>
  <si>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</si>
  <si>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</si>
  <si>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</si>
  <si>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</si>
  <si>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</si>
  <si>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</si>
  <si>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</si>
  <si>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</si>
  <si>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</si>
  <si>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</si>
  <si>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</si>
  <si>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</si>
  <si>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</si>
  <si>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</si>
  <si>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</si>
  <si>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</si>
  <si>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</si>
  <si>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</si>
  <si>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</si>
  <si>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</si>
  <si>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</si>
  <si>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</si>
  <si>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</si>
  <si>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</si>
  <si>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</si>
  <si>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</si>
  <si>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</si>
  <si>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</si>
  <si>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</si>
  <si>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</si>
  <si>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</si>
  <si>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</si>
  <si>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</si>
  <si>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</si>
  <si>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</si>
  <si>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</si>
  <si>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</si>
  <si>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</si>
  <si>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</si>
  <si>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</si>
  <si>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</si>
  <si>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</si>
  <si>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</si>
  <si>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</si>
  <si>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</si>
  <si>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</si>
  <si>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</si>
  <si>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</si>
  <si>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</si>
  <si>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</si>
  <si>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</si>
  <si>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</si>
  <si>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</si>
  <si>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</si>
  <si>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</si>
  <si>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</si>
  <si>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</si>
  <si>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</si>
  <si>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</si>
  <si>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</si>
  <si>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学部・学科によって、修了要件は相違しない</t>
  </si>
  <si>
    <t>数理データサイエンス概論</t>
    <phoneticPr fontId="1"/>
  </si>
  <si>
    <t>○</t>
  </si>
  <si>
    <t>全学開講</t>
  </si>
  <si>
    <t>数理データサイエンス概論</t>
    <phoneticPr fontId="1"/>
  </si>
  <si>
    <t>数理データサイエンス概論</t>
    <phoneticPr fontId="1"/>
  </si>
  <si>
    <t>情報セキュリティ基礎</t>
    <rPh sb="0" eb="2">
      <t>ジョウホウ</t>
    </rPh>
    <rPh sb="8" eb="10">
      <t>キソ</t>
    </rPh>
    <phoneticPr fontId="1"/>
  </si>
  <si>
    <t>データ統計基礎</t>
    <rPh sb="3" eb="7">
      <t>トウケイキソ</t>
    </rPh>
    <phoneticPr fontId="1"/>
  </si>
  <si>
    <t>プログラミング入門I</t>
    <rPh sb="7" eb="9">
      <t>ニュウモン</t>
    </rPh>
    <phoneticPr fontId="1"/>
  </si>
  <si>
    <t>〇</t>
    <phoneticPr fontId="1"/>
  </si>
  <si>
    <t>〇</t>
    <phoneticPr fontId="1"/>
  </si>
  <si>
    <t>4‐3データ構造とプログラミング基礎</t>
  </si>
  <si>
    <t>https://www.kitami-it.ac.jp/campuslife/kyouikukatei/mdashprogram/</t>
    <phoneticPr fontId="1"/>
  </si>
  <si>
    <t>北見工業大学</t>
    <phoneticPr fontId="1"/>
  </si>
  <si>
    <t>国立大学</t>
  </si>
  <si>
    <t>令和３</t>
    <rPh sb="0" eb="2">
      <t>レイワ</t>
    </rPh>
    <phoneticPr fontId="1"/>
  </si>
  <si>
    <t>有</t>
  </si>
  <si>
    <t>榮坂　俊雄</t>
    <phoneticPr fontId="1"/>
  </si>
  <si>
    <t>副学長</t>
    <rPh sb="0" eb="3">
      <t>フクガクチョウ</t>
    </rPh>
    <phoneticPr fontId="1"/>
  </si>
  <si>
    <t>数理・データサイエンス・AI教育運営委員会</t>
    <phoneticPr fontId="1"/>
  </si>
  <si>
    <t>榮坂　俊雄</t>
    <phoneticPr fontId="1"/>
  </si>
  <si>
    <t>副学長</t>
    <phoneticPr fontId="1"/>
  </si>
  <si>
    <t>副学長</t>
    <phoneticPr fontId="1"/>
  </si>
  <si>
    <t>認定教育プログラムと認定教育プログラム+（プラス）</t>
  </si>
  <si>
    <t>kyoumu03@desk.kitami-it.ac.jp</t>
    <phoneticPr fontId="1"/>
  </si>
  <si>
    <t>0157-26-9172</t>
    <phoneticPr fontId="1"/>
  </si>
  <si>
    <t>北見工業大学数理・データサイエンス・AI教育運営委員会要項</t>
    <phoneticPr fontId="1"/>
  </si>
  <si>
    <t>北見工業大学における数理、データサイエンス及びAIに関する教育プログラムの計画・策定を行い適正に運用すること。</t>
    <phoneticPr fontId="1"/>
  </si>
  <si>
    <t>本プログラムの開講科目は、全学生が履修可能なカリキュラムとなっている。プログラムを進める上で明らかになった問題点等については、数理・データサイエンス・AI教育運営委員会において改善を進めていく。</t>
    <phoneticPr fontId="1"/>
  </si>
  <si>
    <t>本学では、学生の履修をサポートするシステムとしてCoursePowerを用いて授業を進めている。学生は授業時間以外でも不明点等の質問をシステムを通じて行うことができ、質問は担当教員から参加者全員にシステム上で公開、又は個別にメールにて返答することができるようになっている。また、すべての授業担当教員は、それぞれオフィスアワーを設け、学習内容や質問等についての相談実施体制を設けている。</t>
    <phoneticPr fontId="1"/>
  </si>
  <si>
    <t>「数理・データサイエンス・AI教育運営委員会」において、教員からの報告および学生アンケートに基づいて、プログラムを構成する科目の学修成果の評価を行っている。課題などについて議論し、その結果を授業担当教員にフィードバックする仕組みを作っている。</t>
    <phoneticPr fontId="1"/>
  </si>
  <si>
    <t>授業アンケート等で学生から寄せられた意見については、後輩学生の参考になるものはHPで公開している。また、本学では卒業後1年目と3年目の学生に対して「卒業生アンケート」を実施しており、今後実施するものについてアンケート項目に数理・データサイエンス・AIの項目を追加することを決定した。後輩学生の参考になるものについては、HP等で公開していく。</t>
    <phoneticPr fontId="1"/>
  </si>
  <si>
    <t>卒業生の進路状況については、本学キャリアアップ支援センターが調査・把握している。本教育プログラムが全学生必修であることから、卒業生がすなわちプログラム修了生となるため、進路先や活躍状況の把握が可能である。また卒業生を採用した企業等に対して企業アンケートを定期的に実施している。本教育プログラムを修了した卒業生がは令和7年度から就職する予定であり、企業評価を把握することが可能となる。</t>
    <phoneticPr fontId="1"/>
  </si>
  <si>
    <t>本学では、卒業生が就職している企業に対して、定期的に「企業アンケート」を実施している。この企業アンケートに数理・データサイエンス・AIの項目を追加することを決定した。これによって、これまで以上に企業側からのニーズ、意見を把握することができるようになる。</t>
    <phoneticPr fontId="1"/>
  </si>
  <si>
    <t>内容や水準については、「数理・データサイエンス・AI教育運営委員会」において点検しており、維持・向上に努めている。学生側からのフィードバックも検討し、さらにわかりやすい授業とするため、教員相互のFDも積極的に進める。</t>
    <phoneticPr fontId="1"/>
  </si>
  <si>
    <t>https://www.kitami-it.ac.jp/campuslife/kyouikukatei/mdashprogram/</t>
    <phoneticPr fontId="1"/>
  </si>
  <si>
    <t>プログラミング入門II</t>
    <phoneticPr fontId="1"/>
  </si>
  <si>
    <t>プログラミング入門III</t>
    <phoneticPr fontId="1"/>
  </si>
  <si>
    <r>
      <t>ビッグデータ、IoT、データ量の増加、計算機の処理能力の向上、データ駆動型社会　</t>
    </r>
    <r>
      <rPr>
        <sz val="12"/>
        <rFont val="ＭＳ Ｐゴシック"/>
        <family val="2"/>
        <charset val="128"/>
        <scheme val="minor"/>
      </rPr>
      <t>「数理データサイエンス概論」（1～2回目）</t>
    </r>
    <rPh sb="14" eb="15">
      <t>リョウ</t>
    </rPh>
    <rPh sb="16" eb="18">
      <t>ゾウカ</t>
    </rPh>
    <rPh sb="19" eb="22">
      <t>ケイサンキ</t>
    </rPh>
    <rPh sb="23" eb="25">
      <t>ショリ</t>
    </rPh>
    <rPh sb="25" eb="27">
      <t>ノウリョク</t>
    </rPh>
    <rPh sb="28" eb="30">
      <t>コウジョウ</t>
    </rPh>
    <phoneticPr fontId="1"/>
  </si>
  <si>
    <r>
      <rPr>
        <sz val="12"/>
        <rFont val="ＭＳ Ｐゴシック"/>
        <family val="3"/>
        <charset val="128"/>
        <scheme val="minor"/>
      </rPr>
      <t xml:space="preserve"> AI最新技術の活用例</t>
    </r>
    <r>
      <rPr>
        <sz val="12"/>
        <rFont val="ＭＳ Ｐゴシック"/>
        <family val="2"/>
        <charset val="128"/>
        <scheme val="minor"/>
      </rPr>
      <t>　「数理データサイエンス概論」（5～7回目）</t>
    </r>
    <phoneticPr fontId="1"/>
  </si>
  <si>
    <r>
      <t>調査データ、実験データ、1次データ、2次データ</t>
    </r>
    <r>
      <rPr>
        <sz val="12"/>
        <rFont val="ＭＳ Ｐゴシック"/>
        <family val="2"/>
        <charset val="128"/>
        <scheme val="minor"/>
      </rPr>
      <t xml:space="preserve"> 「数理データサイエンス概論」（5～7回目）</t>
    </r>
    <phoneticPr fontId="1"/>
  </si>
  <si>
    <r>
      <t>データ・AI活用領域の広がり</t>
    </r>
    <r>
      <rPr>
        <sz val="12"/>
        <rFont val="ＭＳ Ｐゴシック"/>
        <family val="2"/>
        <charset val="128"/>
        <scheme val="minor"/>
      </rPr>
      <t xml:space="preserve"> 「数理データサイエンス概論」（5～7回目）</t>
    </r>
    <phoneticPr fontId="1"/>
  </si>
  <si>
    <r>
      <t>データ解析：予測、今のAIでできることとできないこと、AIとビッグデータ　</t>
    </r>
    <r>
      <rPr>
        <sz val="12"/>
        <rFont val="ＭＳ Ｐゴシック"/>
        <family val="2"/>
        <charset val="128"/>
        <scheme val="minor"/>
      </rPr>
      <t>「数理データサイエンス概論」（5～7回目）</t>
    </r>
    <rPh sb="9" eb="10">
      <t>イマ</t>
    </rPh>
    <phoneticPr fontId="1"/>
  </si>
  <si>
    <r>
      <t>データ・AI利活用事例紹介</t>
    </r>
    <r>
      <rPr>
        <sz val="12"/>
        <rFont val="ＭＳ Ｐゴシック"/>
        <family val="2"/>
        <charset val="128"/>
        <scheme val="minor"/>
      </rPr>
      <t xml:space="preserve"> 「数理データサイエンス概論」（5～7回目）</t>
    </r>
    <rPh sb="6" eb="9">
      <t>リカツヨウ</t>
    </rPh>
    <rPh sb="9" eb="13">
      <t>ジレイショウカイ</t>
    </rPh>
    <phoneticPr fontId="1"/>
  </si>
  <si>
    <r>
      <t>情報セキュリティ</t>
    </r>
    <r>
      <rPr>
        <sz val="12"/>
        <rFont val="ＭＳ Ｐゴシック"/>
        <family val="2"/>
        <charset val="128"/>
        <scheme val="minor"/>
      </rPr>
      <t xml:space="preserve">　「数理データサイエンス概論」（4回目）
</t>
    </r>
    <r>
      <rPr>
        <sz val="12"/>
        <rFont val="ＭＳ Ｐゴシック"/>
        <family val="3"/>
        <charset val="128"/>
        <scheme val="minor"/>
      </rPr>
      <t>暗号化、パスワード、悪意ある情報搾取、情報漏洩等によるセキュリティ事故の事例紹介　</t>
    </r>
    <r>
      <rPr>
        <sz val="12"/>
        <rFont val="ＭＳ Ｐゴシック"/>
        <family val="2"/>
        <charset val="128"/>
        <scheme val="minor"/>
      </rPr>
      <t>「情報セキュリティ基礎」（1～3、6回目）</t>
    </r>
    <rPh sb="10" eb="12">
      <t>スウリ</t>
    </rPh>
    <rPh sb="20" eb="22">
      <t>ガイロン</t>
    </rPh>
    <rPh sb="25" eb="27">
      <t>カイメ</t>
    </rPh>
    <rPh sb="71" eb="73">
      <t>ジョウホウ</t>
    </rPh>
    <rPh sb="79" eb="81">
      <t>キソ</t>
    </rPh>
    <rPh sb="88" eb="90">
      <t>カイメ</t>
    </rPh>
    <phoneticPr fontId="1"/>
  </si>
  <si>
    <r>
      <t>データの分布と代表値、データのばらつき、観測データに含まれる誤差の扱い、相関と因果</t>
    </r>
    <r>
      <rPr>
        <sz val="12"/>
        <rFont val="ＭＳ Ｐゴシック"/>
        <family val="2"/>
        <charset val="128"/>
        <scheme val="minor"/>
      </rPr>
      <t xml:space="preserve"> 「データ統計基礎」（1～2回</t>
    </r>
    <r>
      <rPr>
        <sz val="12"/>
        <rFont val="ＭＳ Ｐゴシック"/>
        <family val="3"/>
        <charset val="128"/>
        <scheme val="minor"/>
      </rPr>
      <t>目）
データの分布と代表値、データのばらつき</t>
    </r>
    <r>
      <rPr>
        <sz val="12"/>
        <rFont val="ＭＳ Ｐゴシック"/>
        <family val="2"/>
        <charset val="128"/>
        <scheme val="minor"/>
      </rPr>
      <t xml:space="preserve"> 「プログラミング入門I」(全般)</t>
    </r>
    <rPh sb="4" eb="6">
      <t>ブンプ</t>
    </rPh>
    <rPh sb="7" eb="10">
      <t>ダイヒョウチ</t>
    </rPh>
    <rPh sb="20" eb="22">
      <t>カンソク</t>
    </rPh>
    <rPh sb="26" eb="27">
      <t>フク</t>
    </rPh>
    <rPh sb="30" eb="32">
      <t>ゴサ</t>
    </rPh>
    <rPh sb="33" eb="34">
      <t>アツカ</t>
    </rPh>
    <rPh sb="36" eb="38">
      <t>ソウカン</t>
    </rPh>
    <rPh sb="39" eb="41">
      <t>インガ</t>
    </rPh>
    <rPh sb="55" eb="56">
      <t>カイ</t>
    </rPh>
    <rPh sb="56" eb="57">
      <t>メ</t>
    </rPh>
    <rPh sb="63" eb="65">
      <t>ブンプ</t>
    </rPh>
    <rPh sb="66" eb="69">
      <t>ダイヒョウチ</t>
    </rPh>
    <phoneticPr fontId="1"/>
  </si>
  <si>
    <r>
      <t>データ表現、データの図表表示</t>
    </r>
    <r>
      <rPr>
        <sz val="12"/>
        <rFont val="ＭＳ Ｐゴシック"/>
        <family val="2"/>
        <charset val="128"/>
        <scheme val="minor"/>
      </rPr>
      <t>　「データ統計基礎」（3～7回目）</t>
    </r>
    <rPh sb="3" eb="5">
      <t>ヒョウゲン</t>
    </rPh>
    <rPh sb="10" eb="14">
      <t>ズヒョウヒョウジ</t>
    </rPh>
    <rPh sb="29" eb="30">
      <t>メ</t>
    </rPh>
    <phoneticPr fontId="1"/>
  </si>
  <si>
    <r>
      <t>データの集計、データの並び替え</t>
    </r>
    <r>
      <rPr>
        <sz val="12"/>
        <rFont val="ＭＳ Ｐゴシック"/>
        <family val="2"/>
        <charset val="128"/>
        <scheme val="minor"/>
      </rPr>
      <t xml:space="preserve"> 「データ統計基礎」（全般）　
</t>
    </r>
    <r>
      <rPr>
        <sz val="12"/>
        <rFont val="ＭＳ Ｐゴシック"/>
        <family val="3"/>
        <charset val="128"/>
        <scheme val="minor"/>
      </rPr>
      <t>データの集計</t>
    </r>
    <r>
      <rPr>
        <sz val="12"/>
        <rFont val="ＭＳ Ｐゴシック"/>
        <family val="2"/>
        <charset val="128"/>
        <scheme val="minor"/>
      </rPr>
      <t xml:space="preserve"> 「プログラミング入門I」(全般)　</t>
    </r>
    <rPh sb="4" eb="6">
      <t>シュウケイ</t>
    </rPh>
    <rPh sb="11" eb="12">
      <t>ナラ</t>
    </rPh>
    <rPh sb="13" eb="14">
      <t>カ</t>
    </rPh>
    <rPh sb="20" eb="24">
      <t>トウケイキソ</t>
    </rPh>
    <rPh sb="26" eb="28">
      <t>ゼンパン</t>
    </rPh>
    <rPh sb="46" eb="48">
      <t>ニュウモン</t>
    </rPh>
    <rPh sb="51" eb="53">
      <t>ゼンパン</t>
    </rPh>
    <phoneticPr fontId="1"/>
  </si>
  <si>
    <r>
      <t>数理・データサイエンス・AIに関する素養を身に付けることで、それらの現状認識および将来ビジョンを持てるようになる。工学系単科大学の学生として将来データサイエンティストととして活躍するためのデータ統計に関する基礎的な知識</t>
    </r>
    <r>
      <rPr>
        <sz val="12"/>
        <rFont val="ＭＳ Ｐゴシック"/>
        <family val="3"/>
        <charset val="128"/>
        <scheme val="minor"/>
      </rPr>
      <t>と技術</t>
    </r>
    <r>
      <rPr>
        <sz val="12"/>
        <rFont val="ＭＳ Ｐゴシック"/>
        <family val="2"/>
        <charset val="128"/>
        <scheme val="minor"/>
      </rPr>
      <t>を身に付けることができる。</t>
    </r>
    <phoneticPr fontId="1"/>
  </si>
  <si>
    <t>毎年度半期ごとに、全学生に対して授業評価アンケートを実施しており、該当科目における学生の理解度を評価している。</t>
    <phoneticPr fontId="1"/>
  </si>
  <si>
    <t>国立大学法人北海道国立大学機構</t>
    <rPh sb="6" eb="9">
      <t>ホッカイドウ</t>
    </rPh>
    <rPh sb="9" eb="13">
      <t>コクリツダイガク</t>
    </rPh>
    <rPh sb="13" eb="15">
      <t>キコウ</t>
    </rPh>
    <phoneticPr fontId="1"/>
  </si>
  <si>
    <t>北海道北見市公園町165番地</t>
    <phoneticPr fontId="1"/>
  </si>
  <si>
    <t>数理データサイエンス教育プログラム</t>
    <phoneticPr fontId="1"/>
  </si>
  <si>
    <t>山本　真理恵</t>
    <phoneticPr fontId="1"/>
  </si>
  <si>
    <t>本プログラムの開講科目は、全学生が履修可能なカリキュラムとなっている。1年生対象の開講科目はすべて必修科目であり、令和3年度は全員が履修した。2年生対象の科目は選択必修科目であるが、プログラムの詳細を大学HP上で公開し、2年次科目の必要性を周知することで履修を促している。履修率をさらに上げるために、数理・データサイエンス・AI教育運営委員会において改善を進めていく。</t>
    <phoneticPr fontId="1"/>
  </si>
  <si>
    <t>本教育プログラムの担当教員には、実務経験が豊かな教員を配置し、授業内においてデータサイエンスを学ぶことの意義をしっかりと伝えるようにしている。また、単に知識の伝達に終わることなく、将来データサイエンティストとして活躍するための基礎知識およびプログラミング技術をしっかりと身につけさせるように設計されており、学生自身のスキルアップと共に学ぶことに楽しさを実感できるカリキュラムとしている。</t>
    <phoneticPr fontId="1"/>
  </si>
  <si>
    <r>
      <t xml:space="preserve">委員会は 、副学長、学科長、授業科目担当教員、IR担当教員、教務課長、その他学長が必要と認めた者、のうちから学長が指名する者をもって組織する。
委員長：榮坂俊雄　（副学長（情報戦略担当））
副委員長：三浦則明　（情報通信系　教授）
委員：亀田貴雄　（社会環境系　教授）
委員：鈴木正清　（情報通信系　教授）
委員：升井洋志　（情報通信系　教授）
委員：原田建治　（情報通信系　教授）
委員：前田康成　（情報通信系　教授）
委員：吉澤真吾　（情報通信系　准教授）
委員：中村文彦　（IR担当・基礎教育系　准教授）
</t>
    </r>
    <r>
      <rPr>
        <sz val="12"/>
        <color theme="1"/>
        <rFont val="ＭＳ Ｐゴシック"/>
        <family val="3"/>
        <charset val="128"/>
        <scheme val="minor"/>
      </rPr>
      <t>委員：内山　彰　（教務課長）</t>
    </r>
    <rPh sb="30" eb="32">
      <t>キョウム</t>
    </rPh>
    <rPh sb="259" eb="261">
      <t>ウチヤマ</t>
    </rPh>
    <rPh sb="262" eb="263">
      <t>アキラ</t>
    </rPh>
    <rPh sb="265" eb="267">
      <t>キョウム</t>
    </rPh>
    <phoneticPr fontId="1"/>
  </si>
  <si>
    <t>各年度における入学生の履修者数の目標を以下のとおりとする。（（　）内は当該年度入学生の履修率。）
令和4年度　410名　（100％）
令和5年度　410名　（100％）
令和6年度　410名　（100％）
令和7年度　410名　（100％）
令和8年度　410名　（100％）
1年次に開講している科目（数理データサイエンス概論、データ統計基礎、プログラミング入門I）は全学で必修科目に設定しているため、履修率の目標は100%である。このため、学年進行に従って収容定員に対する履修率は25%ずつ増加し、令和6年に100%になる。プログラム選択科目（プログラミング入門II、プログラミング入門III、情報セキュリティ基礎）についても、70%以上の履修率を目標とし、ガイダンス等で数理データサイエンス教育プログラムの意義を伝えるなどの取り組みを実施する。</t>
    <rPh sb="7" eb="10">
      <t>ニュウガクセイ</t>
    </rPh>
    <rPh sb="35" eb="37">
      <t>トウガイ</t>
    </rPh>
    <rPh sb="37" eb="39">
      <t>ネンド</t>
    </rPh>
    <rPh sb="39" eb="42">
      <t>ニュウガクセイ</t>
    </rPh>
    <rPh sb="223" eb="227">
      <t>ガクネンシンコウ</t>
    </rPh>
    <rPh sb="228" eb="229">
      <t>シタガ</t>
    </rPh>
    <rPh sb="231" eb="235">
      <t>シュウヨウテイイン</t>
    </rPh>
    <rPh sb="236" eb="237">
      <t>タイ</t>
    </rPh>
    <rPh sb="239" eb="242">
      <t>リシュウリツ</t>
    </rPh>
    <rPh sb="248" eb="250">
      <t>ゾウカ</t>
    </rPh>
    <rPh sb="252" eb="254">
      <t>レイワ</t>
    </rPh>
    <rPh sb="255" eb="256">
      <t>ネン</t>
    </rPh>
    <rPh sb="270" eb="272">
      <t>センタク</t>
    </rPh>
    <rPh sb="272" eb="274">
      <t>カモク</t>
    </rPh>
    <rPh sb="320" eb="322">
      <t>イジョウ</t>
    </rPh>
    <rPh sb="323" eb="326">
      <t>リシュウリツ</t>
    </rPh>
    <rPh sb="327" eb="329">
      <t>モクヒョウ</t>
    </rPh>
    <phoneticPr fontId="1"/>
  </si>
  <si>
    <t>プログラムを構成する各科目の履修状況、単位修得状況については、学習管理システムCoursePowerおよび成績管理システムCampusSquareによって、リアルタイムに把握することができる。最終的な結果は、「数理・データサイエンス・AI教育運営委員会」によって取りまとめ、チェックを行っている。</t>
    <rPh sb="31" eb="35">
      <t>ガクシュウカンリ</t>
    </rPh>
    <phoneticPr fontId="1"/>
  </si>
  <si>
    <t>1年次に開講している科目（数理データサイエンス概論、データ統計基礎、プログラミング入門I）については全学で必修科目に設定しており、令和3年度の履修率は100%である。2年次前期のプログラミング入門II、プログラミング入門IIIについては、選択科目（一部のコースでは必修）として開講しているが、例年50%以上の履修率である。また。情報セキュリティ基礎については令和4年度が初めての実施となるが、選択必修科目として開講しており、高い履修率が見込まれる。プログラム選択科目についても、70%以上の履修率を目標とし、ガイダンス等で数理データサイエンスプログラムの意義を伝えるなど、履修率を上げる取り組みを実施する。</t>
    <rPh sb="146" eb="148">
      <t>レイネン</t>
    </rPh>
    <rPh sb="151" eb="153">
      <t>イジョウ</t>
    </rPh>
    <rPh sb="154" eb="157">
      <t>リシュウリツ</t>
    </rPh>
    <rPh sb="196" eb="198">
      <t>センタク</t>
    </rPh>
    <phoneticPr fontId="1"/>
  </si>
  <si>
    <t>教務課教務企画係</t>
    <rPh sb="0" eb="3">
      <t>キョウムカ</t>
    </rPh>
    <rPh sb="7" eb="8">
      <t>カカリ</t>
    </rPh>
    <phoneticPr fontId="1"/>
  </si>
  <si>
    <t>本学は令和4年度から小樽商科大学および帯広畜産大学と経営統合し、国立大学法人北海道国立大学機構が発足した。統合に向けて令和2年度から連携教育を強化充実しており、数理データサイエンスに関しても三大学の共通基盤教育プログラムと位置づけ、本学が二大学にリテラシー科目である数理データサイエンス概論及びプログラミング入門Ｉを遠隔講義展開している。さらに令和3年度からは東京農業大学北海道オホーツクキャンパスに数理データサイエンス概論を講義している。プログラミング入門Ｉについてはコンソーシアム拠点校である北海道大学が作成した独習e-ラーニング教材を活用している。また、関連講義として企業出身の他大学実務家教員による実世界データ分析に関する特別講義を全学に向けて開講し、実社会応用視点での補強を行っている。</t>
    <rPh sb="186" eb="189">
      <t>ホッカイドウ</t>
    </rPh>
    <phoneticPr fontId="1"/>
  </si>
  <si>
    <r>
      <t>数理データサイエンス概論（1年次前期）、データ統計基礎（1年次前期）、プログラミング入門I（1年次後期）</t>
    </r>
    <r>
      <rPr>
        <sz val="12"/>
        <color theme="1"/>
        <rFont val="ＭＳ Ｐゴシック"/>
        <family val="3"/>
        <charset val="128"/>
        <scheme val="minor"/>
      </rPr>
      <t>の合計3単位を修得すること。情報セキュリティ基礎（2年次前期）、プログラミング入門IIおよびプログラミング入門III（いずれも2年次前期）は選択科目である。</t>
    </r>
    <rPh sb="14" eb="16">
      <t>ネンジ</t>
    </rPh>
    <rPh sb="16" eb="18">
      <t>ゼンキ</t>
    </rPh>
    <rPh sb="49" eb="51">
      <t>コウキ</t>
    </rPh>
    <rPh sb="53" eb="55">
      <t>ゴウケイ</t>
    </rPh>
    <rPh sb="56" eb="58">
      <t>タンイ</t>
    </rPh>
    <rPh sb="59" eb="61">
      <t>シュウトク</t>
    </rPh>
    <rPh sb="91" eb="93">
      <t>ニュウモン</t>
    </rPh>
    <rPh sb="105" eb="107">
      <t>ニュウモン</t>
    </rPh>
    <rPh sb="116" eb="118">
      <t>ネンジ</t>
    </rPh>
    <rPh sb="118" eb="120">
      <t>ゼンキ</t>
    </rPh>
    <rPh sb="122" eb="124">
      <t>センタク</t>
    </rPh>
    <rPh sb="124" eb="126">
      <t>カモク</t>
    </rPh>
    <phoneticPr fontId="1"/>
  </si>
  <si>
    <t>本プログラムの開講科目は、全学生が履修可能なカリキュラムとなっている。履修した学生に対してはそれぞれの授業で十分なサポートが行われている。例えば、
・データ統計基礎
講義内容が得意な学生や、力試ししたい学生に対して、web上で問題演習システムを試行した。問題演習システムは、web上で24時間いつでもアクセスでき、データ統計基礎の学習範囲について問題演習できる。問題演習システムの活用者は、期末試験成績が優秀である傾向を確認できたため、令和４年度以降も試行を継続し、数年内に本格的に使用する。
・プログラミング入門
Web教材を用いた反転学習を行うことで、学生に自主的に学習を進めさせると共に、講義時間での教員のサポートにより学習効果を上げている。学生は24時間いつでもWEB教材にアクセスできる。
・数理データサイエンス概論
毎回小テストを実施し、学生の学習成果を把握すると共にそれを次の講義に反映させている。</t>
    <rPh sb="218" eb="220">
      <t>レイワ</t>
    </rPh>
    <phoneticPr fontId="1"/>
  </si>
  <si>
    <r>
      <t>個人情報保護</t>
    </r>
    <r>
      <rPr>
        <sz val="12"/>
        <rFont val="ＭＳ Ｐゴシック"/>
        <family val="2"/>
        <charset val="128"/>
        <scheme val="minor"/>
      </rPr>
      <t xml:space="preserve">　「数理データサイエンス概論」（3回目）　
</t>
    </r>
    <r>
      <rPr>
        <sz val="12"/>
        <rFont val="ＭＳ Ｐゴシック"/>
        <family val="3"/>
        <charset val="128"/>
        <scheme val="minor"/>
      </rPr>
      <t>データ倫理：データのねつ造、改ざん、盗用、プライバシー保護　</t>
    </r>
    <r>
      <rPr>
        <sz val="12"/>
        <rFont val="ＭＳ Ｐゴシック"/>
        <family val="2"/>
        <charset val="128"/>
        <scheme val="minor"/>
      </rPr>
      <t>「情報セキュリティ基礎」（</t>
    </r>
    <r>
      <rPr>
        <sz val="12"/>
        <rFont val="ＭＳ Ｐゴシック"/>
        <family val="3"/>
        <charset val="128"/>
        <scheme val="minor"/>
      </rPr>
      <t>4～5</t>
    </r>
    <r>
      <rPr>
        <sz val="12"/>
        <rFont val="ＭＳ Ｐゴシック"/>
        <family val="2"/>
        <charset val="128"/>
        <scheme val="minor"/>
      </rPr>
      <t>回目）</t>
    </r>
    <phoneticPr fontId="1"/>
  </si>
  <si>
    <t>工学部・地球環境工学科</t>
    <phoneticPr fontId="1"/>
  </si>
  <si>
    <t>工学部・地域未来デザイン工学科</t>
    <phoneticPr fontId="1"/>
  </si>
  <si>
    <t>・北見工業大学は工学系の単科大学であり、卒業生のほとんどは技術開発職として活躍するため、数理データサイエンスの広い知識に加えて、それを活用できる基礎的な知識・技術も身に付けることが望まれる。プログラム必修科目である「数理データサイエンス概論」、「データ統計基礎」、「プログラミング入門I」はすべて全員が修得しなければならない必修科目として開講している。
　すなわち、学生全員が履修し、卒業生が全員プログラムの修了生となるように構成されている。
・「プログラミング入門I」では、AIの開発に利用されるPython言語の基礎を全員に履修させている。北海道大学で開発されたe-ラーニングコンテンツを活用している。
・情報化社会の急速な発展に伴って、情報セキュリティ技術の重要性はどんどん増している。学生の専門分野に関わらず、「情報セキュリティ基礎」を2年次前期の選択必修科目として開講し、学生の履修を促している。
・「プログラミング入門II」および「プログラミング入門III」については、情報デザイン・コミュニケーション工学コースでは2年次前期の必修、他のコースでは2年次前期の選択科目として開講し、学生の履修を促している。同内容科目についてはすでに開講実施実績があり（下記、補足）、50%以上の履修率となっている。
・「プログラミング入門II」は、「プログラミング入門I」のつづきとして、モジュール，ライブラリ，辞書，関数，クラスを学習する。この科目は、より高度なオブジェクト指向プログラミングに橋渡しする役割を担う。授業の一部は、北海道大学で開発されたe-ラーニングコンテンツを活用している。
・「プログラミング入門III」では、IoTの技術に欠かせない組込み系プログラミングの知識と技術の基礎を身につけるために、プログラムを現実世界に結びつけて捉えることを目的とした授業を行っている。レゴロボットを使って、タッチセンサや超音波センサ、カラーセンサなどから情報を収集して、目的に応じてロボットを動かしたり、ロボットに音を発生させたり、現実世界に影響が現れるプログラムを作成するPBL型の課題を課して、学生の情報技術への学習意欲を高める取り組みを行っている。
[補足]
カリキュラム改正のタイミングの都合上、令和3年度は、「プログラミング入門II」、「プログラミング入門 III」（各1単位）の授業内容を2単位の全学的な選択科目「プログラミング入門」で実施した。令和4年度から「プログラミング入門」は、上記のように「プログラミング入門II」、「プログラミング入門III」に変更される。授業内容に変更はない。</t>
    <rPh sb="100" eb="104">
      <t>ヒッシュウカモク</t>
    </rPh>
    <rPh sb="457" eb="459">
      <t>コウガク</t>
    </rPh>
    <rPh sb="509" eb="512">
      <t>ドウナイヨウ</t>
    </rPh>
    <rPh sb="512" eb="514">
      <t>カモク</t>
    </rPh>
    <rPh sb="522" eb="524">
      <t>カイコウ</t>
    </rPh>
    <rPh sb="524" eb="526">
      <t>ジッシ</t>
    </rPh>
    <rPh sb="526" eb="528">
      <t>ジッセキ</t>
    </rPh>
    <rPh sb="532" eb="534">
      <t>カキ</t>
    </rPh>
    <rPh sb="535" eb="537">
      <t>ホソク</t>
    </rPh>
    <rPh sb="542" eb="544">
      <t>イジョウ</t>
    </rPh>
    <rPh sb="545" eb="548">
      <t>リシュウリツ</t>
    </rPh>
    <rPh sb="890" eb="891">
      <t>カタ</t>
    </rPh>
    <phoneticPr fontId="1"/>
  </si>
  <si>
    <t>・本学の全ての科目では、学生は学習管理システムCoursePowerを介して、教員にいつでも質問することができる。教員は、CoursePowerを介して、質問に回答して学生の学習を支援する。
・「プログラミング入門I」と「プログラミング入門II」では、e-ラーニングコンテンツを用いた反転学習によって、学習効果を高める取り組みを行っている。
・「プログラミング入門II」、「プログラミング入門III」の授業は、1クラス当たり、科目担当教員、科目支援教職員、および大学院生によるティーチングアシスタント2名によって、学生の課題取組みを支援している。プログラミング技術、課題の捉え方など、学生のあらゆる質問に対応する授業を行っている。
・大学の教育目標達成度評価において、数理データサイエンス科目についての項目を導入し、学生の達成度を可視化し、評価している。学生はそれをｗeb上でいつでも参照することができる。</t>
    <rPh sb="17" eb="19">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</si>
</sst>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trike/>
      <sz val="12"/>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9" fontId="3" fillId="0" borderId="8" xfId="0" applyNumberFormat="1" applyFont="1" applyBorder="1" applyAlignment="1">
      <alignment horizontal="center" vertical="center" wrapText="1" shrinkToFit="1"/>
    </xf>
    <xf numFmtId="9" fontId="3" fillId="0" borderId="8" xfId="0" applyNumberFormat="1" applyFont="1" applyBorder="1" applyAlignment="1">
      <alignment horizontal="center" vertical="center" shrinkToFit="1"/>
    </xf>
    <xf numFmtId="9" fontId="3" fillId="0" borderId="45" xfId="0" applyNumberFormat="1" applyFont="1" applyBorder="1" applyAlignment="1">
      <alignment horizontal="center" vertical="center" shrinkToFit="1"/>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8" fillId="0" borderId="39" xfId="0" applyFont="1" applyBorder="1" applyAlignment="1">
      <alignment vertical="center" wrapText="1" shrinkToFi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8"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32" xfId="0" applyFont="1" applyBorder="1" applyAlignment="1">
      <alignment vertical="center" wrapText="1"/>
    </xf>
    <xf numFmtId="0" fontId="8" fillId="0" borderId="8"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8"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22" xfId="0" applyFont="1" applyBorder="1" applyAlignment="1">
      <alignment horizontal="left" vertical="center" wrapText="1"/>
    </xf>
    <xf numFmtId="0" fontId="9" fillId="0" borderId="22" xfId="0" applyFont="1" applyBorder="1" applyAlignment="1">
      <alignment horizontal="left" vertical="center" wrapText="1"/>
    </xf>
    <xf numFmtId="0" fontId="9" fillId="0" borderId="21" xfId="0" applyFont="1" applyBorder="1" applyAlignment="1">
      <alignment horizontal="left" vertical="center" wrapText="1"/>
    </xf>
    <xf numFmtId="0" fontId="8" fillId="0" borderId="39" xfId="0" applyFont="1" applyBorder="1" applyAlignment="1">
      <alignment horizontal="left" vertical="center" wrapText="1"/>
    </xf>
    <xf numFmtId="0" fontId="9" fillId="0" borderId="39" xfId="0" applyFont="1" applyBorder="1" applyAlignment="1">
      <alignment horizontal="left" vertical="center" wrapText="1"/>
    </xf>
    <xf numFmtId="0" fontId="9" fillId="0" borderId="38" xfId="0" applyFont="1" applyBorder="1" applyAlignment="1">
      <alignment horizontal="left" vertical="center" wrapText="1"/>
    </xf>
    <xf numFmtId="0" fontId="8" fillId="0" borderId="41" xfId="0" applyFont="1" applyBorder="1" applyAlignment="1">
      <alignment horizontal="left" vertical="center" wrapText="1"/>
    </xf>
    <xf numFmtId="0" fontId="9" fillId="0" borderId="41" xfId="0" applyFont="1" applyBorder="1" applyAlignment="1">
      <alignment horizontal="left" vertical="center" wrapText="1"/>
    </xf>
    <xf numFmtId="0" fontId="9" fillId="0" borderId="42" xfId="0" applyFont="1" applyBorder="1" applyAlignment="1">
      <alignment horizontal="left" vertical="center" wrapText="1"/>
    </xf>
    <xf numFmtId="0" fontId="22" fillId="0" borderId="19" xfId="0" applyFont="1" applyBorder="1" applyAlignment="1">
      <alignment vertical="center" shrinkToFit="1"/>
    </xf>
    <xf numFmtId="0" fontId="22" fillId="0" borderId="20" xfId="0" applyFont="1" applyBorder="1" applyAlignment="1">
      <alignment vertical="center" shrinkToFit="1"/>
    </xf>
    <xf numFmtId="0" fontId="22"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0"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19" fillId="0" borderId="2" xfId="2" applyFont="1" applyBorder="1" applyAlignment="1">
      <alignment vertical="center" shrinkToFit="1"/>
    </xf>
    <xf numFmtId="0" fontId="8"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3" fillId="0" borderId="16" xfId="0" applyFont="1" applyBorder="1" applyAlignment="1">
      <alignment vertical="top" wrapText="1" shrinkToFit="1"/>
    </xf>
    <xf numFmtId="0" fontId="3" fillId="0" borderId="22" xfId="0" applyFont="1" applyBorder="1" applyAlignment="1">
      <alignment vertical="top" shrinkToFit="1"/>
    </xf>
    <xf numFmtId="0" fontId="3" fillId="0" borderId="21"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9" fillId="0" borderId="2" xfId="2" applyFont="1" applyBorder="1" applyAlignment="1">
      <alignment horizontal="center" vertical="center" shrinkToFit="1"/>
    </xf>
    <xf numFmtId="0" fontId="20" fillId="0" borderId="3" xfId="2" applyFont="1" applyBorder="1" applyAlignment="1">
      <alignment horizontal="center" vertical="center" shrinkToFit="1"/>
    </xf>
    <xf numFmtId="0" fontId="20"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03@desk.kitami-i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itami-it.ac.jp/campuslife/kyouikukatei/mdashprogra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itami-it.ac.jp/campuslife/kyouikukatei/mdashprogra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0" t="s">
        <v>26</v>
      </c>
      <c r="N1" s="140"/>
    </row>
    <row r="2" spans="1:15" ht="24" customHeight="1" x14ac:dyDescent="0.15">
      <c r="A2" s="144" t="s">
        <v>87</v>
      </c>
      <c r="B2" s="144"/>
      <c r="C2" s="144"/>
      <c r="D2" s="144"/>
      <c r="E2" s="144"/>
      <c r="F2" s="144"/>
      <c r="G2" s="144"/>
      <c r="H2" s="144"/>
      <c r="I2" s="144"/>
      <c r="J2" s="144"/>
      <c r="K2" s="144"/>
      <c r="L2" s="144"/>
      <c r="M2" s="144"/>
      <c r="N2" s="144"/>
    </row>
    <row r="3" spans="1:15" ht="24" customHeight="1" x14ac:dyDescent="0.15"/>
    <row r="4" spans="1:15" ht="24" customHeight="1" x14ac:dyDescent="0.15">
      <c r="A4" s="14" t="s">
        <v>6</v>
      </c>
      <c r="B4" s="15" t="s">
        <v>17</v>
      </c>
      <c r="C4" s="130" t="s">
        <v>167</v>
      </c>
      <c r="D4" s="131"/>
      <c r="E4" s="131"/>
      <c r="F4" s="131"/>
      <c r="G4" s="131"/>
      <c r="H4" s="131"/>
      <c r="I4" s="131"/>
      <c r="J4" s="131"/>
      <c r="K4" s="131"/>
      <c r="L4" s="131"/>
      <c r="M4" s="131"/>
      <c r="N4" s="132"/>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45" t="s">
        <v>204</v>
      </c>
      <c r="E6" s="146"/>
      <c r="F6" s="146"/>
      <c r="G6" s="146"/>
      <c r="H6" s="147"/>
      <c r="I6" s="17" t="s">
        <v>90</v>
      </c>
      <c r="J6" s="37" t="s">
        <v>91</v>
      </c>
      <c r="K6" s="130" t="s">
        <v>168</v>
      </c>
      <c r="L6" s="131"/>
      <c r="M6" s="131"/>
      <c r="N6" s="132"/>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30" t="s">
        <v>205</v>
      </c>
      <c r="D8" s="131"/>
      <c r="E8" s="131"/>
      <c r="F8" s="131"/>
      <c r="G8" s="131"/>
      <c r="H8" s="131"/>
      <c r="I8" s="131"/>
      <c r="J8" s="131"/>
      <c r="K8" s="131"/>
      <c r="L8" s="131"/>
      <c r="M8" s="131"/>
      <c r="N8" s="132"/>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30" t="s">
        <v>206</v>
      </c>
      <c r="F10" s="131"/>
      <c r="G10" s="131"/>
      <c r="H10" s="131"/>
      <c r="I10" s="131"/>
      <c r="J10" s="131"/>
      <c r="K10" s="131"/>
      <c r="L10" s="131"/>
      <c r="M10" s="131"/>
      <c r="N10" s="132"/>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48" t="s">
        <v>169</v>
      </c>
      <c r="F12" s="149"/>
      <c r="G12" s="17" t="s">
        <v>100</v>
      </c>
      <c r="H12" s="14" t="s">
        <v>101</v>
      </c>
      <c r="N12" s="115" t="s">
        <v>170</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41" t="s">
        <v>5</v>
      </c>
      <c r="D14" s="142"/>
      <c r="E14" s="133">
        <v>137</v>
      </c>
      <c r="F14" s="134"/>
      <c r="G14" s="18" t="s">
        <v>8</v>
      </c>
      <c r="I14" s="141" t="s">
        <v>9</v>
      </c>
      <c r="J14" s="142"/>
      <c r="K14" s="133">
        <v>10</v>
      </c>
      <c r="L14" s="143"/>
      <c r="M14" s="134"/>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50">
        <v>16</v>
      </c>
      <c r="L16" s="151"/>
      <c r="M16" s="152"/>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3">
        <v>410</v>
      </c>
      <c r="F18" s="134"/>
      <c r="G18" s="21" t="s">
        <v>22</v>
      </c>
      <c r="H18" s="20"/>
      <c r="K18" s="156"/>
      <c r="L18" s="156"/>
      <c r="M18" s="156"/>
      <c r="N18" s="156"/>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53">
        <v>1748</v>
      </c>
      <c r="K20" s="154"/>
      <c r="L20" s="155"/>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33">
        <v>411</v>
      </c>
      <c r="D22" s="134"/>
      <c r="E22" s="10" t="s">
        <v>23</v>
      </c>
      <c r="F22" s="20"/>
      <c r="G22" s="129" t="s">
        <v>19</v>
      </c>
      <c r="H22" s="129"/>
      <c r="I22" s="133">
        <v>405</v>
      </c>
      <c r="J22" s="134"/>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33">
        <v>427</v>
      </c>
      <c r="D24" s="134"/>
      <c r="E24" s="10" t="s">
        <v>23</v>
      </c>
      <c r="F24" s="20"/>
      <c r="G24" s="129" t="s">
        <v>21</v>
      </c>
      <c r="H24" s="129"/>
      <c r="I24" s="133">
        <v>505</v>
      </c>
      <c r="J24" s="134"/>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33">
        <v>0</v>
      </c>
      <c r="D26" s="134"/>
      <c r="E26" s="10" t="s">
        <v>8</v>
      </c>
      <c r="F26" s="20"/>
      <c r="G26" s="129" t="s">
        <v>49</v>
      </c>
      <c r="H26" s="129"/>
      <c r="I26" s="133">
        <v>0</v>
      </c>
      <c r="J26" s="134"/>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37" t="s">
        <v>78</v>
      </c>
      <c r="C29" s="137"/>
      <c r="D29" s="130" t="s">
        <v>171</v>
      </c>
      <c r="E29" s="131"/>
      <c r="F29" s="131"/>
      <c r="G29" s="138" t="s">
        <v>24</v>
      </c>
      <c r="H29" s="137"/>
      <c r="I29" s="139"/>
      <c r="J29" s="130" t="s">
        <v>172</v>
      </c>
      <c r="K29" s="131"/>
      <c r="L29" s="131"/>
      <c r="M29" s="131"/>
      <c r="N29" s="132"/>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0" t="s">
        <v>173</v>
      </c>
      <c r="C32" s="131"/>
      <c r="D32" s="131"/>
      <c r="E32" s="131"/>
      <c r="F32" s="131"/>
      <c r="G32" s="131"/>
      <c r="H32" s="131"/>
      <c r="I32" s="131"/>
      <c r="J32" s="131"/>
      <c r="K32" s="131"/>
      <c r="L32" s="131"/>
      <c r="M32" s="131"/>
      <c r="N32" s="132"/>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7" t="s">
        <v>78</v>
      </c>
      <c r="C34" s="137"/>
      <c r="D34" s="130" t="s">
        <v>174</v>
      </c>
      <c r="E34" s="131"/>
      <c r="F34" s="131"/>
      <c r="G34" s="138" t="s">
        <v>57</v>
      </c>
      <c r="H34" s="137"/>
      <c r="I34" s="139"/>
      <c r="J34" s="130" t="s">
        <v>175</v>
      </c>
      <c r="K34" s="131"/>
      <c r="L34" s="131"/>
      <c r="M34" s="131"/>
      <c r="N34" s="132"/>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30" t="s">
        <v>173</v>
      </c>
      <c r="C37" s="131"/>
      <c r="D37" s="131"/>
      <c r="E37" s="131"/>
      <c r="F37" s="131"/>
      <c r="G37" s="131"/>
      <c r="H37" s="131"/>
      <c r="I37" s="131"/>
      <c r="J37" s="131"/>
      <c r="K37" s="131"/>
      <c r="L37" s="131"/>
      <c r="M37" s="131"/>
      <c r="N37" s="132"/>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7" t="s">
        <v>78</v>
      </c>
      <c r="C39" s="137"/>
      <c r="D39" s="130" t="s">
        <v>171</v>
      </c>
      <c r="E39" s="131"/>
      <c r="F39" s="131"/>
      <c r="G39" s="138" t="s">
        <v>57</v>
      </c>
      <c r="H39" s="137"/>
      <c r="I39" s="139"/>
      <c r="J39" s="130" t="s">
        <v>176</v>
      </c>
      <c r="K39" s="131"/>
      <c r="L39" s="131"/>
      <c r="M39" s="131"/>
      <c r="N39" s="132"/>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30" t="s">
        <v>177</v>
      </c>
      <c r="G41" s="131"/>
      <c r="H41" s="131"/>
      <c r="I41" s="131"/>
      <c r="J41" s="131"/>
      <c r="K41" s="131"/>
      <c r="L41" s="131"/>
      <c r="M41" s="131"/>
      <c r="N41" s="132"/>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35" t="s">
        <v>214</v>
      </c>
      <c r="D44" s="136"/>
      <c r="E44" s="136"/>
      <c r="F44" s="136"/>
      <c r="G44" s="136"/>
      <c r="H44" s="136"/>
      <c r="I44" s="26" t="s">
        <v>2</v>
      </c>
      <c r="J44" s="27"/>
      <c r="K44" s="130" t="s">
        <v>207</v>
      </c>
      <c r="L44" s="131"/>
      <c r="M44" s="131"/>
      <c r="N44" s="132"/>
      <c r="O44" s="31" t="str">
        <f>IF(OR(C44="",K44=""),"入力してください","")</f>
        <v/>
      </c>
    </row>
    <row r="45" spans="1:15" ht="24" customHeight="1" x14ac:dyDescent="0.15">
      <c r="B45" s="25" t="s">
        <v>4</v>
      </c>
      <c r="C45" s="123" t="s">
        <v>178</v>
      </c>
      <c r="D45" s="124"/>
      <c r="E45" s="124"/>
      <c r="F45" s="124"/>
      <c r="G45" s="124"/>
      <c r="H45" s="125"/>
      <c r="I45" s="26" t="s">
        <v>3</v>
      </c>
      <c r="J45" s="27"/>
      <c r="K45" s="126" t="s">
        <v>179</v>
      </c>
      <c r="L45" s="127"/>
      <c r="M45" s="127"/>
      <c r="N45" s="128"/>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53" t="s">
        <v>117</v>
      </c>
      <c r="X1" s="253"/>
      <c r="Y1" s="253"/>
      <c r="Z1" s="253"/>
    </row>
    <row r="2" spans="1:26" ht="18" customHeight="1" x14ac:dyDescent="0.15">
      <c r="A2" s="210" t="s">
        <v>69</v>
      </c>
      <c r="B2" s="210"/>
      <c r="C2" s="210"/>
      <c r="D2" s="210"/>
      <c r="E2" s="210"/>
      <c r="F2" s="210"/>
      <c r="G2" s="210"/>
      <c r="H2" s="210"/>
      <c r="I2" s="210"/>
      <c r="J2" s="210"/>
      <c r="K2" s="210"/>
      <c r="L2" s="210"/>
      <c r="M2" s="210"/>
      <c r="N2" s="210"/>
      <c r="O2" s="210"/>
      <c r="P2" s="210"/>
      <c r="Q2" s="210"/>
      <c r="R2" s="210"/>
      <c r="S2" s="210"/>
      <c r="T2" s="210"/>
      <c r="U2" s="210"/>
      <c r="V2" s="210"/>
      <c r="W2" s="210"/>
      <c r="X2" s="210"/>
      <c r="Y2" s="210"/>
      <c r="Z2" s="21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50" t="s">
        <v>154</v>
      </c>
      <c r="P4" s="151"/>
      <c r="Q4" s="151"/>
      <c r="R4" s="151"/>
      <c r="S4" s="151"/>
      <c r="T4" s="151"/>
      <c r="U4" s="151"/>
      <c r="V4" s="151"/>
      <c r="W4" s="151"/>
      <c r="X4" s="151"/>
      <c r="Y4" s="151"/>
      <c r="Z4" s="15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1" t="s">
        <v>216</v>
      </c>
      <c r="C6" s="212"/>
      <c r="D6" s="212"/>
      <c r="E6" s="212"/>
      <c r="F6" s="212"/>
      <c r="G6" s="212"/>
      <c r="H6" s="212"/>
      <c r="I6" s="212"/>
      <c r="J6" s="212"/>
      <c r="K6" s="212"/>
      <c r="L6" s="212"/>
      <c r="M6" s="212"/>
      <c r="N6" s="212"/>
      <c r="O6" s="212"/>
      <c r="P6" s="212"/>
      <c r="Q6" s="212"/>
      <c r="R6" s="212"/>
      <c r="S6" s="212"/>
      <c r="T6" s="212"/>
      <c r="U6" s="212"/>
      <c r="V6" s="212"/>
      <c r="W6" s="212"/>
      <c r="X6" s="212"/>
      <c r="Y6" s="212"/>
      <c r="Z6" s="213"/>
    </row>
    <row r="7" spans="1:26" ht="18" customHeight="1" x14ac:dyDescent="0.15">
      <c r="B7" s="214"/>
      <c r="C7" s="215"/>
      <c r="D7" s="215"/>
      <c r="E7" s="215"/>
      <c r="F7" s="215"/>
      <c r="G7" s="215"/>
      <c r="H7" s="215"/>
      <c r="I7" s="215"/>
      <c r="J7" s="215"/>
      <c r="K7" s="215"/>
      <c r="L7" s="215"/>
      <c r="M7" s="215"/>
      <c r="N7" s="215"/>
      <c r="O7" s="215"/>
      <c r="P7" s="215"/>
      <c r="Q7" s="215"/>
      <c r="R7" s="215"/>
      <c r="S7" s="215"/>
      <c r="T7" s="215"/>
      <c r="U7" s="215"/>
      <c r="V7" s="215"/>
      <c r="W7" s="215"/>
      <c r="X7" s="215"/>
      <c r="Y7" s="215"/>
      <c r="Z7" s="216"/>
    </row>
    <row r="8" spans="1:26" ht="18" customHeight="1" x14ac:dyDescent="0.15">
      <c r="B8" s="214"/>
      <c r="C8" s="215"/>
      <c r="D8" s="215"/>
      <c r="E8" s="215"/>
      <c r="F8" s="215"/>
      <c r="G8" s="215"/>
      <c r="H8" s="215"/>
      <c r="I8" s="215"/>
      <c r="J8" s="215"/>
      <c r="K8" s="215"/>
      <c r="L8" s="215"/>
      <c r="M8" s="215"/>
      <c r="N8" s="215"/>
      <c r="O8" s="215"/>
      <c r="P8" s="215"/>
      <c r="Q8" s="215"/>
      <c r="R8" s="215"/>
      <c r="S8" s="215"/>
      <c r="T8" s="215"/>
      <c r="U8" s="215"/>
      <c r="V8" s="215"/>
      <c r="W8" s="215"/>
      <c r="X8" s="215"/>
      <c r="Y8" s="215"/>
      <c r="Z8" s="216"/>
    </row>
    <row r="9" spans="1:26" ht="18" customHeight="1" x14ac:dyDescent="0.15">
      <c r="B9" s="214"/>
      <c r="C9" s="215"/>
      <c r="D9" s="215"/>
      <c r="E9" s="215"/>
      <c r="F9" s="215"/>
      <c r="G9" s="215"/>
      <c r="H9" s="215"/>
      <c r="I9" s="215"/>
      <c r="J9" s="215"/>
      <c r="K9" s="215"/>
      <c r="L9" s="215"/>
      <c r="M9" s="215"/>
      <c r="N9" s="215"/>
      <c r="O9" s="215"/>
      <c r="P9" s="215"/>
      <c r="Q9" s="215"/>
      <c r="R9" s="215"/>
      <c r="S9" s="215"/>
      <c r="T9" s="215"/>
      <c r="U9" s="215"/>
      <c r="V9" s="215"/>
      <c r="W9" s="215"/>
      <c r="X9" s="215"/>
      <c r="Y9" s="215"/>
      <c r="Z9" s="216"/>
    </row>
    <row r="10" spans="1:26" ht="18" customHeight="1" x14ac:dyDescent="0.15">
      <c r="B10" s="214"/>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6"/>
    </row>
    <row r="11" spans="1:26" ht="18" customHeight="1" x14ac:dyDescent="0.15">
      <c r="B11" s="218"/>
      <c r="C11" s="219"/>
      <c r="D11" s="219"/>
      <c r="E11" s="219"/>
      <c r="F11" s="219"/>
      <c r="G11" s="219"/>
      <c r="H11" s="219"/>
      <c r="I11" s="219"/>
      <c r="J11" s="219"/>
      <c r="K11" s="219"/>
      <c r="L11" s="219"/>
      <c r="M11" s="219"/>
      <c r="N11" s="219"/>
      <c r="O11" s="219"/>
      <c r="P11" s="219"/>
      <c r="Q11" s="219"/>
      <c r="R11" s="219"/>
      <c r="S11" s="219"/>
      <c r="T11" s="219"/>
      <c r="U11" s="219"/>
      <c r="V11" s="219"/>
      <c r="W11" s="219"/>
      <c r="X11" s="219"/>
      <c r="Y11" s="219"/>
      <c r="Z11" s="22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6" t="s">
        <v>130</v>
      </c>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spans="1:26" ht="18" customHeight="1" x14ac:dyDescent="0.15">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spans="1:26" ht="18" customHeight="1" x14ac:dyDescent="0.15">
      <c r="A15" s="14"/>
      <c r="B15" s="150" t="s">
        <v>104</v>
      </c>
      <c r="C15" s="151"/>
      <c r="D15" s="151"/>
      <c r="E15" s="151"/>
      <c r="F15" s="152"/>
      <c r="G15" s="30" t="s">
        <v>146</v>
      </c>
      <c r="H15" s="110" t="s">
        <v>145</v>
      </c>
      <c r="I15" s="151" t="s">
        <v>105</v>
      </c>
      <c r="J15" s="151"/>
      <c r="K15" s="151"/>
      <c r="L15" s="75" t="s">
        <v>108</v>
      </c>
      <c r="M15" s="75" t="s">
        <v>111</v>
      </c>
      <c r="N15" s="150" t="s">
        <v>104</v>
      </c>
      <c r="O15" s="151"/>
      <c r="P15" s="151"/>
      <c r="Q15" s="151"/>
      <c r="R15" s="151"/>
      <c r="S15" s="152"/>
      <c r="T15" s="30" t="s">
        <v>146</v>
      </c>
      <c r="U15" s="110" t="s">
        <v>145</v>
      </c>
      <c r="V15" s="151" t="s">
        <v>105</v>
      </c>
      <c r="W15" s="151"/>
      <c r="X15" s="151"/>
      <c r="Y15" s="75" t="s">
        <v>108</v>
      </c>
      <c r="Z15" s="75" t="s">
        <v>111</v>
      </c>
    </row>
    <row r="16" spans="1:26" ht="18" customHeight="1" x14ac:dyDescent="0.15">
      <c r="A16" s="14"/>
      <c r="B16" s="197" t="s">
        <v>158</v>
      </c>
      <c r="C16" s="198"/>
      <c r="D16" s="198"/>
      <c r="E16" s="198"/>
      <c r="F16" s="199"/>
      <c r="G16" s="111">
        <v>1</v>
      </c>
      <c r="H16" s="111" t="s">
        <v>156</v>
      </c>
      <c r="I16" s="191" t="s">
        <v>157</v>
      </c>
      <c r="J16" s="192"/>
      <c r="K16" s="193"/>
      <c r="L16" s="111" t="s">
        <v>156</v>
      </c>
      <c r="M16" s="111" t="s">
        <v>156</v>
      </c>
      <c r="N16" s="157"/>
      <c r="O16" s="158"/>
      <c r="P16" s="158"/>
      <c r="Q16" s="158"/>
      <c r="R16" s="158"/>
      <c r="S16" s="159"/>
      <c r="T16" s="111"/>
      <c r="U16" s="111"/>
      <c r="V16" s="191"/>
      <c r="W16" s="192"/>
      <c r="X16" s="193"/>
      <c r="Y16" s="111"/>
      <c r="Z16" s="111"/>
    </row>
    <row r="17" spans="1:26" ht="18" customHeight="1" x14ac:dyDescent="0.15">
      <c r="A17" s="14"/>
      <c r="B17" s="200"/>
      <c r="C17" s="201"/>
      <c r="D17" s="201"/>
      <c r="E17" s="201"/>
      <c r="F17" s="202"/>
      <c r="G17" s="112"/>
      <c r="H17" s="112"/>
      <c r="I17" s="194"/>
      <c r="J17" s="195"/>
      <c r="K17" s="196"/>
      <c r="L17" s="112"/>
      <c r="M17" s="112"/>
      <c r="N17" s="166"/>
      <c r="O17" s="167"/>
      <c r="P17" s="167"/>
      <c r="Q17" s="167"/>
      <c r="R17" s="167"/>
      <c r="S17" s="168"/>
      <c r="T17" s="112"/>
      <c r="U17" s="112"/>
      <c r="V17" s="194"/>
      <c r="W17" s="195"/>
      <c r="X17" s="196"/>
      <c r="Y17" s="112"/>
      <c r="Z17" s="112"/>
    </row>
    <row r="18" spans="1:26" ht="18" customHeight="1" x14ac:dyDescent="0.15">
      <c r="A18" s="14"/>
      <c r="B18" s="200"/>
      <c r="C18" s="201"/>
      <c r="D18" s="201"/>
      <c r="E18" s="201"/>
      <c r="F18" s="202"/>
      <c r="G18" s="112"/>
      <c r="H18" s="112"/>
      <c r="I18" s="194"/>
      <c r="J18" s="195"/>
      <c r="K18" s="196"/>
      <c r="L18" s="112"/>
      <c r="M18" s="112"/>
      <c r="N18" s="166"/>
      <c r="O18" s="167"/>
      <c r="P18" s="167"/>
      <c r="Q18" s="167"/>
      <c r="R18" s="167"/>
      <c r="S18" s="168"/>
      <c r="T18" s="112"/>
      <c r="U18" s="112"/>
      <c r="V18" s="194"/>
      <c r="W18" s="195"/>
      <c r="X18" s="196"/>
      <c r="Y18" s="112"/>
      <c r="Z18" s="112"/>
    </row>
    <row r="19" spans="1:26" ht="18" customHeight="1" x14ac:dyDescent="0.15">
      <c r="A19" s="14"/>
      <c r="B19" s="200"/>
      <c r="C19" s="201"/>
      <c r="D19" s="201"/>
      <c r="E19" s="201"/>
      <c r="F19" s="202"/>
      <c r="G19" s="112"/>
      <c r="H19" s="112"/>
      <c r="I19" s="194"/>
      <c r="J19" s="195"/>
      <c r="K19" s="196"/>
      <c r="L19" s="112"/>
      <c r="M19" s="112"/>
      <c r="N19" s="166"/>
      <c r="O19" s="167"/>
      <c r="P19" s="167"/>
      <c r="Q19" s="167"/>
      <c r="R19" s="167"/>
      <c r="S19" s="168"/>
      <c r="T19" s="112"/>
      <c r="U19" s="112"/>
      <c r="V19" s="194"/>
      <c r="W19" s="195"/>
      <c r="X19" s="196"/>
      <c r="Y19" s="112"/>
      <c r="Z19" s="112"/>
    </row>
    <row r="20" spans="1:26" ht="18" customHeight="1" x14ac:dyDescent="0.15">
      <c r="A20" s="14"/>
      <c r="B20" s="200"/>
      <c r="C20" s="201"/>
      <c r="D20" s="201"/>
      <c r="E20" s="201"/>
      <c r="F20" s="202"/>
      <c r="G20" s="112"/>
      <c r="H20" s="112"/>
      <c r="I20" s="194"/>
      <c r="J20" s="195"/>
      <c r="K20" s="196"/>
      <c r="L20" s="112"/>
      <c r="M20" s="112"/>
      <c r="N20" s="166"/>
      <c r="O20" s="167"/>
      <c r="P20" s="167"/>
      <c r="Q20" s="167"/>
      <c r="R20" s="167"/>
      <c r="S20" s="168"/>
      <c r="T20" s="112"/>
      <c r="U20" s="112"/>
      <c r="V20" s="194"/>
      <c r="W20" s="195"/>
      <c r="X20" s="196"/>
      <c r="Y20" s="112"/>
      <c r="Z20" s="112"/>
    </row>
    <row r="21" spans="1:26" ht="18" customHeight="1" x14ac:dyDescent="0.15">
      <c r="A21" s="29"/>
      <c r="B21" s="200"/>
      <c r="C21" s="201"/>
      <c r="D21" s="201"/>
      <c r="E21" s="201"/>
      <c r="F21" s="202"/>
      <c r="G21" s="112"/>
      <c r="H21" s="112"/>
      <c r="I21" s="194"/>
      <c r="J21" s="195"/>
      <c r="K21" s="196"/>
      <c r="L21" s="112"/>
      <c r="M21" s="112"/>
      <c r="N21" s="166"/>
      <c r="O21" s="167"/>
      <c r="P21" s="167"/>
      <c r="Q21" s="167"/>
      <c r="R21" s="167"/>
      <c r="S21" s="168"/>
      <c r="T21" s="112"/>
      <c r="U21" s="112"/>
      <c r="V21" s="194"/>
      <c r="W21" s="195"/>
      <c r="X21" s="196"/>
      <c r="Y21" s="112"/>
      <c r="Z21" s="112"/>
    </row>
    <row r="22" spans="1:26" ht="18" customHeight="1" x14ac:dyDescent="0.15">
      <c r="A22" s="29"/>
      <c r="B22" s="207"/>
      <c r="C22" s="208"/>
      <c r="D22" s="208"/>
      <c r="E22" s="208"/>
      <c r="F22" s="209"/>
      <c r="G22" s="113"/>
      <c r="H22" s="113"/>
      <c r="I22" s="203"/>
      <c r="J22" s="204"/>
      <c r="K22" s="205"/>
      <c r="L22" s="119"/>
      <c r="M22" s="119"/>
      <c r="N22" s="233"/>
      <c r="O22" s="234"/>
      <c r="P22" s="234"/>
      <c r="Q22" s="234"/>
      <c r="R22" s="234"/>
      <c r="S22" s="235"/>
      <c r="T22" s="113"/>
      <c r="U22" s="113"/>
      <c r="V22" s="203"/>
      <c r="W22" s="204"/>
      <c r="X22" s="205"/>
      <c r="Y22" s="119"/>
      <c r="Z22" s="119"/>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6" t="s">
        <v>131</v>
      </c>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spans="1:26" ht="18" customHeight="1" x14ac:dyDescent="0.15">
      <c r="A25" s="206"/>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spans="1:26" ht="18" customHeight="1" x14ac:dyDescent="0.15">
      <c r="A26" s="14"/>
      <c r="B26" s="150" t="s">
        <v>104</v>
      </c>
      <c r="C26" s="151"/>
      <c r="D26" s="151"/>
      <c r="E26" s="151"/>
      <c r="F26" s="152"/>
      <c r="G26" s="30" t="s">
        <v>146</v>
      </c>
      <c r="H26" s="110" t="s">
        <v>145</v>
      </c>
      <c r="I26" s="151" t="s">
        <v>105</v>
      </c>
      <c r="J26" s="151"/>
      <c r="K26" s="151"/>
      <c r="L26" s="75" t="s">
        <v>132</v>
      </c>
      <c r="M26" s="75" t="s">
        <v>133</v>
      </c>
      <c r="N26" s="150" t="s">
        <v>104</v>
      </c>
      <c r="O26" s="151"/>
      <c r="P26" s="151"/>
      <c r="Q26" s="151"/>
      <c r="R26" s="151"/>
      <c r="S26" s="152"/>
      <c r="T26" s="30" t="s">
        <v>146</v>
      </c>
      <c r="U26" s="110" t="s">
        <v>145</v>
      </c>
      <c r="V26" s="151" t="s">
        <v>105</v>
      </c>
      <c r="W26" s="151"/>
      <c r="X26" s="151"/>
      <c r="Y26" s="75" t="s">
        <v>132</v>
      </c>
      <c r="Z26" s="75" t="s">
        <v>133</v>
      </c>
    </row>
    <row r="27" spans="1:26" ht="18" customHeight="1" x14ac:dyDescent="0.15">
      <c r="A27" s="14"/>
      <c r="B27" s="197" t="s">
        <v>155</v>
      </c>
      <c r="C27" s="198"/>
      <c r="D27" s="198"/>
      <c r="E27" s="198"/>
      <c r="F27" s="199"/>
      <c r="G27" s="111">
        <v>1</v>
      </c>
      <c r="H27" s="111" t="s">
        <v>156</v>
      </c>
      <c r="I27" s="191" t="s">
        <v>157</v>
      </c>
      <c r="J27" s="192"/>
      <c r="K27" s="193"/>
      <c r="L27" s="111" t="s">
        <v>156</v>
      </c>
      <c r="M27" s="111" t="s">
        <v>156</v>
      </c>
      <c r="N27" s="157"/>
      <c r="O27" s="158"/>
      <c r="P27" s="158"/>
      <c r="Q27" s="158"/>
      <c r="R27" s="158"/>
      <c r="S27" s="159"/>
      <c r="T27" s="111"/>
      <c r="U27" s="111"/>
      <c r="V27" s="191"/>
      <c r="W27" s="192"/>
      <c r="X27" s="193"/>
      <c r="Y27" s="111"/>
      <c r="Z27" s="111"/>
    </row>
    <row r="28" spans="1:26" ht="18" customHeight="1" x14ac:dyDescent="0.15">
      <c r="A28" s="14"/>
      <c r="B28" s="200"/>
      <c r="C28" s="201"/>
      <c r="D28" s="201"/>
      <c r="E28" s="201"/>
      <c r="F28" s="202"/>
      <c r="G28" s="112"/>
      <c r="H28" s="112"/>
      <c r="I28" s="194"/>
      <c r="J28" s="195"/>
      <c r="K28" s="196"/>
      <c r="L28" s="112"/>
      <c r="M28" s="112"/>
      <c r="N28" s="166"/>
      <c r="O28" s="167"/>
      <c r="P28" s="167"/>
      <c r="Q28" s="167"/>
      <c r="R28" s="167"/>
      <c r="S28" s="168"/>
      <c r="T28" s="112"/>
      <c r="U28" s="112"/>
      <c r="V28" s="194"/>
      <c r="W28" s="195"/>
      <c r="X28" s="196"/>
      <c r="Y28" s="112"/>
      <c r="Z28" s="112"/>
    </row>
    <row r="29" spans="1:26" ht="18" customHeight="1" x14ac:dyDescent="0.15">
      <c r="A29" s="14"/>
      <c r="B29" s="200"/>
      <c r="C29" s="201"/>
      <c r="D29" s="201"/>
      <c r="E29" s="201"/>
      <c r="F29" s="202"/>
      <c r="G29" s="112"/>
      <c r="H29" s="112"/>
      <c r="I29" s="194"/>
      <c r="J29" s="195"/>
      <c r="K29" s="196"/>
      <c r="L29" s="112"/>
      <c r="M29" s="112"/>
      <c r="N29" s="166"/>
      <c r="O29" s="167"/>
      <c r="P29" s="167"/>
      <c r="Q29" s="167"/>
      <c r="R29" s="167"/>
      <c r="S29" s="168"/>
      <c r="T29" s="112"/>
      <c r="U29" s="112"/>
      <c r="V29" s="194"/>
      <c r="W29" s="195"/>
      <c r="X29" s="196"/>
      <c r="Y29" s="112"/>
      <c r="Z29" s="112"/>
    </row>
    <row r="30" spans="1:26" ht="18" customHeight="1" x14ac:dyDescent="0.15">
      <c r="A30" s="14"/>
      <c r="B30" s="200"/>
      <c r="C30" s="201"/>
      <c r="D30" s="201"/>
      <c r="E30" s="201"/>
      <c r="F30" s="202"/>
      <c r="G30" s="112"/>
      <c r="H30" s="112"/>
      <c r="I30" s="194"/>
      <c r="J30" s="195"/>
      <c r="K30" s="196"/>
      <c r="L30" s="112"/>
      <c r="M30" s="112"/>
      <c r="N30" s="166"/>
      <c r="O30" s="167"/>
      <c r="P30" s="167"/>
      <c r="Q30" s="167"/>
      <c r="R30" s="167"/>
      <c r="S30" s="168"/>
      <c r="T30" s="112"/>
      <c r="U30" s="112"/>
      <c r="V30" s="194"/>
      <c r="W30" s="195"/>
      <c r="X30" s="196"/>
      <c r="Y30" s="112"/>
      <c r="Z30" s="112"/>
    </row>
    <row r="31" spans="1:26" ht="18" customHeight="1" x14ac:dyDescent="0.15">
      <c r="A31" s="14"/>
      <c r="B31" s="200"/>
      <c r="C31" s="201"/>
      <c r="D31" s="201"/>
      <c r="E31" s="201"/>
      <c r="F31" s="202"/>
      <c r="G31" s="112"/>
      <c r="H31" s="112"/>
      <c r="I31" s="194"/>
      <c r="J31" s="195"/>
      <c r="K31" s="196"/>
      <c r="L31" s="112"/>
      <c r="M31" s="112"/>
      <c r="N31" s="166"/>
      <c r="O31" s="167"/>
      <c r="P31" s="167"/>
      <c r="Q31" s="167"/>
      <c r="R31" s="167"/>
      <c r="S31" s="168"/>
      <c r="T31" s="112"/>
      <c r="U31" s="112"/>
      <c r="V31" s="194"/>
      <c r="W31" s="195"/>
      <c r="X31" s="196"/>
      <c r="Y31" s="112"/>
      <c r="Z31" s="112"/>
    </row>
    <row r="32" spans="1:26" ht="18" customHeight="1" x14ac:dyDescent="0.15">
      <c r="A32" s="14"/>
      <c r="B32" s="200"/>
      <c r="C32" s="201"/>
      <c r="D32" s="201"/>
      <c r="E32" s="201"/>
      <c r="F32" s="202"/>
      <c r="G32" s="112"/>
      <c r="H32" s="112"/>
      <c r="I32" s="194"/>
      <c r="J32" s="195"/>
      <c r="K32" s="196"/>
      <c r="L32" s="112"/>
      <c r="M32" s="112"/>
      <c r="N32" s="166"/>
      <c r="O32" s="167"/>
      <c r="P32" s="167"/>
      <c r="Q32" s="167"/>
      <c r="R32" s="167"/>
      <c r="S32" s="168"/>
      <c r="T32" s="112"/>
      <c r="U32" s="112"/>
      <c r="V32" s="194"/>
      <c r="W32" s="195"/>
      <c r="X32" s="196"/>
      <c r="Y32" s="112"/>
      <c r="Z32" s="112"/>
    </row>
    <row r="33" spans="1:26" ht="18" customHeight="1" x14ac:dyDescent="0.15">
      <c r="A33" s="14"/>
      <c r="B33" s="207"/>
      <c r="C33" s="208"/>
      <c r="D33" s="208"/>
      <c r="E33" s="208"/>
      <c r="F33" s="209"/>
      <c r="G33" s="113"/>
      <c r="H33" s="113"/>
      <c r="I33" s="203"/>
      <c r="J33" s="204"/>
      <c r="K33" s="205"/>
      <c r="L33" s="119"/>
      <c r="M33" s="119"/>
      <c r="N33" s="233"/>
      <c r="O33" s="234"/>
      <c r="P33" s="234"/>
      <c r="Q33" s="234"/>
      <c r="R33" s="234"/>
      <c r="S33" s="235"/>
      <c r="T33" s="113"/>
      <c r="U33" s="113"/>
      <c r="V33" s="203"/>
      <c r="W33" s="204"/>
      <c r="X33" s="205"/>
      <c r="Y33" s="119"/>
      <c r="Z33" s="119"/>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6" t="s">
        <v>134</v>
      </c>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spans="1:26" ht="18" customHeight="1" x14ac:dyDescent="0.15">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spans="1:26" ht="18" customHeight="1" x14ac:dyDescent="0.15">
      <c r="A37" s="14"/>
      <c r="B37" s="150" t="s">
        <v>104</v>
      </c>
      <c r="C37" s="151"/>
      <c r="D37" s="151"/>
      <c r="E37" s="151"/>
      <c r="F37" s="152"/>
      <c r="G37" s="30" t="s">
        <v>146</v>
      </c>
      <c r="H37" s="110" t="s">
        <v>145</v>
      </c>
      <c r="I37" s="150" t="s">
        <v>105</v>
      </c>
      <c r="J37" s="151"/>
      <c r="K37" s="152"/>
      <c r="L37" s="75" t="s">
        <v>135</v>
      </c>
      <c r="M37" s="75" t="s">
        <v>136</v>
      </c>
      <c r="N37" s="150" t="s">
        <v>104</v>
      </c>
      <c r="O37" s="151"/>
      <c r="P37" s="151"/>
      <c r="Q37" s="151"/>
      <c r="R37" s="151"/>
      <c r="S37" s="152"/>
      <c r="T37" s="30" t="s">
        <v>146</v>
      </c>
      <c r="U37" s="110" t="s">
        <v>145</v>
      </c>
      <c r="V37" s="150" t="s">
        <v>105</v>
      </c>
      <c r="W37" s="151"/>
      <c r="X37" s="152"/>
      <c r="Y37" s="75" t="s">
        <v>135</v>
      </c>
      <c r="Z37" s="75" t="s">
        <v>136</v>
      </c>
    </row>
    <row r="38" spans="1:26" ht="18" customHeight="1" x14ac:dyDescent="0.15">
      <c r="A38" s="29"/>
      <c r="B38" s="197" t="s">
        <v>159</v>
      </c>
      <c r="C38" s="198"/>
      <c r="D38" s="198"/>
      <c r="E38" s="198"/>
      <c r="F38" s="199"/>
      <c r="G38" s="111">
        <v>1</v>
      </c>
      <c r="H38" s="111" t="s">
        <v>156</v>
      </c>
      <c r="I38" s="191" t="s">
        <v>157</v>
      </c>
      <c r="J38" s="192"/>
      <c r="K38" s="193"/>
      <c r="L38" s="111" t="s">
        <v>156</v>
      </c>
      <c r="M38" s="111" t="s">
        <v>156</v>
      </c>
      <c r="N38" s="157"/>
      <c r="O38" s="158"/>
      <c r="P38" s="158"/>
      <c r="Q38" s="158"/>
      <c r="R38" s="158"/>
      <c r="S38" s="159"/>
      <c r="T38" s="111"/>
      <c r="U38" s="111"/>
      <c r="V38" s="191"/>
      <c r="W38" s="192"/>
      <c r="X38" s="193"/>
      <c r="Y38" s="111"/>
      <c r="Z38" s="111"/>
    </row>
    <row r="39" spans="1:26" ht="18" customHeight="1" x14ac:dyDescent="0.15">
      <c r="A39" s="29"/>
      <c r="B39" s="200"/>
      <c r="C39" s="201"/>
      <c r="D39" s="201"/>
      <c r="E39" s="201"/>
      <c r="F39" s="202"/>
      <c r="G39" s="112"/>
      <c r="H39" s="112"/>
      <c r="I39" s="194"/>
      <c r="J39" s="195"/>
      <c r="K39" s="196"/>
      <c r="L39" s="112"/>
      <c r="M39" s="112"/>
      <c r="N39" s="166"/>
      <c r="O39" s="167"/>
      <c r="P39" s="167"/>
      <c r="Q39" s="167"/>
      <c r="R39" s="167"/>
      <c r="S39" s="168"/>
      <c r="T39" s="112"/>
      <c r="U39" s="112"/>
      <c r="V39" s="194"/>
      <c r="W39" s="195"/>
      <c r="X39" s="196"/>
      <c r="Y39" s="112"/>
      <c r="Z39" s="112"/>
    </row>
    <row r="40" spans="1:26" ht="18" customHeight="1" x14ac:dyDescent="0.15">
      <c r="A40" s="29"/>
      <c r="B40" s="200"/>
      <c r="C40" s="201"/>
      <c r="D40" s="201"/>
      <c r="E40" s="201"/>
      <c r="F40" s="202"/>
      <c r="G40" s="112"/>
      <c r="H40" s="112"/>
      <c r="I40" s="194"/>
      <c r="J40" s="195"/>
      <c r="K40" s="196"/>
      <c r="L40" s="112"/>
      <c r="M40" s="112"/>
      <c r="N40" s="166"/>
      <c r="O40" s="167"/>
      <c r="P40" s="167"/>
      <c r="Q40" s="167"/>
      <c r="R40" s="167"/>
      <c r="S40" s="168"/>
      <c r="T40" s="112"/>
      <c r="U40" s="112"/>
      <c r="V40" s="194"/>
      <c r="W40" s="195"/>
      <c r="X40" s="196"/>
      <c r="Y40" s="112"/>
      <c r="Z40" s="112"/>
    </row>
    <row r="41" spans="1:26" ht="18" customHeight="1" x14ac:dyDescent="0.15">
      <c r="A41" s="29"/>
      <c r="B41" s="200"/>
      <c r="C41" s="201"/>
      <c r="D41" s="201"/>
      <c r="E41" s="201"/>
      <c r="F41" s="202"/>
      <c r="G41" s="112"/>
      <c r="H41" s="112"/>
      <c r="I41" s="194"/>
      <c r="J41" s="195"/>
      <c r="K41" s="196"/>
      <c r="L41" s="112"/>
      <c r="M41" s="112"/>
      <c r="N41" s="166"/>
      <c r="O41" s="167"/>
      <c r="P41" s="167"/>
      <c r="Q41" s="167"/>
      <c r="R41" s="167"/>
      <c r="S41" s="168"/>
      <c r="T41" s="112"/>
      <c r="U41" s="112"/>
      <c r="V41" s="194"/>
      <c r="W41" s="195"/>
      <c r="X41" s="196"/>
      <c r="Y41" s="112"/>
      <c r="Z41" s="112"/>
    </row>
    <row r="42" spans="1:26" ht="18" customHeight="1" x14ac:dyDescent="0.15">
      <c r="A42" s="29"/>
      <c r="B42" s="200"/>
      <c r="C42" s="201"/>
      <c r="D42" s="201"/>
      <c r="E42" s="201"/>
      <c r="F42" s="202"/>
      <c r="G42" s="112"/>
      <c r="H42" s="112"/>
      <c r="I42" s="194"/>
      <c r="J42" s="195"/>
      <c r="K42" s="196"/>
      <c r="L42" s="112"/>
      <c r="M42" s="112"/>
      <c r="N42" s="166"/>
      <c r="O42" s="167"/>
      <c r="P42" s="167"/>
      <c r="Q42" s="167"/>
      <c r="R42" s="167"/>
      <c r="S42" s="168"/>
      <c r="T42" s="112"/>
      <c r="U42" s="112"/>
      <c r="V42" s="194"/>
      <c r="W42" s="195"/>
      <c r="X42" s="196"/>
      <c r="Y42" s="112"/>
      <c r="Z42" s="112"/>
    </row>
    <row r="43" spans="1:26" ht="18" customHeight="1" x14ac:dyDescent="0.15">
      <c r="A43" s="29"/>
      <c r="B43" s="200"/>
      <c r="C43" s="201"/>
      <c r="D43" s="201"/>
      <c r="E43" s="201"/>
      <c r="F43" s="202"/>
      <c r="G43" s="112"/>
      <c r="H43" s="112"/>
      <c r="I43" s="194"/>
      <c r="J43" s="195"/>
      <c r="K43" s="196"/>
      <c r="L43" s="112"/>
      <c r="M43" s="112"/>
      <c r="N43" s="166"/>
      <c r="O43" s="167"/>
      <c r="P43" s="167"/>
      <c r="Q43" s="167"/>
      <c r="R43" s="167"/>
      <c r="S43" s="168"/>
      <c r="T43" s="112"/>
      <c r="U43" s="112"/>
      <c r="V43" s="194"/>
      <c r="W43" s="195"/>
      <c r="X43" s="196"/>
      <c r="Y43" s="112"/>
      <c r="Z43" s="112"/>
    </row>
    <row r="44" spans="1:26" ht="18" customHeight="1" x14ac:dyDescent="0.15">
      <c r="A44" s="29"/>
      <c r="B44" s="207"/>
      <c r="C44" s="208"/>
      <c r="D44" s="208"/>
      <c r="E44" s="208"/>
      <c r="F44" s="209"/>
      <c r="G44" s="113"/>
      <c r="H44" s="113"/>
      <c r="I44" s="203"/>
      <c r="J44" s="204"/>
      <c r="K44" s="205"/>
      <c r="L44" s="119"/>
      <c r="M44" s="119"/>
      <c r="N44" s="233"/>
      <c r="O44" s="234"/>
      <c r="P44" s="234"/>
      <c r="Q44" s="234"/>
      <c r="R44" s="234"/>
      <c r="S44" s="235"/>
      <c r="T44" s="113"/>
      <c r="U44" s="113"/>
      <c r="V44" s="203"/>
      <c r="W44" s="204"/>
      <c r="X44" s="205"/>
      <c r="Y44" s="119"/>
      <c r="Z44" s="119"/>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6" t="s">
        <v>137</v>
      </c>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spans="1:26" ht="18" customHeight="1" x14ac:dyDescent="0.15">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spans="1:26" ht="18" customHeight="1" x14ac:dyDescent="0.15">
      <c r="A48" s="14"/>
      <c r="B48" s="150" t="s">
        <v>104</v>
      </c>
      <c r="C48" s="151"/>
      <c r="D48" s="151"/>
      <c r="E48" s="151"/>
      <c r="F48" s="152"/>
      <c r="G48" s="30" t="s">
        <v>146</v>
      </c>
      <c r="H48" s="110" t="s">
        <v>145</v>
      </c>
      <c r="I48" s="150" t="s">
        <v>105</v>
      </c>
      <c r="J48" s="151"/>
      <c r="K48" s="152"/>
      <c r="L48" s="75" t="s">
        <v>110</v>
      </c>
      <c r="M48" s="75" t="s">
        <v>112</v>
      </c>
      <c r="N48" s="150" t="s">
        <v>104</v>
      </c>
      <c r="O48" s="151"/>
      <c r="P48" s="151"/>
      <c r="Q48" s="151"/>
      <c r="R48" s="151"/>
      <c r="S48" s="152"/>
      <c r="T48" s="30" t="s">
        <v>146</v>
      </c>
      <c r="U48" s="110" t="s">
        <v>145</v>
      </c>
      <c r="V48" s="150" t="s">
        <v>105</v>
      </c>
      <c r="W48" s="151"/>
      <c r="X48" s="152"/>
      <c r="Y48" s="75" t="s">
        <v>110</v>
      </c>
      <c r="Z48" s="75" t="s">
        <v>112</v>
      </c>
    </row>
    <row r="49" spans="1:26" ht="18" customHeight="1" x14ac:dyDescent="0.15">
      <c r="A49" s="29"/>
      <c r="B49" s="197" t="s">
        <v>155</v>
      </c>
      <c r="C49" s="198"/>
      <c r="D49" s="198"/>
      <c r="E49" s="198"/>
      <c r="F49" s="199"/>
      <c r="G49" s="111">
        <v>1</v>
      </c>
      <c r="H49" s="111" t="s">
        <v>156</v>
      </c>
      <c r="I49" s="191" t="s">
        <v>157</v>
      </c>
      <c r="J49" s="192"/>
      <c r="K49" s="193"/>
      <c r="L49" s="111" t="s">
        <v>156</v>
      </c>
      <c r="M49" s="111" t="s">
        <v>156</v>
      </c>
      <c r="N49" s="157"/>
      <c r="O49" s="158"/>
      <c r="P49" s="158"/>
      <c r="Q49" s="158"/>
      <c r="R49" s="158"/>
      <c r="S49" s="159"/>
      <c r="T49" s="111"/>
      <c r="U49" s="111"/>
      <c r="V49" s="191"/>
      <c r="W49" s="192"/>
      <c r="X49" s="193"/>
      <c r="Y49" s="111"/>
      <c r="Z49" s="111"/>
    </row>
    <row r="50" spans="1:26" ht="18" customHeight="1" x14ac:dyDescent="0.15">
      <c r="A50" s="29"/>
      <c r="B50" s="200" t="s">
        <v>160</v>
      </c>
      <c r="C50" s="201"/>
      <c r="D50" s="201"/>
      <c r="E50" s="201"/>
      <c r="F50" s="202"/>
      <c r="G50" s="112">
        <v>1</v>
      </c>
      <c r="H50" s="112"/>
      <c r="I50" s="194" t="s">
        <v>157</v>
      </c>
      <c r="J50" s="195"/>
      <c r="K50" s="196"/>
      <c r="L50" s="112" t="s">
        <v>156</v>
      </c>
      <c r="M50" s="112" t="s">
        <v>156</v>
      </c>
      <c r="N50" s="166"/>
      <c r="O50" s="167"/>
      <c r="P50" s="167"/>
      <c r="Q50" s="167"/>
      <c r="R50" s="167"/>
      <c r="S50" s="168"/>
      <c r="T50" s="112"/>
      <c r="U50" s="112"/>
      <c r="V50" s="194"/>
      <c r="W50" s="195"/>
      <c r="X50" s="196"/>
      <c r="Y50" s="112"/>
      <c r="Z50" s="112"/>
    </row>
    <row r="51" spans="1:26" ht="18" customHeight="1" x14ac:dyDescent="0.15">
      <c r="A51" s="29"/>
      <c r="B51" s="200"/>
      <c r="C51" s="201"/>
      <c r="D51" s="201"/>
      <c r="E51" s="201"/>
      <c r="F51" s="202"/>
      <c r="G51" s="112"/>
      <c r="H51" s="112"/>
      <c r="I51" s="194"/>
      <c r="J51" s="195"/>
      <c r="K51" s="196"/>
      <c r="L51" s="112"/>
      <c r="M51" s="112"/>
      <c r="N51" s="166"/>
      <c r="O51" s="167"/>
      <c r="P51" s="167"/>
      <c r="Q51" s="167"/>
      <c r="R51" s="167"/>
      <c r="S51" s="168"/>
      <c r="T51" s="112"/>
      <c r="U51" s="112"/>
      <c r="V51" s="194"/>
      <c r="W51" s="195"/>
      <c r="X51" s="196"/>
      <c r="Y51" s="112"/>
      <c r="Z51" s="112"/>
    </row>
    <row r="52" spans="1:26" ht="18" customHeight="1" x14ac:dyDescent="0.15">
      <c r="A52" s="29"/>
      <c r="B52" s="200"/>
      <c r="C52" s="201"/>
      <c r="D52" s="201"/>
      <c r="E52" s="201"/>
      <c r="F52" s="202"/>
      <c r="G52" s="112"/>
      <c r="H52" s="112"/>
      <c r="I52" s="194"/>
      <c r="J52" s="195"/>
      <c r="K52" s="196"/>
      <c r="L52" s="112"/>
      <c r="M52" s="112"/>
      <c r="N52" s="166"/>
      <c r="O52" s="167"/>
      <c r="P52" s="167"/>
      <c r="Q52" s="167"/>
      <c r="R52" s="167"/>
      <c r="S52" s="168"/>
      <c r="T52" s="112"/>
      <c r="U52" s="112"/>
      <c r="V52" s="194"/>
      <c r="W52" s="195"/>
      <c r="X52" s="196"/>
      <c r="Y52" s="112"/>
      <c r="Z52" s="112"/>
    </row>
    <row r="53" spans="1:26" ht="18" customHeight="1" x14ac:dyDescent="0.15">
      <c r="A53" s="29"/>
      <c r="B53" s="200"/>
      <c r="C53" s="201"/>
      <c r="D53" s="201"/>
      <c r="E53" s="201"/>
      <c r="F53" s="202"/>
      <c r="G53" s="112"/>
      <c r="H53" s="112"/>
      <c r="I53" s="194"/>
      <c r="J53" s="195"/>
      <c r="K53" s="196"/>
      <c r="L53" s="112"/>
      <c r="M53" s="112"/>
      <c r="N53" s="166"/>
      <c r="O53" s="167"/>
      <c r="P53" s="167"/>
      <c r="Q53" s="167"/>
      <c r="R53" s="167"/>
      <c r="S53" s="168"/>
      <c r="T53" s="112"/>
      <c r="U53" s="112"/>
      <c r="V53" s="194"/>
      <c r="W53" s="195"/>
      <c r="X53" s="196"/>
      <c r="Y53" s="112"/>
      <c r="Z53" s="112"/>
    </row>
    <row r="54" spans="1:26" ht="18" customHeight="1" x14ac:dyDescent="0.15">
      <c r="A54" s="29"/>
      <c r="B54" s="200"/>
      <c r="C54" s="201"/>
      <c r="D54" s="201"/>
      <c r="E54" s="201"/>
      <c r="F54" s="202"/>
      <c r="G54" s="112"/>
      <c r="H54" s="112"/>
      <c r="I54" s="194"/>
      <c r="J54" s="195"/>
      <c r="K54" s="196"/>
      <c r="L54" s="112"/>
      <c r="M54" s="112"/>
      <c r="N54" s="166"/>
      <c r="O54" s="167"/>
      <c r="P54" s="167"/>
      <c r="Q54" s="167"/>
      <c r="R54" s="167"/>
      <c r="S54" s="168"/>
      <c r="T54" s="112"/>
      <c r="U54" s="112"/>
      <c r="V54" s="194"/>
      <c r="W54" s="195"/>
      <c r="X54" s="196"/>
      <c r="Y54" s="112"/>
      <c r="Z54" s="112"/>
    </row>
    <row r="55" spans="1:26" ht="18" customHeight="1" x14ac:dyDescent="0.15">
      <c r="A55" s="29"/>
      <c r="B55" s="207"/>
      <c r="C55" s="208"/>
      <c r="D55" s="208"/>
      <c r="E55" s="208"/>
      <c r="F55" s="209"/>
      <c r="G55" s="113"/>
      <c r="H55" s="113"/>
      <c r="I55" s="203"/>
      <c r="J55" s="204"/>
      <c r="K55" s="205"/>
      <c r="L55" s="119"/>
      <c r="M55" s="119"/>
      <c r="N55" s="233"/>
      <c r="O55" s="234"/>
      <c r="P55" s="234"/>
      <c r="Q55" s="234"/>
      <c r="R55" s="234"/>
      <c r="S55" s="235"/>
      <c r="T55" s="113"/>
      <c r="U55" s="113"/>
      <c r="V55" s="203"/>
      <c r="W55" s="204"/>
      <c r="X55" s="205"/>
      <c r="Y55" s="119"/>
      <c r="Z55" s="119"/>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6" t="s">
        <v>138</v>
      </c>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spans="1:26" ht="18" customHeight="1" x14ac:dyDescent="0.15">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spans="1:26" ht="18" customHeight="1" x14ac:dyDescent="0.15">
      <c r="A59" s="14"/>
      <c r="B59" s="150" t="s">
        <v>104</v>
      </c>
      <c r="C59" s="151"/>
      <c r="D59" s="151"/>
      <c r="E59" s="152"/>
      <c r="F59" s="30" t="s">
        <v>146</v>
      </c>
      <c r="G59" s="110" t="s">
        <v>145</v>
      </c>
      <c r="H59" s="105" t="s">
        <v>105</v>
      </c>
      <c r="I59" s="106"/>
      <c r="J59" s="107"/>
      <c r="K59" s="75" t="s">
        <v>109</v>
      </c>
      <c r="L59" s="75" t="s">
        <v>139</v>
      </c>
      <c r="M59" s="75" t="s">
        <v>140</v>
      </c>
      <c r="N59" s="150" t="s">
        <v>104</v>
      </c>
      <c r="O59" s="151"/>
      <c r="P59" s="151"/>
      <c r="Q59" s="151"/>
      <c r="R59" s="152"/>
      <c r="S59" s="30" t="s">
        <v>146</v>
      </c>
      <c r="T59" s="110" t="s">
        <v>145</v>
      </c>
      <c r="U59" s="105" t="s">
        <v>105</v>
      </c>
      <c r="V59" s="106"/>
      <c r="W59" s="107"/>
      <c r="X59" s="75" t="s">
        <v>109</v>
      </c>
      <c r="Y59" s="75" t="s">
        <v>139</v>
      </c>
      <c r="Z59" s="75" t="s">
        <v>140</v>
      </c>
    </row>
    <row r="60" spans="1:26" ht="18" customHeight="1" x14ac:dyDescent="0.15">
      <c r="A60" s="29"/>
      <c r="B60" s="157" t="s">
        <v>161</v>
      </c>
      <c r="C60" s="158"/>
      <c r="D60" s="158"/>
      <c r="E60" s="159"/>
      <c r="F60" s="111">
        <v>1</v>
      </c>
      <c r="G60" s="111" t="s">
        <v>156</v>
      </c>
      <c r="H60" s="191" t="s">
        <v>157</v>
      </c>
      <c r="I60" s="192"/>
      <c r="J60" s="193"/>
      <c r="K60" s="118" t="s">
        <v>163</v>
      </c>
      <c r="L60" s="111" t="s">
        <v>156</v>
      </c>
      <c r="M60" s="111" t="s">
        <v>156</v>
      </c>
      <c r="N60" s="157"/>
      <c r="O60" s="158"/>
      <c r="P60" s="158"/>
      <c r="Q60" s="158"/>
      <c r="R60" s="159"/>
      <c r="S60" s="111"/>
      <c r="T60" s="111"/>
      <c r="U60" s="191"/>
      <c r="V60" s="192"/>
      <c r="W60" s="193"/>
      <c r="X60" s="118"/>
      <c r="Y60" s="111"/>
      <c r="Z60" s="111"/>
    </row>
    <row r="61" spans="1:26" ht="18" customHeight="1" x14ac:dyDescent="0.15">
      <c r="A61" s="29"/>
      <c r="B61" s="166" t="s">
        <v>162</v>
      </c>
      <c r="C61" s="167"/>
      <c r="D61" s="167"/>
      <c r="E61" s="168"/>
      <c r="F61" s="112">
        <v>1</v>
      </c>
      <c r="G61" s="112" t="s">
        <v>156</v>
      </c>
      <c r="H61" s="194" t="s">
        <v>157</v>
      </c>
      <c r="I61" s="195"/>
      <c r="J61" s="196"/>
      <c r="K61" s="116" t="s">
        <v>164</v>
      </c>
      <c r="L61" s="112"/>
      <c r="M61" s="112" t="s">
        <v>156</v>
      </c>
      <c r="N61" s="166"/>
      <c r="O61" s="167"/>
      <c r="P61" s="167"/>
      <c r="Q61" s="167"/>
      <c r="R61" s="168"/>
      <c r="S61" s="112"/>
      <c r="T61" s="112"/>
      <c r="U61" s="194"/>
      <c r="V61" s="195"/>
      <c r="W61" s="196"/>
      <c r="X61" s="116"/>
      <c r="Y61" s="112"/>
      <c r="Z61" s="112"/>
    </row>
    <row r="62" spans="1:26" ht="18" customHeight="1" x14ac:dyDescent="0.15">
      <c r="A62" s="29"/>
      <c r="B62" s="166"/>
      <c r="C62" s="167"/>
      <c r="D62" s="167"/>
      <c r="E62" s="168"/>
      <c r="F62" s="112"/>
      <c r="G62" s="112"/>
      <c r="H62" s="194"/>
      <c r="I62" s="195"/>
      <c r="J62" s="196"/>
      <c r="K62" s="116"/>
      <c r="L62" s="112"/>
      <c r="M62" s="112"/>
      <c r="N62" s="166"/>
      <c r="O62" s="167"/>
      <c r="P62" s="167"/>
      <c r="Q62" s="167"/>
      <c r="R62" s="168"/>
      <c r="S62" s="112"/>
      <c r="T62" s="112"/>
      <c r="U62" s="194"/>
      <c r="V62" s="195"/>
      <c r="W62" s="196"/>
      <c r="X62" s="116"/>
      <c r="Y62" s="112"/>
      <c r="Z62" s="112"/>
    </row>
    <row r="63" spans="1:26" ht="18" customHeight="1" x14ac:dyDescent="0.15">
      <c r="A63" s="29"/>
      <c r="B63" s="166"/>
      <c r="C63" s="167"/>
      <c r="D63" s="167"/>
      <c r="E63" s="168"/>
      <c r="F63" s="112"/>
      <c r="G63" s="112"/>
      <c r="H63" s="194"/>
      <c r="I63" s="195"/>
      <c r="J63" s="196"/>
      <c r="K63" s="116"/>
      <c r="L63" s="112"/>
      <c r="M63" s="112"/>
      <c r="N63" s="166"/>
      <c r="O63" s="167"/>
      <c r="P63" s="167"/>
      <c r="Q63" s="167"/>
      <c r="R63" s="168"/>
      <c r="S63" s="112"/>
      <c r="T63" s="112"/>
      <c r="U63" s="194"/>
      <c r="V63" s="195"/>
      <c r="W63" s="196"/>
      <c r="X63" s="116"/>
      <c r="Y63" s="112"/>
      <c r="Z63" s="112"/>
    </row>
    <row r="64" spans="1:26" ht="18" customHeight="1" x14ac:dyDescent="0.15">
      <c r="A64" s="29"/>
      <c r="B64" s="166"/>
      <c r="C64" s="167"/>
      <c r="D64" s="167"/>
      <c r="E64" s="168"/>
      <c r="F64" s="112"/>
      <c r="G64" s="112"/>
      <c r="H64" s="194"/>
      <c r="I64" s="195"/>
      <c r="J64" s="196"/>
      <c r="K64" s="116"/>
      <c r="L64" s="112"/>
      <c r="M64" s="112"/>
      <c r="N64" s="166"/>
      <c r="O64" s="167"/>
      <c r="P64" s="167"/>
      <c r="Q64" s="167"/>
      <c r="R64" s="168"/>
      <c r="S64" s="112"/>
      <c r="T64" s="112"/>
      <c r="U64" s="194"/>
      <c r="V64" s="195"/>
      <c r="W64" s="196"/>
      <c r="X64" s="116"/>
      <c r="Y64" s="112"/>
      <c r="Z64" s="112"/>
    </row>
    <row r="65" spans="1:26" ht="18" customHeight="1" x14ac:dyDescent="0.15">
      <c r="A65" s="29"/>
      <c r="B65" s="166"/>
      <c r="C65" s="167"/>
      <c r="D65" s="167"/>
      <c r="E65" s="168"/>
      <c r="F65" s="112"/>
      <c r="G65" s="112"/>
      <c r="H65" s="194"/>
      <c r="I65" s="195"/>
      <c r="J65" s="196"/>
      <c r="K65" s="116"/>
      <c r="L65" s="112"/>
      <c r="M65" s="112"/>
      <c r="N65" s="166"/>
      <c r="O65" s="167"/>
      <c r="P65" s="167"/>
      <c r="Q65" s="167"/>
      <c r="R65" s="168"/>
      <c r="S65" s="112"/>
      <c r="T65" s="112"/>
      <c r="U65" s="194"/>
      <c r="V65" s="195"/>
      <c r="W65" s="196"/>
      <c r="X65" s="116"/>
      <c r="Y65" s="112"/>
      <c r="Z65" s="112"/>
    </row>
    <row r="66" spans="1:26" ht="18" customHeight="1" x14ac:dyDescent="0.15">
      <c r="A66" s="29"/>
      <c r="B66" s="233"/>
      <c r="C66" s="234"/>
      <c r="D66" s="234"/>
      <c r="E66" s="235"/>
      <c r="F66" s="113"/>
      <c r="G66" s="113"/>
      <c r="H66" s="203"/>
      <c r="I66" s="204"/>
      <c r="J66" s="205"/>
      <c r="K66" s="117"/>
      <c r="L66" s="119"/>
      <c r="M66" s="119"/>
      <c r="N66" s="233"/>
      <c r="O66" s="234"/>
      <c r="P66" s="234"/>
      <c r="Q66" s="234"/>
      <c r="R66" s="235"/>
      <c r="S66" s="113"/>
      <c r="T66" s="113"/>
      <c r="U66" s="203"/>
      <c r="V66" s="204"/>
      <c r="W66" s="205"/>
      <c r="X66" s="117"/>
      <c r="Y66" s="119"/>
      <c r="Z66" s="119"/>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0" t="s">
        <v>104</v>
      </c>
      <c r="C69" s="151"/>
      <c r="D69" s="151"/>
      <c r="E69" s="151"/>
      <c r="F69" s="152"/>
      <c r="G69" s="150" t="s">
        <v>151</v>
      </c>
      <c r="H69" s="151"/>
      <c r="I69" s="151"/>
      <c r="J69" s="151"/>
      <c r="K69" s="151"/>
      <c r="L69" s="151"/>
      <c r="M69" s="152"/>
      <c r="N69" s="239" t="s">
        <v>104</v>
      </c>
      <c r="O69" s="240"/>
      <c r="P69" s="240"/>
      <c r="Q69" s="240"/>
      <c r="R69" s="240"/>
      <c r="S69" s="241"/>
      <c r="T69" s="150" t="s">
        <v>151</v>
      </c>
      <c r="U69" s="151"/>
      <c r="V69" s="151"/>
      <c r="W69" s="151"/>
      <c r="X69" s="151"/>
      <c r="Y69" s="151"/>
      <c r="Z69" s="152"/>
    </row>
    <row r="70" spans="1:26" ht="18" customHeight="1" x14ac:dyDescent="0.15">
      <c r="A70" s="29"/>
      <c r="B70" s="157" t="s">
        <v>190</v>
      </c>
      <c r="C70" s="158"/>
      <c r="D70" s="158"/>
      <c r="E70" s="158"/>
      <c r="F70" s="159"/>
      <c r="G70" s="160" t="s">
        <v>165</v>
      </c>
      <c r="H70" s="161"/>
      <c r="I70" s="161"/>
      <c r="J70" s="161"/>
      <c r="K70" s="161"/>
      <c r="L70" s="161"/>
      <c r="M70" s="162"/>
      <c r="N70" s="157"/>
      <c r="O70" s="158"/>
      <c r="P70" s="158"/>
      <c r="Q70" s="158"/>
      <c r="R70" s="158"/>
      <c r="S70" s="159"/>
      <c r="T70" s="160"/>
      <c r="U70" s="161"/>
      <c r="V70" s="161"/>
      <c r="W70" s="161"/>
      <c r="X70" s="161"/>
      <c r="Y70" s="161"/>
      <c r="Z70" s="162"/>
    </row>
    <row r="71" spans="1:26" ht="18" customHeight="1" x14ac:dyDescent="0.15">
      <c r="A71" s="29"/>
      <c r="B71" s="166" t="s">
        <v>191</v>
      </c>
      <c r="C71" s="167"/>
      <c r="D71" s="167"/>
      <c r="E71" s="167"/>
      <c r="F71" s="168"/>
      <c r="G71" s="169" t="s">
        <v>165</v>
      </c>
      <c r="H71" s="170"/>
      <c r="I71" s="170"/>
      <c r="J71" s="170"/>
      <c r="K71" s="170"/>
      <c r="L71" s="170"/>
      <c r="M71" s="171"/>
      <c r="N71" s="166"/>
      <c r="O71" s="167"/>
      <c r="P71" s="167"/>
      <c r="Q71" s="167"/>
      <c r="R71" s="167"/>
      <c r="S71" s="168"/>
      <c r="T71" s="169"/>
      <c r="U71" s="170"/>
      <c r="V71" s="170"/>
      <c r="W71" s="170"/>
      <c r="X71" s="170"/>
      <c r="Y71" s="170"/>
      <c r="Z71" s="171"/>
    </row>
    <row r="72" spans="1:26" ht="18" customHeight="1" x14ac:dyDescent="0.15">
      <c r="A72" s="29"/>
      <c r="B72" s="166"/>
      <c r="C72" s="167"/>
      <c r="D72" s="167"/>
      <c r="E72" s="167"/>
      <c r="F72" s="168"/>
      <c r="G72" s="169"/>
      <c r="H72" s="170"/>
      <c r="I72" s="170"/>
      <c r="J72" s="170"/>
      <c r="K72" s="170"/>
      <c r="L72" s="170"/>
      <c r="M72" s="171"/>
      <c r="N72" s="166"/>
      <c r="O72" s="167"/>
      <c r="P72" s="167"/>
      <c r="Q72" s="167"/>
      <c r="R72" s="167"/>
      <c r="S72" s="168"/>
      <c r="T72" s="169"/>
      <c r="U72" s="170"/>
      <c r="V72" s="170"/>
      <c r="W72" s="170"/>
      <c r="X72" s="170"/>
      <c r="Y72" s="170"/>
      <c r="Z72" s="171"/>
    </row>
    <row r="73" spans="1:26" ht="18" customHeight="1" x14ac:dyDescent="0.15">
      <c r="A73" s="29"/>
      <c r="B73" s="166"/>
      <c r="C73" s="167"/>
      <c r="D73" s="167"/>
      <c r="E73" s="167"/>
      <c r="F73" s="168"/>
      <c r="G73" s="169"/>
      <c r="H73" s="170"/>
      <c r="I73" s="170"/>
      <c r="J73" s="170"/>
      <c r="K73" s="170"/>
      <c r="L73" s="170"/>
      <c r="M73" s="171"/>
      <c r="N73" s="166"/>
      <c r="O73" s="167"/>
      <c r="P73" s="167"/>
      <c r="Q73" s="167"/>
      <c r="R73" s="167"/>
      <c r="S73" s="168"/>
      <c r="T73" s="169"/>
      <c r="U73" s="170"/>
      <c r="V73" s="170"/>
      <c r="W73" s="170"/>
      <c r="X73" s="170"/>
      <c r="Y73" s="170"/>
      <c r="Z73" s="171"/>
    </row>
    <row r="74" spans="1:26" ht="18" customHeight="1" x14ac:dyDescent="0.15">
      <c r="A74" s="29"/>
      <c r="B74" s="230"/>
      <c r="C74" s="167"/>
      <c r="D74" s="167"/>
      <c r="E74" s="167"/>
      <c r="F74" s="168"/>
      <c r="G74" s="169"/>
      <c r="H74" s="170"/>
      <c r="I74" s="170"/>
      <c r="J74" s="170"/>
      <c r="K74" s="170"/>
      <c r="L74" s="170"/>
      <c r="M74" s="171"/>
      <c r="N74" s="166"/>
      <c r="O74" s="167"/>
      <c r="P74" s="167"/>
      <c r="Q74" s="167"/>
      <c r="R74" s="167"/>
      <c r="S74" s="168"/>
      <c r="T74" s="169"/>
      <c r="U74" s="170"/>
      <c r="V74" s="170"/>
      <c r="W74" s="170"/>
      <c r="X74" s="170"/>
      <c r="Y74" s="170"/>
      <c r="Z74" s="171"/>
    </row>
    <row r="75" spans="1:26" ht="18" customHeight="1" x14ac:dyDescent="0.15">
      <c r="A75" s="29"/>
      <c r="B75" s="230"/>
      <c r="C75" s="231"/>
      <c r="D75" s="231"/>
      <c r="E75" s="231"/>
      <c r="F75" s="232"/>
      <c r="G75" s="169"/>
      <c r="H75" s="170"/>
      <c r="I75" s="170"/>
      <c r="J75" s="170"/>
      <c r="K75" s="170"/>
      <c r="L75" s="170"/>
      <c r="M75" s="171"/>
      <c r="N75" s="166"/>
      <c r="O75" s="167"/>
      <c r="P75" s="167"/>
      <c r="Q75" s="167"/>
      <c r="R75" s="167"/>
      <c r="S75" s="168"/>
      <c r="T75" s="169"/>
      <c r="U75" s="170"/>
      <c r="V75" s="170"/>
      <c r="W75" s="170"/>
      <c r="X75" s="170"/>
      <c r="Y75" s="170"/>
      <c r="Z75" s="171"/>
    </row>
    <row r="76" spans="1:26" ht="18" customHeight="1" x14ac:dyDescent="0.15">
      <c r="A76" s="29"/>
      <c r="B76" s="233"/>
      <c r="C76" s="234"/>
      <c r="D76" s="234"/>
      <c r="E76" s="234"/>
      <c r="F76" s="235"/>
      <c r="G76" s="236"/>
      <c r="H76" s="237"/>
      <c r="I76" s="237"/>
      <c r="J76" s="237"/>
      <c r="K76" s="237"/>
      <c r="L76" s="237"/>
      <c r="M76" s="238"/>
      <c r="N76" s="233"/>
      <c r="O76" s="234"/>
      <c r="P76" s="234"/>
      <c r="Q76" s="234"/>
      <c r="R76" s="234"/>
      <c r="S76" s="235"/>
      <c r="T76" s="236"/>
      <c r="U76" s="237"/>
      <c r="V76" s="237"/>
      <c r="W76" s="237"/>
      <c r="X76" s="237"/>
      <c r="Y76" s="237"/>
      <c r="Z76" s="238"/>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147</v>
      </c>
    </row>
    <row r="79" spans="1:26" ht="18.75" customHeight="1" x14ac:dyDescent="0.15">
      <c r="B79" s="78" t="s">
        <v>106</v>
      </c>
      <c r="C79" s="79"/>
      <c r="D79" s="189" t="s">
        <v>107</v>
      </c>
      <c r="E79" s="189"/>
      <c r="F79" s="189"/>
      <c r="G79" s="189"/>
      <c r="H79" s="189"/>
      <c r="I79" s="189"/>
      <c r="J79" s="189"/>
      <c r="K79" s="189"/>
      <c r="L79" s="189"/>
      <c r="M79" s="189"/>
      <c r="N79" s="189"/>
      <c r="O79" s="189"/>
      <c r="P79" s="189"/>
      <c r="Q79" s="189"/>
      <c r="R79" s="189"/>
      <c r="S79" s="189"/>
      <c r="T79" s="189"/>
      <c r="U79" s="189"/>
      <c r="V79" s="189"/>
      <c r="W79" s="189"/>
      <c r="X79" s="189"/>
      <c r="Y79" s="189"/>
      <c r="Z79" s="190"/>
    </row>
    <row r="80" spans="1:26" ht="78" customHeight="1" x14ac:dyDescent="0.15">
      <c r="B80" s="174" t="s">
        <v>113</v>
      </c>
      <c r="C80" s="85" t="s">
        <v>108</v>
      </c>
      <c r="D80" s="183" t="s">
        <v>192</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78" customHeight="1" x14ac:dyDescent="0.15">
      <c r="B81" s="175"/>
      <c r="C81" s="108" t="s">
        <v>142</v>
      </c>
      <c r="D81" s="221" t="s">
        <v>193</v>
      </c>
      <c r="E81" s="222"/>
      <c r="F81" s="222"/>
      <c r="G81" s="222"/>
      <c r="H81" s="222"/>
      <c r="I81" s="222"/>
      <c r="J81" s="222"/>
      <c r="K81" s="222"/>
      <c r="L81" s="222"/>
      <c r="M81" s="222"/>
      <c r="N81" s="222"/>
      <c r="O81" s="222"/>
      <c r="P81" s="222"/>
      <c r="Q81" s="222"/>
      <c r="R81" s="222"/>
      <c r="S81" s="222"/>
      <c r="T81" s="222"/>
      <c r="U81" s="222"/>
      <c r="V81" s="222"/>
      <c r="W81" s="222"/>
      <c r="X81" s="222"/>
      <c r="Y81" s="222"/>
      <c r="Z81" s="223"/>
    </row>
    <row r="82" spans="1:26" ht="78" customHeight="1" x14ac:dyDescent="0.15">
      <c r="B82" s="172" t="s">
        <v>114</v>
      </c>
      <c r="C82" s="80" t="s">
        <v>132</v>
      </c>
      <c r="D82" s="224" t="s">
        <v>194</v>
      </c>
      <c r="E82" s="225"/>
      <c r="F82" s="225"/>
      <c r="G82" s="225"/>
      <c r="H82" s="225"/>
      <c r="I82" s="225"/>
      <c r="J82" s="225"/>
      <c r="K82" s="225"/>
      <c r="L82" s="225"/>
      <c r="M82" s="225"/>
      <c r="N82" s="225"/>
      <c r="O82" s="225"/>
      <c r="P82" s="225"/>
      <c r="Q82" s="225"/>
      <c r="R82" s="225"/>
      <c r="S82" s="225"/>
      <c r="T82" s="225"/>
      <c r="U82" s="225"/>
      <c r="V82" s="225"/>
      <c r="W82" s="225"/>
      <c r="X82" s="225"/>
      <c r="Y82" s="225"/>
      <c r="Z82" s="226"/>
    </row>
    <row r="83" spans="1:26" ht="78" customHeight="1" x14ac:dyDescent="0.15">
      <c r="B83" s="173"/>
      <c r="C83" s="109" t="s">
        <v>133</v>
      </c>
      <c r="D83" s="227" t="s">
        <v>195</v>
      </c>
      <c r="E83" s="228"/>
      <c r="F83" s="228"/>
      <c r="G83" s="228"/>
      <c r="H83" s="228"/>
      <c r="I83" s="228"/>
      <c r="J83" s="228"/>
      <c r="K83" s="228"/>
      <c r="L83" s="228"/>
      <c r="M83" s="228"/>
      <c r="N83" s="228"/>
      <c r="O83" s="228"/>
      <c r="P83" s="228"/>
      <c r="Q83" s="228"/>
      <c r="R83" s="228"/>
      <c r="S83" s="228"/>
      <c r="T83" s="228"/>
      <c r="U83" s="228"/>
      <c r="V83" s="228"/>
      <c r="W83" s="228"/>
      <c r="X83" s="228"/>
      <c r="Y83" s="228"/>
      <c r="Z83" s="229"/>
    </row>
    <row r="84" spans="1:26" ht="66" customHeight="1" x14ac:dyDescent="0.15">
      <c r="B84" s="172" t="s">
        <v>115</v>
      </c>
      <c r="C84" s="80" t="s">
        <v>135</v>
      </c>
      <c r="D84" s="224" t="s">
        <v>196</v>
      </c>
      <c r="E84" s="225"/>
      <c r="F84" s="225"/>
      <c r="G84" s="225"/>
      <c r="H84" s="225"/>
      <c r="I84" s="225"/>
      <c r="J84" s="225"/>
      <c r="K84" s="225"/>
      <c r="L84" s="225"/>
      <c r="M84" s="225"/>
      <c r="N84" s="225"/>
      <c r="O84" s="225"/>
      <c r="P84" s="225"/>
      <c r="Q84" s="225"/>
      <c r="R84" s="225"/>
      <c r="S84" s="225"/>
      <c r="T84" s="225"/>
      <c r="U84" s="225"/>
      <c r="V84" s="225"/>
      <c r="W84" s="225"/>
      <c r="X84" s="225"/>
      <c r="Y84" s="225"/>
      <c r="Z84" s="226"/>
    </row>
    <row r="85" spans="1:26" ht="66" customHeight="1" x14ac:dyDescent="0.15">
      <c r="B85" s="173"/>
      <c r="C85" s="82" t="s">
        <v>136</v>
      </c>
      <c r="D85" s="224" t="s">
        <v>197</v>
      </c>
      <c r="E85" s="225"/>
      <c r="F85" s="225"/>
      <c r="G85" s="225"/>
      <c r="H85" s="225"/>
      <c r="I85" s="225"/>
      <c r="J85" s="225"/>
      <c r="K85" s="225"/>
      <c r="L85" s="225"/>
      <c r="M85" s="225"/>
      <c r="N85" s="225"/>
      <c r="O85" s="225"/>
      <c r="P85" s="225"/>
      <c r="Q85" s="225"/>
      <c r="R85" s="225"/>
      <c r="S85" s="225"/>
      <c r="T85" s="225"/>
      <c r="U85" s="225"/>
      <c r="V85" s="225"/>
      <c r="W85" s="225"/>
      <c r="X85" s="225"/>
      <c r="Y85" s="225"/>
      <c r="Z85" s="226"/>
    </row>
    <row r="86" spans="1:26" ht="66" customHeight="1" x14ac:dyDescent="0.15">
      <c r="B86" s="174" t="s">
        <v>143</v>
      </c>
      <c r="C86" s="85" t="s">
        <v>110</v>
      </c>
      <c r="D86" s="183" t="s">
        <v>218</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66" customHeight="1" x14ac:dyDescent="0.15">
      <c r="B87" s="182"/>
      <c r="C87" s="81" t="s">
        <v>112</v>
      </c>
      <c r="D87" s="186" t="s">
        <v>198</v>
      </c>
      <c r="E87" s="187"/>
      <c r="F87" s="187"/>
      <c r="G87" s="187"/>
      <c r="H87" s="187"/>
      <c r="I87" s="187"/>
      <c r="J87" s="187"/>
      <c r="K87" s="187"/>
      <c r="L87" s="187"/>
      <c r="M87" s="187"/>
      <c r="N87" s="187"/>
      <c r="O87" s="187"/>
      <c r="P87" s="187"/>
      <c r="Q87" s="187"/>
      <c r="R87" s="187"/>
      <c r="S87" s="187"/>
      <c r="T87" s="187"/>
      <c r="U87" s="187"/>
      <c r="V87" s="187"/>
      <c r="W87" s="187"/>
      <c r="X87" s="187"/>
      <c r="Y87" s="187"/>
      <c r="Z87" s="188"/>
    </row>
    <row r="88" spans="1:26" ht="66" customHeight="1" x14ac:dyDescent="0.15">
      <c r="B88" s="174" t="s">
        <v>144</v>
      </c>
      <c r="C88" s="80" t="s">
        <v>109</v>
      </c>
      <c r="D88" s="176" t="s">
        <v>199</v>
      </c>
      <c r="E88" s="177"/>
      <c r="F88" s="177"/>
      <c r="G88" s="177"/>
      <c r="H88" s="177"/>
      <c r="I88" s="177"/>
      <c r="J88" s="177"/>
      <c r="K88" s="177"/>
      <c r="L88" s="177"/>
      <c r="M88" s="177"/>
      <c r="N88" s="177"/>
      <c r="O88" s="177"/>
      <c r="P88" s="177"/>
      <c r="Q88" s="177"/>
      <c r="R88" s="177"/>
      <c r="S88" s="177"/>
      <c r="T88" s="177"/>
      <c r="U88" s="177"/>
      <c r="V88" s="177"/>
      <c r="W88" s="177"/>
      <c r="X88" s="177"/>
      <c r="Y88" s="177"/>
      <c r="Z88" s="178"/>
    </row>
    <row r="89" spans="1:26" ht="66" customHeight="1" x14ac:dyDescent="0.15">
      <c r="B89" s="175"/>
      <c r="C89" s="81" t="s">
        <v>139</v>
      </c>
      <c r="D89" s="163" t="s">
        <v>200</v>
      </c>
      <c r="E89" s="164"/>
      <c r="F89" s="164"/>
      <c r="G89" s="164"/>
      <c r="H89" s="164"/>
      <c r="I89" s="164"/>
      <c r="J89" s="164"/>
      <c r="K89" s="164"/>
      <c r="L89" s="164"/>
      <c r="M89" s="164"/>
      <c r="N89" s="164"/>
      <c r="O89" s="164"/>
      <c r="P89" s="164"/>
      <c r="Q89" s="164"/>
      <c r="R89" s="164"/>
      <c r="S89" s="164"/>
      <c r="T89" s="164"/>
      <c r="U89" s="164"/>
      <c r="V89" s="164"/>
      <c r="W89" s="164"/>
      <c r="X89" s="164"/>
      <c r="Y89" s="164"/>
      <c r="Z89" s="165"/>
    </row>
    <row r="90" spans="1:26" ht="66" customHeight="1" x14ac:dyDescent="0.15">
      <c r="B90" s="173"/>
      <c r="C90" s="82" t="s">
        <v>140</v>
      </c>
      <c r="D90" s="179" t="s">
        <v>201</v>
      </c>
      <c r="E90" s="180"/>
      <c r="F90" s="180"/>
      <c r="G90" s="180"/>
      <c r="H90" s="180"/>
      <c r="I90" s="180"/>
      <c r="J90" s="180"/>
      <c r="K90" s="180"/>
      <c r="L90" s="180"/>
      <c r="M90" s="180"/>
      <c r="N90" s="180"/>
      <c r="O90" s="180"/>
      <c r="P90" s="180"/>
      <c r="Q90" s="180"/>
      <c r="R90" s="180"/>
      <c r="S90" s="180"/>
      <c r="T90" s="180"/>
      <c r="U90" s="180"/>
      <c r="V90" s="180"/>
      <c r="W90" s="180"/>
      <c r="X90" s="180"/>
      <c r="Y90" s="180"/>
      <c r="Z90" s="181"/>
    </row>
    <row r="91" spans="1:26" ht="6" customHeight="1" x14ac:dyDescent="0.15"/>
    <row r="92" spans="1:26" ht="18.75" customHeight="1" x14ac:dyDescent="0.15">
      <c r="A92" s="13" t="s">
        <v>148</v>
      </c>
    </row>
    <row r="93" spans="1:26" ht="18.75" customHeight="1" x14ac:dyDescent="0.15">
      <c r="B93" s="242" t="s">
        <v>202</v>
      </c>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ht="18.75" customHeight="1" x14ac:dyDescent="0.15">
      <c r="B94" s="245"/>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spans="1:26" ht="18.75" customHeight="1" x14ac:dyDescent="0.15">
      <c r="B95" s="248"/>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50"/>
    </row>
    <row r="96" spans="1:26" ht="6" customHeight="1" x14ac:dyDescent="0.15"/>
    <row r="97" spans="1:26" ht="15" customHeight="1" x14ac:dyDescent="0.15">
      <c r="A97" s="13" t="s">
        <v>149</v>
      </c>
    </row>
    <row r="98" spans="1:26" ht="15" customHeight="1" x14ac:dyDescent="0.15">
      <c r="B98" s="251" t="s">
        <v>166</v>
      </c>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252"/>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4" t="s">
        <v>65</v>
      </c>
      <c r="G1" s="254"/>
      <c r="H1" s="254"/>
      <c r="I1" s="254"/>
      <c r="J1" s="254"/>
      <c r="K1" s="254"/>
      <c r="L1" s="254"/>
      <c r="M1" s="254"/>
      <c r="N1" s="254"/>
      <c r="O1" s="254"/>
      <c r="P1" s="254"/>
      <c r="Q1" s="254"/>
      <c r="R1" s="254"/>
    </row>
    <row r="2" spans="1:20" ht="18" customHeight="1" x14ac:dyDescent="0.15">
      <c r="A2" s="255" t="s">
        <v>93</v>
      </c>
      <c r="B2" s="255"/>
      <c r="C2" s="255"/>
      <c r="D2" s="255"/>
      <c r="E2" s="255"/>
      <c r="F2" s="255"/>
      <c r="G2" s="255"/>
      <c r="H2" s="255"/>
      <c r="I2" s="255"/>
      <c r="J2" s="255"/>
      <c r="K2" s="255"/>
      <c r="L2" s="255"/>
      <c r="M2" s="255"/>
      <c r="N2" s="255"/>
      <c r="O2" s="255"/>
      <c r="P2" s="255"/>
      <c r="Q2" s="255"/>
      <c r="R2" s="255"/>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152</v>
      </c>
      <c r="B4" s="4"/>
      <c r="C4" s="256" t="str">
        <f>'様式１　大学等概要'!E12</f>
        <v>令和３</v>
      </c>
      <c r="D4" s="257"/>
      <c r="E4" s="38" t="s">
        <v>118</v>
      </c>
      <c r="F4" s="38"/>
      <c r="G4" s="38"/>
      <c r="H4" s="38"/>
      <c r="I4" s="38"/>
      <c r="J4" s="86"/>
      <c r="K4" s="38"/>
      <c r="L4" s="38"/>
      <c r="M4" s="114"/>
      <c r="N4" s="114"/>
      <c r="O4" s="114"/>
      <c r="P4" s="114"/>
      <c r="Q4" s="114"/>
      <c r="R4" s="114"/>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150</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8" t="s">
        <v>83</v>
      </c>
      <c r="C8" s="260" t="s">
        <v>88</v>
      </c>
      <c r="D8" s="262" t="s">
        <v>70</v>
      </c>
      <c r="E8" s="264" t="s">
        <v>94</v>
      </c>
      <c r="F8" s="264"/>
      <c r="G8" s="264" t="s">
        <v>95</v>
      </c>
      <c r="H8" s="264"/>
      <c r="I8" s="264" t="s">
        <v>96</v>
      </c>
      <c r="J8" s="264"/>
      <c r="K8" s="265" t="s">
        <v>97</v>
      </c>
      <c r="L8" s="266"/>
      <c r="M8" s="265" t="s">
        <v>98</v>
      </c>
      <c r="N8" s="266"/>
      <c r="O8" s="265" t="s">
        <v>99</v>
      </c>
      <c r="P8" s="266"/>
      <c r="Q8" s="267" t="s">
        <v>64</v>
      </c>
      <c r="R8" s="269" t="s">
        <v>58</v>
      </c>
      <c r="T8" s="34"/>
    </row>
    <row r="9" spans="1:20" ht="18" customHeight="1" x14ac:dyDescent="0.15">
      <c r="A9" s="4"/>
      <c r="B9" s="259"/>
      <c r="C9" s="261"/>
      <c r="D9" s="263"/>
      <c r="E9" s="43" t="s">
        <v>46</v>
      </c>
      <c r="F9" s="44" t="s">
        <v>45</v>
      </c>
      <c r="G9" s="45" t="s">
        <v>46</v>
      </c>
      <c r="H9" s="46" t="s">
        <v>45</v>
      </c>
      <c r="I9" s="43" t="s">
        <v>46</v>
      </c>
      <c r="J9" s="44" t="s">
        <v>45</v>
      </c>
      <c r="K9" s="45" t="s">
        <v>46</v>
      </c>
      <c r="L9" s="46" t="s">
        <v>45</v>
      </c>
      <c r="M9" s="43" t="s">
        <v>46</v>
      </c>
      <c r="N9" s="44" t="s">
        <v>45</v>
      </c>
      <c r="O9" s="45" t="s">
        <v>46</v>
      </c>
      <c r="P9" s="46" t="s">
        <v>45</v>
      </c>
      <c r="Q9" s="268"/>
      <c r="R9" s="270"/>
      <c r="T9" s="34"/>
    </row>
    <row r="10" spans="1:20" ht="18" customHeight="1" x14ac:dyDescent="0.15">
      <c r="A10" s="47"/>
      <c r="B10" s="87" t="s">
        <v>219</v>
      </c>
      <c r="C10" s="47">
        <v>190</v>
      </c>
      <c r="D10" s="48">
        <v>770</v>
      </c>
      <c r="E10" s="49">
        <v>195</v>
      </c>
      <c r="F10" s="50">
        <v>0</v>
      </c>
      <c r="G10" s="51">
        <v>0</v>
      </c>
      <c r="H10" s="52">
        <v>0</v>
      </c>
      <c r="I10" s="49">
        <v>0</v>
      </c>
      <c r="J10" s="50">
        <v>0</v>
      </c>
      <c r="K10" s="51">
        <v>0</v>
      </c>
      <c r="L10" s="52">
        <v>0</v>
      </c>
      <c r="M10" s="49">
        <v>0</v>
      </c>
      <c r="N10" s="50">
        <v>0</v>
      </c>
      <c r="O10" s="51">
        <v>0</v>
      </c>
      <c r="P10" s="52">
        <v>0</v>
      </c>
      <c r="Q10" s="53">
        <f>E10+G10+I10+K10+M10+O10</f>
        <v>195</v>
      </c>
      <c r="R10" s="54">
        <f>Q10/D10</f>
        <v>0.25324675324675322</v>
      </c>
    </row>
    <row r="11" spans="1:20" ht="18" customHeight="1" x14ac:dyDescent="0.15">
      <c r="A11" s="47"/>
      <c r="B11" s="88" t="s">
        <v>220</v>
      </c>
      <c r="C11" s="63">
        <v>220</v>
      </c>
      <c r="D11" s="56">
        <v>890</v>
      </c>
      <c r="E11" s="57">
        <v>216</v>
      </c>
      <c r="F11" s="58">
        <v>0</v>
      </c>
      <c r="G11" s="59">
        <v>0</v>
      </c>
      <c r="H11" s="60">
        <v>0</v>
      </c>
      <c r="I11" s="59">
        <v>0</v>
      </c>
      <c r="J11" s="60">
        <v>0</v>
      </c>
      <c r="K11" s="59">
        <v>0</v>
      </c>
      <c r="L11" s="60">
        <v>0</v>
      </c>
      <c r="M11" s="59">
        <v>0</v>
      </c>
      <c r="N11" s="60">
        <v>0</v>
      </c>
      <c r="O11" s="59">
        <v>0</v>
      </c>
      <c r="P11" s="60">
        <v>0</v>
      </c>
      <c r="Q11" s="61">
        <f t="shared" ref="Q11:Q29" si="0">E11+G11+I11+K11+M11+O11</f>
        <v>216</v>
      </c>
      <c r="R11" s="62">
        <f t="shared" ref="R11:R29" si="1">Q11/D11</f>
        <v>0.24269662921348314</v>
      </c>
    </row>
    <row r="12" spans="1:20" ht="18" customHeight="1" x14ac:dyDescent="0.15">
      <c r="A12" s="47"/>
      <c r="B12" s="88"/>
      <c r="C12" s="63"/>
      <c r="D12" s="56"/>
      <c r="E12" s="57"/>
      <c r="F12" s="58"/>
      <c r="G12" s="59"/>
      <c r="H12" s="60"/>
      <c r="I12" s="57"/>
      <c r="J12" s="58"/>
      <c r="K12" s="59"/>
      <c r="L12" s="60"/>
      <c r="M12" s="57"/>
      <c r="N12" s="58"/>
      <c r="O12" s="59"/>
      <c r="P12" s="60"/>
      <c r="Q12" s="61">
        <f t="shared" si="0"/>
        <v>0</v>
      </c>
      <c r="R12" s="62" t="e">
        <f t="shared" si="1"/>
        <v>#DIV/0!</v>
      </c>
    </row>
    <row r="13" spans="1:20" ht="18" customHeight="1" x14ac:dyDescent="0.15">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410</v>
      </c>
      <c r="D30" s="65">
        <f t="shared" si="2"/>
        <v>1660</v>
      </c>
      <c r="E30" s="66">
        <f t="shared" si="2"/>
        <v>411</v>
      </c>
      <c r="F30" s="67">
        <f t="shared" si="2"/>
        <v>0</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411</v>
      </c>
      <c r="R30" s="71">
        <f>Q30/D30</f>
        <v>0.24759036144578314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119</v>
      </c>
      <c r="J1" s="41" t="s">
        <v>120</v>
      </c>
    </row>
    <row r="2" spans="1:11" ht="18.75" customHeight="1" x14ac:dyDescent="0.15">
      <c r="A2" s="255" t="s">
        <v>66</v>
      </c>
      <c r="B2" s="255"/>
      <c r="C2" s="255"/>
      <c r="D2" s="255"/>
      <c r="E2" s="255"/>
      <c r="F2" s="255"/>
      <c r="G2" s="255"/>
      <c r="H2" s="255"/>
      <c r="I2" s="255"/>
      <c r="J2" s="255"/>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135" t="s">
        <v>180</v>
      </c>
      <c r="C5" s="136"/>
      <c r="D5" s="136"/>
      <c r="E5" s="136"/>
      <c r="F5" s="136"/>
      <c r="G5" s="136"/>
      <c r="H5" s="136"/>
      <c r="I5" s="136"/>
      <c r="J5" s="252"/>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3"/>
      <c r="B8" s="280" t="s">
        <v>181</v>
      </c>
      <c r="C8" s="281"/>
      <c r="D8" s="281"/>
      <c r="E8" s="281"/>
      <c r="F8" s="281"/>
      <c r="G8" s="281"/>
      <c r="H8" s="281"/>
      <c r="I8" s="282"/>
      <c r="J8" s="283"/>
      <c r="K8" s="31" t="str">
        <f>IF(B8="","入力してください","")</f>
        <v/>
      </c>
    </row>
    <row r="9" spans="1:11" s="4" customFormat="1" ht="18.75" customHeight="1" x14ac:dyDescent="0.15">
      <c r="A9" s="93"/>
      <c r="B9" s="284"/>
      <c r="C9" s="285"/>
      <c r="D9" s="285"/>
      <c r="E9" s="285"/>
      <c r="F9" s="285"/>
      <c r="G9" s="285"/>
      <c r="H9" s="285"/>
      <c r="I9" s="285"/>
      <c r="J9" s="286"/>
      <c r="K9" s="31"/>
    </row>
    <row r="10" spans="1:11" s="4" customFormat="1" ht="18.75" customHeight="1" x14ac:dyDescent="0.15">
      <c r="A10" s="93"/>
      <c r="B10" s="284"/>
      <c r="C10" s="285"/>
      <c r="D10" s="285"/>
      <c r="E10" s="285"/>
      <c r="F10" s="285"/>
      <c r="G10" s="285"/>
      <c r="H10" s="285"/>
      <c r="I10" s="285"/>
      <c r="J10" s="286"/>
      <c r="K10" s="31"/>
    </row>
    <row r="11" spans="1:11" s="4" customFormat="1" ht="18.75" customHeight="1" x14ac:dyDescent="0.15">
      <c r="A11" s="93"/>
      <c r="B11" s="284"/>
      <c r="C11" s="285"/>
      <c r="D11" s="285"/>
      <c r="E11" s="285"/>
      <c r="F11" s="285"/>
      <c r="G11" s="285"/>
      <c r="H11" s="285"/>
      <c r="I11" s="285"/>
      <c r="J11" s="286"/>
      <c r="K11" s="31"/>
    </row>
    <row r="12" spans="1:11" s="4" customFormat="1" ht="18.75" customHeight="1" x14ac:dyDescent="0.15">
      <c r="A12" s="93"/>
      <c r="B12" s="287"/>
      <c r="C12" s="288"/>
      <c r="D12" s="288"/>
      <c r="E12" s="288"/>
      <c r="F12" s="288"/>
      <c r="G12" s="288"/>
      <c r="H12" s="288"/>
      <c r="I12" s="288"/>
      <c r="J12" s="289"/>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18.75" customHeight="1" x14ac:dyDescent="0.15">
      <c r="A15" s="93"/>
      <c r="B15" s="280" t="s">
        <v>210</v>
      </c>
      <c r="C15" s="281"/>
      <c r="D15" s="281"/>
      <c r="E15" s="281"/>
      <c r="F15" s="281"/>
      <c r="G15" s="281"/>
      <c r="H15" s="281"/>
      <c r="I15" s="282"/>
      <c r="J15" s="283"/>
      <c r="K15" s="31" t="str">
        <f>IF(B15="","入力してください","")</f>
        <v/>
      </c>
    </row>
    <row r="16" spans="1:11" s="4" customFormat="1" ht="18.75" customHeight="1" x14ac:dyDescent="0.15">
      <c r="A16" s="93"/>
      <c r="B16" s="284"/>
      <c r="C16" s="285"/>
      <c r="D16" s="285"/>
      <c r="E16" s="285"/>
      <c r="F16" s="285"/>
      <c r="G16" s="285"/>
      <c r="H16" s="285"/>
      <c r="I16" s="285"/>
      <c r="J16" s="286"/>
      <c r="K16" s="31"/>
    </row>
    <row r="17" spans="1:11" s="4" customFormat="1" ht="18.75" customHeight="1" x14ac:dyDescent="0.15">
      <c r="A17" s="93"/>
      <c r="B17" s="284"/>
      <c r="C17" s="285"/>
      <c r="D17" s="285"/>
      <c r="E17" s="285"/>
      <c r="F17" s="285"/>
      <c r="G17" s="285"/>
      <c r="H17" s="285"/>
      <c r="I17" s="285"/>
      <c r="J17" s="286"/>
      <c r="K17" s="31"/>
    </row>
    <row r="18" spans="1:11" s="4" customFormat="1" ht="18.75" customHeight="1" x14ac:dyDescent="0.15">
      <c r="A18" s="93"/>
      <c r="B18" s="284"/>
      <c r="C18" s="285"/>
      <c r="D18" s="285"/>
      <c r="E18" s="285"/>
      <c r="F18" s="285"/>
      <c r="G18" s="285"/>
      <c r="H18" s="285"/>
      <c r="I18" s="285"/>
      <c r="J18" s="286"/>
      <c r="K18" s="31"/>
    </row>
    <row r="19" spans="1:11" s="4" customFormat="1" ht="18.75" customHeight="1" x14ac:dyDescent="0.15">
      <c r="A19" s="93"/>
      <c r="B19" s="284"/>
      <c r="C19" s="285"/>
      <c r="D19" s="285"/>
      <c r="E19" s="285"/>
      <c r="F19" s="285"/>
      <c r="G19" s="285"/>
      <c r="H19" s="285"/>
      <c r="I19" s="285"/>
      <c r="J19" s="286"/>
      <c r="K19" s="31"/>
    </row>
    <row r="20" spans="1:11" s="4" customFormat="1" ht="18.75" customHeight="1" x14ac:dyDescent="0.15">
      <c r="A20" s="93"/>
      <c r="B20" s="284"/>
      <c r="C20" s="285"/>
      <c r="D20" s="285"/>
      <c r="E20" s="285"/>
      <c r="F20" s="285"/>
      <c r="G20" s="285"/>
      <c r="H20" s="285"/>
      <c r="I20" s="285"/>
      <c r="J20" s="286"/>
      <c r="K20" s="31"/>
    </row>
    <row r="21" spans="1:11" s="4" customFormat="1" ht="18.75" customHeight="1" x14ac:dyDescent="0.15">
      <c r="A21" s="93"/>
      <c r="B21" s="284"/>
      <c r="C21" s="285"/>
      <c r="D21" s="285"/>
      <c r="E21" s="285"/>
      <c r="F21" s="285"/>
      <c r="G21" s="285"/>
      <c r="H21" s="285"/>
      <c r="I21" s="285"/>
      <c r="J21" s="286"/>
      <c r="K21" s="31"/>
    </row>
    <row r="22" spans="1:11" s="4" customFormat="1" ht="18.75" customHeight="1" x14ac:dyDescent="0.15">
      <c r="A22" s="93"/>
      <c r="B22" s="284"/>
      <c r="C22" s="285"/>
      <c r="D22" s="285"/>
      <c r="E22" s="285"/>
      <c r="F22" s="285"/>
      <c r="G22" s="285"/>
      <c r="H22" s="285"/>
      <c r="I22" s="285"/>
      <c r="J22" s="286"/>
      <c r="K22" s="31"/>
    </row>
    <row r="23" spans="1:11" s="4" customFormat="1" ht="18.75" customHeight="1" x14ac:dyDescent="0.15">
      <c r="A23" s="93"/>
      <c r="B23" s="284"/>
      <c r="C23" s="285"/>
      <c r="D23" s="285"/>
      <c r="E23" s="285"/>
      <c r="F23" s="285"/>
      <c r="G23" s="285"/>
      <c r="H23" s="285"/>
      <c r="I23" s="285"/>
      <c r="J23" s="286"/>
      <c r="K23" s="31"/>
    </row>
    <row r="24" spans="1:11" s="4" customFormat="1" ht="18.75" customHeight="1" x14ac:dyDescent="0.15">
      <c r="A24" s="93"/>
      <c r="B24" s="284"/>
      <c r="C24" s="285"/>
      <c r="D24" s="285"/>
      <c r="E24" s="285"/>
      <c r="F24" s="285"/>
      <c r="G24" s="285"/>
      <c r="H24" s="285"/>
      <c r="I24" s="285"/>
      <c r="J24" s="286"/>
      <c r="K24" s="31"/>
    </row>
    <row r="25" spans="1:11" s="4" customFormat="1" ht="18.75" customHeight="1" x14ac:dyDescent="0.15">
      <c r="A25" s="93"/>
      <c r="B25" s="287"/>
      <c r="C25" s="288"/>
      <c r="D25" s="288"/>
      <c r="E25" s="288"/>
      <c r="F25" s="288"/>
      <c r="G25" s="288"/>
      <c r="H25" s="288"/>
      <c r="I25" s="288"/>
      <c r="J25" s="289"/>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5" t="s">
        <v>121</v>
      </c>
      <c r="C28" s="96">
        <f>'様式３　履修者等数の実績'!R30</f>
        <v>0.24759036144578314</v>
      </c>
      <c r="D28" s="97"/>
      <c r="E28" s="97" t="s">
        <v>122</v>
      </c>
      <c r="F28" s="120">
        <v>0.5</v>
      </c>
      <c r="G28" s="97"/>
      <c r="H28" s="97" t="s">
        <v>123</v>
      </c>
      <c r="I28" s="121">
        <v>0.75</v>
      </c>
      <c r="J28" s="98"/>
      <c r="K28" s="31"/>
    </row>
    <row r="29" spans="1:11" s="29" customFormat="1" ht="18.75" customHeight="1" x14ac:dyDescent="0.15">
      <c r="B29" s="83" t="s">
        <v>124</v>
      </c>
      <c r="C29" s="122">
        <v>1</v>
      </c>
      <c r="D29" s="84"/>
      <c r="E29" s="84" t="s">
        <v>125</v>
      </c>
      <c r="F29" s="122">
        <v>1</v>
      </c>
      <c r="G29" s="84"/>
      <c r="H29" s="84" t="s">
        <v>126</v>
      </c>
      <c r="I29" s="99">
        <f>'様式３　履修者等数の実績'!D30</f>
        <v>1660</v>
      </c>
      <c r="J29" s="100"/>
      <c r="K29" s="35"/>
    </row>
    <row r="30" spans="1:11" s="4" customFormat="1" ht="18.75" customHeight="1" x14ac:dyDescent="0.15">
      <c r="A30" s="1"/>
      <c r="B30" s="169" t="s">
        <v>127</v>
      </c>
      <c r="C30" s="170"/>
      <c r="D30" s="170"/>
      <c r="E30" s="170"/>
      <c r="F30" s="170"/>
      <c r="G30" s="170"/>
      <c r="H30" s="170"/>
      <c r="I30" s="170"/>
      <c r="J30" s="171"/>
      <c r="K30" s="35"/>
    </row>
    <row r="31" spans="1:11" s="4" customFormat="1" ht="18.75" customHeight="1" x14ac:dyDescent="0.15">
      <c r="A31" s="1"/>
      <c r="B31" s="271" t="s">
        <v>211</v>
      </c>
      <c r="C31" s="272"/>
      <c r="D31" s="272"/>
      <c r="E31" s="272"/>
      <c r="F31" s="272"/>
      <c r="G31" s="272"/>
      <c r="H31" s="272"/>
      <c r="I31" s="272"/>
      <c r="J31" s="273"/>
      <c r="K31" s="35" t="str">
        <f>IF(B31="","入力してください","")</f>
        <v/>
      </c>
    </row>
    <row r="32" spans="1:11" s="4" customFormat="1" ht="18.75" customHeight="1" x14ac:dyDescent="0.15">
      <c r="A32" s="1"/>
      <c r="B32" s="274"/>
      <c r="C32" s="275"/>
      <c r="D32" s="275"/>
      <c r="E32" s="275"/>
      <c r="F32" s="275"/>
      <c r="G32" s="275"/>
      <c r="H32" s="275"/>
      <c r="I32" s="275"/>
      <c r="J32" s="276"/>
      <c r="K32" s="35"/>
    </row>
    <row r="33" spans="1:11" s="4" customFormat="1" ht="18.75" customHeight="1" x14ac:dyDescent="0.15">
      <c r="A33" s="1"/>
      <c r="B33" s="274"/>
      <c r="C33" s="275"/>
      <c r="D33" s="275"/>
      <c r="E33" s="275"/>
      <c r="F33" s="275"/>
      <c r="G33" s="275"/>
      <c r="H33" s="275"/>
      <c r="I33" s="275"/>
      <c r="J33" s="276"/>
      <c r="K33" s="35"/>
    </row>
    <row r="34" spans="1:11" s="4" customFormat="1" ht="18.75" customHeight="1" x14ac:dyDescent="0.15">
      <c r="A34" s="1"/>
      <c r="B34" s="274"/>
      <c r="C34" s="275"/>
      <c r="D34" s="275"/>
      <c r="E34" s="275"/>
      <c r="F34" s="275"/>
      <c r="G34" s="275"/>
      <c r="H34" s="275"/>
      <c r="I34" s="275"/>
      <c r="J34" s="276"/>
      <c r="K34" s="35"/>
    </row>
    <row r="35" spans="1:11" s="4" customFormat="1" ht="18.75" customHeight="1" x14ac:dyDescent="0.15">
      <c r="A35" s="1"/>
      <c r="B35" s="274"/>
      <c r="C35" s="275"/>
      <c r="D35" s="275"/>
      <c r="E35" s="275"/>
      <c r="F35" s="275"/>
      <c r="G35" s="275"/>
      <c r="H35" s="275"/>
      <c r="I35" s="275"/>
      <c r="J35" s="276"/>
      <c r="K35" s="35"/>
    </row>
    <row r="36" spans="1:11" s="4" customFormat="1" ht="18.75" customHeight="1" x14ac:dyDescent="0.15">
      <c r="A36" s="1"/>
      <c r="B36" s="274"/>
      <c r="C36" s="275"/>
      <c r="D36" s="275"/>
      <c r="E36" s="275"/>
      <c r="F36" s="275"/>
      <c r="G36" s="275"/>
      <c r="H36" s="275"/>
      <c r="I36" s="275"/>
      <c r="J36" s="276"/>
      <c r="K36" s="35"/>
    </row>
    <row r="37" spans="1:11" s="4" customFormat="1" ht="18.75" customHeight="1" x14ac:dyDescent="0.15">
      <c r="A37" s="1"/>
      <c r="B37" s="274"/>
      <c r="C37" s="275"/>
      <c r="D37" s="275"/>
      <c r="E37" s="275"/>
      <c r="F37" s="275"/>
      <c r="G37" s="275"/>
      <c r="H37" s="275"/>
      <c r="I37" s="275"/>
      <c r="J37" s="276"/>
      <c r="K37" s="35"/>
    </row>
    <row r="38" spans="1:11" s="4" customFormat="1" ht="18.75" customHeight="1" x14ac:dyDescent="0.15">
      <c r="A38" s="1"/>
      <c r="B38" s="274"/>
      <c r="C38" s="275"/>
      <c r="D38" s="275"/>
      <c r="E38" s="275"/>
      <c r="F38" s="275"/>
      <c r="G38" s="275"/>
      <c r="H38" s="275"/>
      <c r="I38" s="275"/>
      <c r="J38" s="276"/>
      <c r="K38" s="35"/>
    </row>
    <row r="39" spans="1:11" s="4" customFormat="1" ht="18.75" customHeight="1" x14ac:dyDescent="0.15">
      <c r="A39" s="1"/>
      <c r="B39" s="274"/>
      <c r="C39" s="275"/>
      <c r="D39" s="275"/>
      <c r="E39" s="275"/>
      <c r="F39" s="275"/>
      <c r="G39" s="275"/>
      <c r="H39" s="275"/>
      <c r="I39" s="275"/>
      <c r="J39" s="276"/>
      <c r="K39" s="35"/>
    </row>
    <row r="40" spans="1:11" s="4" customFormat="1" ht="18.75" customHeight="1" x14ac:dyDescent="0.15">
      <c r="A40" s="1"/>
      <c r="B40" s="274"/>
      <c r="C40" s="275"/>
      <c r="D40" s="275"/>
      <c r="E40" s="275"/>
      <c r="F40" s="275"/>
      <c r="G40" s="275"/>
      <c r="H40" s="275"/>
      <c r="I40" s="275"/>
      <c r="J40" s="276"/>
      <c r="K40" s="35"/>
    </row>
    <row r="41" spans="1:11" s="4" customFormat="1" ht="18.75" customHeight="1" x14ac:dyDescent="0.15">
      <c r="A41" s="1"/>
      <c r="B41" s="274"/>
      <c r="C41" s="275"/>
      <c r="D41" s="275"/>
      <c r="E41" s="275"/>
      <c r="F41" s="275"/>
      <c r="G41" s="275"/>
      <c r="H41" s="275"/>
      <c r="I41" s="275"/>
      <c r="J41" s="276"/>
      <c r="K41" s="35"/>
    </row>
    <row r="42" spans="1:11" s="4" customFormat="1" ht="18.75" customHeight="1" x14ac:dyDescent="0.15">
      <c r="A42" s="1"/>
      <c r="B42" s="274"/>
      <c r="C42" s="275"/>
      <c r="D42" s="275"/>
      <c r="E42" s="275"/>
      <c r="F42" s="275"/>
      <c r="G42" s="275"/>
      <c r="H42" s="275"/>
      <c r="I42" s="275"/>
      <c r="J42" s="276"/>
      <c r="K42" s="35"/>
    </row>
    <row r="43" spans="1:11" ht="18.75" customHeight="1" x14ac:dyDescent="0.15">
      <c r="A43" s="39"/>
      <c r="B43" s="274"/>
      <c r="C43" s="275"/>
      <c r="D43" s="275"/>
      <c r="E43" s="275"/>
      <c r="F43" s="275"/>
      <c r="G43" s="275"/>
      <c r="H43" s="275"/>
      <c r="I43" s="275"/>
      <c r="J43" s="276"/>
      <c r="K43" s="35"/>
    </row>
    <row r="44" spans="1:11" ht="18.75" customHeight="1" x14ac:dyDescent="0.15">
      <c r="A44" s="39"/>
      <c r="B44" s="277"/>
      <c r="C44" s="278"/>
      <c r="D44" s="278"/>
      <c r="E44" s="278"/>
      <c r="F44" s="278"/>
      <c r="G44" s="278"/>
      <c r="H44" s="278"/>
      <c r="I44" s="278"/>
      <c r="J44" s="279"/>
    </row>
    <row r="45" spans="1:11" s="4" customFormat="1" ht="18.75" customHeight="1" x14ac:dyDescent="0.15">
      <c r="A45" s="101" t="s">
        <v>12</v>
      </c>
      <c r="B45" s="1" t="s">
        <v>67</v>
      </c>
      <c r="C45" s="1"/>
      <c r="D45" s="1"/>
      <c r="E45" s="1"/>
      <c r="F45" s="1"/>
      <c r="G45" s="1"/>
      <c r="H45" s="1"/>
      <c r="I45" s="101"/>
      <c r="J45" s="101"/>
      <c r="K45" s="31"/>
    </row>
    <row r="46" spans="1:11" ht="18.75" customHeight="1" x14ac:dyDescent="0.15">
      <c r="A46" s="39"/>
      <c r="B46" s="290" t="s">
        <v>182</v>
      </c>
      <c r="C46" s="281"/>
      <c r="D46" s="281"/>
      <c r="E46" s="281"/>
      <c r="F46" s="281"/>
      <c r="G46" s="281"/>
      <c r="H46" s="281"/>
      <c r="I46" s="281"/>
      <c r="J46" s="291"/>
      <c r="K46" s="31" t="str">
        <f>IF(B46="","入力してください","")</f>
        <v/>
      </c>
    </row>
    <row r="47" spans="1:11" ht="18.75" customHeight="1" x14ac:dyDescent="0.15">
      <c r="A47" s="39"/>
      <c r="B47" s="292"/>
      <c r="C47" s="293"/>
      <c r="D47" s="293"/>
      <c r="E47" s="293"/>
      <c r="F47" s="293"/>
      <c r="G47" s="293"/>
      <c r="H47" s="293"/>
      <c r="I47" s="293"/>
      <c r="J47" s="294"/>
    </row>
    <row r="48" spans="1:11" ht="18.75" customHeight="1" x14ac:dyDescent="0.15">
      <c r="A48" s="39"/>
      <c r="B48" s="292"/>
      <c r="C48" s="293"/>
      <c r="D48" s="293"/>
      <c r="E48" s="293"/>
      <c r="F48" s="293"/>
      <c r="G48" s="293"/>
      <c r="H48" s="293"/>
      <c r="I48" s="293"/>
      <c r="J48" s="294"/>
    </row>
    <row r="49" spans="1:10" ht="18.75" customHeight="1" x14ac:dyDescent="0.15">
      <c r="A49" s="39"/>
      <c r="B49" s="292"/>
      <c r="C49" s="293"/>
      <c r="D49" s="293"/>
      <c r="E49" s="293"/>
      <c r="F49" s="293"/>
      <c r="G49" s="293"/>
      <c r="H49" s="293"/>
      <c r="I49" s="293"/>
      <c r="J49" s="294"/>
    </row>
    <row r="50" spans="1:10" ht="18.75" customHeight="1" x14ac:dyDescent="0.15">
      <c r="A50" s="39"/>
      <c r="B50" s="292"/>
      <c r="C50" s="293"/>
      <c r="D50" s="293"/>
      <c r="E50" s="293"/>
      <c r="F50" s="293"/>
      <c r="G50" s="293"/>
      <c r="H50" s="293"/>
      <c r="I50" s="293"/>
      <c r="J50" s="294"/>
    </row>
    <row r="51" spans="1:10" ht="18.75" customHeight="1" x14ac:dyDescent="0.15">
      <c r="A51" s="39"/>
      <c r="B51" s="292"/>
      <c r="C51" s="293"/>
      <c r="D51" s="293"/>
      <c r="E51" s="293"/>
      <c r="F51" s="293"/>
      <c r="G51" s="293"/>
      <c r="H51" s="293"/>
      <c r="I51" s="293"/>
      <c r="J51" s="294"/>
    </row>
    <row r="52" spans="1:10" ht="18.75" customHeight="1" x14ac:dyDescent="0.15">
      <c r="A52" s="39"/>
      <c r="B52" s="292"/>
      <c r="C52" s="293"/>
      <c r="D52" s="293"/>
      <c r="E52" s="293"/>
      <c r="F52" s="293"/>
      <c r="G52" s="293"/>
      <c r="H52" s="293"/>
      <c r="I52" s="293"/>
      <c r="J52" s="294"/>
    </row>
    <row r="53" spans="1:10" ht="18.75" customHeight="1" x14ac:dyDescent="0.15">
      <c r="A53" s="39"/>
      <c r="B53" s="292"/>
      <c r="C53" s="293"/>
      <c r="D53" s="293"/>
      <c r="E53" s="293"/>
      <c r="F53" s="293"/>
      <c r="G53" s="293"/>
      <c r="H53" s="293"/>
      <c r="I53" s="293"/>
      <c r="J53" s="294"/>
    </row>
    <row r="54" spans="1:10" ht="18.75" customHeight="1" x14ac:dyDescent="0.15">
      <c r="A54" s="39"/>
      <c r="B54" s="292"/>
      <c r="C54" s="293"/>
      <c r="D54" s="293"/>
      <c r="E54" s="293"/>
      <c r="F54" s="293"/>
      <c r="G54" s="293"/>
      <c r="H54" s="293"/>
      <c r="I54" s="293"/>
      <c r="J54" s="294"/>
    </row>
    <row r="55" spans="1:10" ht="18.75" customHeight="1" x14ac:dyDescent="0.15">
      <c r="A55" s="39"/>
      <c r="B55" s="292"/>
      <c r="C55" s="293"/>
      <c r="D55" s="293"/>
      <c r="E55" s="293"/>
      <c r="F55" s="293"/>
      <c r="G55" s="293"/>
      <c r="H55" s="293"/>
      <c r="I55" s="293"/>
      <c r="J55" s="294"/>
    </row>
    <row r="56" spans="1:10" ht="18.75" customHeight="1" x14ac:dyDescent="0.15">
      <c r="A56" s="39"/>
      <c r="B56" s="292"/>
      <c r="C56" s="293"/>
      <c r="D56" s="293"/>
      <c r="E56" s="293"/>
      <c r="F56" s="293"/>
      <c r="G56" s="293"/>
      <c r="H56" s="293"/>
      <c r="I56" s="293"/>
      <c r="J56" s="294"/>
    </row>
    <row r="57" spans="1:10" ht="18.75" customHeight="1" x14ac:dyDescent="0.15">
      <c r="A57" s="39"/>
      <c r="B57" s="292"/>
      <c r="C57" s="293"/>
      <c r="D57" s="293"/>
      <c r="E57" s="293"/>
      <c r="F57" s="293"/>
      <c r="G57" s="293"/>
      <c r="H57" s="293"/>
      <c r="I57" s="293"/>
      <c r="J57" s="294"/>
    </row>
    <row r="58" spans="1:10" ht="18.75" customHeight="1" x14ac:dyDescent="0.15">
      <c r="A58" s="39"/>
      <c r="B58" s="292"/>
      <c r="C58" s="293"/>
      <c r="D58" s="293"/>
      <c r="E58" s="293"/>
      <c r="F58" s="293"/>
      <c r="G58" s="293"/>
      <c r="H58" s="293"/>
      <c r="I58" s="293"/>
      <c r="J58" s="294"/>
    </row>
    <row r="59" spans="1:10" ht="18.75" customHeight="1" x14ac:dyDescent="0.15">
      <c r="A59" s="39"/>
      <c r="B59" s="292"/>
      <c r="C59" s="293"/>
      <c r="D59" s="293"/>
      <c r="E59" s="293"/>
      <c r="F59" s="293"/>
      <c r="G59" s="293"/>
      <c r="H59" s="293"/>
      <c r="I59" s="293"/>
      <c r="J59" s="294"/>
    </row>
    <row r="60" spans="1:10" ht="18.75" customHeight="1" x14ac:dyDescent="0.15">
      <c r="A60" s="39"/>
      <c r="B60" s="292"/>
      <c r="C60" s="293"/>
      <c r="D60" s="293"/>
      <c r="E60" s="293"/>
      <c r="F60" s="293"/>
      <c r="G60" s="293"/>
      <c r="H60" s="293"/>
      <c r="I60" s="293"/>
      <c r="J60" s="294"/>
    </row>
    <row r="61" spans="1:10" ht="18.75" customHeight="1" x14ac:dyDescent="0.15">
      <c r="A61" s="39"/>
      <c r="B61" s="292"/>
      <c r="C61" s="293"/>
      <c r="D61" s="293"/>
      <c r="E61" s="293"/>
      <c r="F61" s="293"/>
      <c r="G61" s="293"/>
      <c r="H61" s="293"/>
      <c r="I61" s="293"/>
      <c r="J61" s="294"/>
    </row>
    <row r="62" spans="1:10" ht="18.75" customHeight="1" x14ac:dyDescent="0.15">
      <c r="A62" s="39"/>
      <c r="B62" s="292"/>
      <c r="C62" s="293"/>
      <c r="D62" s="293"/>
      <c r="E62" s="293"/>
      <c r="F62" s="293"/>
      <c r="G62" s="293"/>
      <c r="H62" s="293"/>
      <c r="I62" s="293"/>
      <c r="J62" s="294"/>
    </row>
    <row r="63" spans="1:10" ht="18.75" customHeight="1" x14ac:dyDescent="0.15">
      <c r="A63" s="39"/>
      <c r="B63" s="292"/>
      <c r="C63" s="293"/>
      <c r="D63" s="293"/>
      <c r="E63" s="293"/>
      <c r="F63" s="293"/>
      <c r="G63" s="293"/>
      <c r="H63" s="293"/>
      <c r="I63" s="293"/>
      <c r="J63" s="294"/>
    </row>
    <row r="64" spans="1:10" ht="18.75" customHeight="1" x14ac:dyDescent="0.15">
      <c r="A64" s="39"/>
      <c r="B64" s="292"/>
      <c r="C64" s="293"/>
      <c r="D64" s="293"/>
      <c r="E64" s="293"/>
      <c r="F64" s="293"/>
      <c r="G64" s="293"/>
      <c r="H64" s="293"/>
      <c r="I64" s="293"/>
      <c r="J64" s="294"/>
    </row>
    <row r="65" spans="1:11" ht="18.75" customHeight="1" x14ac:dyDescent="0.15">
      <c r="A65" s="39"/>
      <c r="B65" s="292"/>
      <c r="C65" s="293"/>
      <c r="D65" s="293"/>
      <c r="E65" s="293"/>
      <c r="F65" s="293"/>
      <c r="G65" s="293"/>
      <c r="H65" s="293"/>
      <c r="I65" s="293"/>
      <c r="J65" s="294"/>
    </row>
    <row r="66" spans="1:11" ht="18.75" customHeight="1" x14ac:dyDescent="0.15">
      <c r="A66" s="39"/>
      <c r="B66" s="295"/>
      <c r="C66" s="296"/>
      <c r="D66" s="296"/>
      <c r="E66" s="296"/>
      <c r="F66" s="296"/>
      <c r="G66" s="296"/>
      <c r="H66" s="296"/>
      <c r="I66" s="296"/>
      <c r="J66" s="297"/>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90" t="s">
        <v>208</v>
      </c>
      <c r="C69" s="281"/>
      <c r="D69" s="281"/>
      <c r="E69" s="281"/>
      <c r="F69" s="281"/>
      <c r="G69" s="281"/>
      <c r="H69" s="281"/>
      <c r="I69" s="282"/>
      <c r="J69" s="283"/>
      <c r="K69" s="35" t="str">
        <f>IF(B69="","入力してください","")</f>
        <v/>
      </c>
    </row>
    <row r="70" spans="1:11" s="4" customFormat="1" ht="18.75" customHeight="1" x14ac:dyDescent="0.15">
      <c r="A70" s="1"/>
      <c r="B70" s="284"/>
      <c r="C70" s="285"/>
      <c r="D70" s="285"/>
      <c r="E70" s="285"/>
      <c r="F70" s="285"/>
      <c r="G70" s="285"/>
      <c r="H70" s="285"/>
      <c r="I70" s="285"/>
      <c r="J70" s="286"/>
      <c r="K70" s="35"/>
    </row>
    <row r="71" spans="1:11" s="4" customFormat="1" ht="18.75" customHeight="1" x14ac:dyDescent="0.15">
      <c r="A71" s="1"/>
      <c r="B71" s="284"/>
      <c r="C71" s="285"/>
      <c r="D71" s="285"/>
      <c r="E71" s="285"/>
      <c r="F71" s="285"/>
      <c r="G71" s="285"/>
      <c r="H71" s="285"/>
      <c r="I71" s="285"/>
      <c r="J71" s="286"/>
      <c r="K71" s="35"/>
    </row>
    <row r="72" spans="1:11" s="4" customFormat="1" ht="18.75" customHeight="1" x14ac:dyDescent="0.15">
      <c r="A72" s="1"/>
      <c r="B72" s="284"/>
      <c r="C72" s="285"/>
      <c r="D72" s="285"/>
      <c r="E72" s="285"/>
      <c r="F72" s="285"/>
      <c r="G72" s="285"/>
      <c r="H72" s="285"/>
      <c r="I72" s="285"/>
      <c r="J72" s="286"/>
      <c r="K72" s="35"/>
    </row>
    <row r="73" spans="1:11" s="4" customFormat="1" ht="18.75" customHeight="1" x14ac:dyDescent="0.15">
      <c r="A73" s="1"/>
      <c r="B73" s="284"/>
      <c r="C73" s="285"/>
      <c r="D73" s="285"/>
      <c r="E73" s="285"/>
      <c r="F73" s="285"/>
      <c r="G73" s="285"/>
      <c r="H73" s="285"/>
      <c r="I73" s="285"/>
      <c r="J73" s="286"/>
      <c r="K73" s="35"/>
    </row>
    <row r="74" spans="1:11" s="4" customFormat="1" ht="18.75" customHeight="1" x14ac:dyDescent="0.15">
      <c r="A74" s="1"/>
      <c r="B74" s="284"/>
      <c r="C74" s="285"/>
      <c r="D74" s="285"/>
      <c r="E74" s="285"/>
      <c r="F74" s="285"/>
      <c r="G74" s="285"/>
      <c r="H74" s="285"/>
      <c r="I74" s="285"/>
      <c r="J74" s="286"/>
      <c r="K74" s="35"/>
    </row>
    <row r="75" spans="1:11" s="4" customFormat="1" ht="18.75" customHeight="1" x14ac:dyDescent="0.15">
      <c r="A75" s="1"/>
      <c r="B75" s="284"/>
      <c r="C75" s="285"/>
      <c r="D75" s="285"/>
      <c r="E75" s="285"/>
      <c r="F75" s="285"/>
      <c r="G75" s="285"/>
      <c r="H75" s="285"/>
      <c r="I75" s="285"/>
      <c r="J75" s="286"/>
      <c r="K75" s="35"/>
    </row>
    <row r="76" spans="1:11" s="4" customFormat="1" ht="18.75" customHeight="1" x14ac:dyDescent="0.15">
      <c r="A76" s="1"/>
      <c r="B76" s="284"/>
      <c r="C76" s="285"/>
      <c r="D76" s="285"/>
      <c r="E76" s="285"/>
      <c r="F76" s="285"/>
      <c r="G76" s="285"/>
      <c r="H76" s="285"/>
      <c r="I76" s="285"/>
      <c r="J76" s="286"/>
      <c r="K76" s="35"/>
    </row>
    <row r="77" spans="1:11" s="4" customFormat="1" ht="18.75" customHeight="1" x14ac:dyDescent="0.15">
      <c r="A77" s="1"/>
      <c r="B77" s="284"/>
      <c r="C77" s="285"/>
      <c r="D77" s="285"/>
      <c r="E77" s="285"/>
      <c r="F77" s="285"/>
      <c r="G77" s="285"/>
      <c r="H77" s="285"/>
      <c r="I77" s="285"/>
      <c r="J77" s="286"/>
      <c r="K77" s="35"/>
    </row>
    <row r="78" spans="1:11" s="4" customFormat="1" ht="18.75" customHeight="1" x14ac:dyDescent="0.15">
      <c r="A78" s="1"/>
      <c r="B78" s="284"/>
      <c r="C78" s="285"/>
      <c r="D78" s="285"/>
      <c r="E78" s="285"/>
      <c r="F78" s="285"/>
      <c r="G78" s="285"/>
      <c r="H78" s="285"/>
      <c r="I78" s="285"/>
      <c r="J78" s="286"/>
      <c r="K78" s="35"/>
    </row>
    <row r="79" spans="1:11" s="4" customFormat="1" ht="18.75" customHeight="1" x14ac:dyDescent="0.15">
      <c r="A79" s="1"/>
      <c r="B79" s="284"/>
      <c r="C79" s="285"/>
      <c r="D79" s="285"/>
      <c r="E79" s="285"/>
      <c r="F79" s="285"/>
      <c r="G79" s="285"/>
      <c r="H79" s="285"/>
      <c r="I79" s="285"/>
      <c r="J79" s="286"/>
      <c r="K79" s="35"/>
    </row>
    <row r="80" spans="1:11" s="4" customFormat="1" ht="18.75" customHeight="1" x14ac:dyDescent="0.15">
      <c r="A80" s="1"/>
      <c r="B80" s="284"/>
      <c r="C80" s="285"/>
      <c r="D80" s="285"/>
      <c r="E80" s="285"/>
      <c r="F80" s="285"/>
      <c r="G80" s="285"/>
      <c r="H80" s="285"/>
      <c r="I80" s="285"/>
      <c r="J80" s="286"/>
      <c r="K80" s="35"/>
    </row>
    <row r="81" spans="1:11" s="4" customFormat="1" ht="18.75" customHeight="1" x14ac:dyDescent="0.15">
      <c r="A81" s="1"/>
      <c r="B81" s="284"/>
      <c r="C81" s="285"/>
      <c r="D81" s="285"/>
      <c r="E81" s="285"/>
      <c r="F81" s="285"/>
      <c r="G81" s="285"/>
      <c r="H81" s="285"/>
      <c r="I81" s="285"/>
      <c r="J81" s="286"/>
      <c r="K81" s="35"/>
    </row>
    <row r="82" spans="1:11" s="4" customFormat="1" ht="18.75" customHeight="1" x14ac:dyDescent="0.15">
      <c r="A82" s="1"/>
      <c r="B82" s="284"/>
      <c r="C82" s="285"/>
      <c r="D82" s="285"/>
      <c r="E82" s="285"/>
      <c r="F82" s="285"/>
      <c r="G82" s="285"/>
      <c r="H82" s="285"/>
      <c r="I82" s="285"/>
      <c r="J82" s="286"/>
      <c r="K82" s="35"/>
    </row>
    <row r="83" spans="1:11" s="4" customFormat="1" ht="18.75" customHeight="1" x14ac:dyDescent="0.15">
      <c r="A83" s="1"/>
      <c r="B83" s="284"/>
      <c r="C83" s="285"/>
      <c r="D83" s="285"/>
      <c r="E83" s="285"/>
      <c r="F83" s="285"/>
      <c r="G83" s="285"/>
      <c r="H83" s="285"/>
      <c r="I83" s="285"/>
      <c r="J83" s="286"/>
      <c r="K83" s="35"/>
    </row>
    <row r="84" spans="1:11" s="4" customFormat="1" ht="18.75" customHeight="1" x14ac:dyDescent="0.15">
      <c r="A84" s="1"/>
      <c r="B84" s="284"/>
      <c r="C84" s="285"/>
      <c r="D84" s="285"/>
      <c r="E84" s="285"/>
      <c r="F84" s="285"/>
      <c r="G84" s="285"/>
      <c r="H84" s="285"/>
      <c r="I84" s="285"/>
      <c r="J84" s="286"/>
      <c r="K84" s="35"/>
    </row>
    <row r="85" spans="1:11" ht="18.75" customHeight="1" x14ac:dyDescent="0.15">
      <c r="A85" s="39"/>
      <c r="B85" s="284"/>
      <c r="C85" s="285"/>
      <c r="D85" s="285"/>
      <c r="E85" s="285"/>
      <c r="F85" s="285"/>
      <c r="G85" s="285"/>
      <c r="H85" s="285"/>
      <c r="I85" s="285"/>
      <c r="J85" s="286"/>
      <c r="K85" s="35"/>
    </row>
    <row r="86" spans="1:11" ht="18.75" customHeight="1" x14ac:dyDescent="0.15">
      <c r="A86" s="39"/>
      <c r="B86" s="287"/>
      <c r="C86" s="288"/>
      <c r="D86" s="288"/>
      <c r="E86" s="288"/>
      <c r="F86" s="288"/>
      <c r="G86" s="288"/>
      <c r="H86" s="288"/>
      <c r="I86" s="288"/>
      <c r="J86" s="289"/>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90" t="s">
        <v>217</v>
      </c>
      <c r="C89" s="281"/>
      <c r="D89" s="281"/>
      <c r="E89" s="281"/>
      <c r="F89" s="281"/>
      <c r="G89" s="281"/>
      <c r="H89" s="281"/>
      <c r="I89" s="282"/>
      <c r="J89" s="283"/>
      <c r="K89" s="31"/>
    </row>
    <row r="90" spans="1:11" s="4" customFormat="1" ht="18.75" customHeight="1" x14ac:dyDescent="0.15">
      <c r="A90" s="1"/>
      <c r="B90" s="284"/>
      <c r="C90" s="285"/>
      <c r="D90" s="285"/>
      <c r="E90" s="285"/>
      <c r="F90" s="285"/>
      <c r="G90" s="285"/>
      <c r="H90" s="285"/>
      <c r="I90" s="285"/>
      <c r="J90" s="286"/>
      <c r="K90" s="35"/>
    </row>
    <row r="91" spans="1:11" s="4" customFormat="1" ht="18.75" customHeight="1" x14ac:dyDescent="0.15">
      <c r="A91" s="1"/>
      <c r="B91" s="284"/>
      <c r="C91" s="285"/>
      <c r="D91" s="285"/>
      <c r="E91" s="285"/>
      <c r="F91" s="285"/>
      <c r="G91" s="285"/>
      <c r="H91" s="285"/>
      <c r="I91" s="285"/>
      <c r="J91" s="286"/>
      <c r="K91" s="35" t="str">
        <f>IF(B89="","入力してください","")</f>
        <v/>
      </c>
    </row>
    <row r="92" spans="1:11" s="4" customFormat="1" ht="18.75" customHeight="1" x14ac:dyDescent="0.15">
      <c r="A92" s="1"/>
      <c r="B92" s="284"/>
      <c r="C92" s="285"/>
      <c r="D92" s="285"/>
      <c r="E92" s="285"/>
      <c r="F92" s="285"/>
      <c r="G92" s="285"/>
      <c r="H92" s="285"/>
      <c r="I92" s="285"/>
      <c r="J92" s="286"/>
      <c r="K92" s="35"/>
    </row>
    <row r="93" spans="1:11" s="4" customFormat="1" ht="18.75" customHeight="1" x14ac:dyDescent="0.15">
      <c r="A93" s="1"/>
      <c r="B93" s="284"/>
      <c r="C93" s="285"/>
      <c r="D93" s="285"/>
      <c r="E93" s="285"/>
      <c r="F93" s="285"/>
      <c r="G93" s="285"/>
      <c r="H93" s="285"/>
      <c r="I93" s="285"/>
      <c r="J93" s="286"/>
      <c r="K93" s="35"/>
    </row>
    <row r="94" spans="1:11" s="4" customFormat="1" ht="18.75" customHeight="1" x14ac:dyDescent="0.15">
      <c r="A94" s="1"/>
      <c r="B94" s="284"/>
      <c r="C94" s="285"/>
      <c r="D94" s="285"/>
      <c r="E94" s="285"/>
      <c r="F94" s="285"/>
      <c r="G94" s="285"/>
      <c r="H94" s="285"/>
      <c r="I94" s="285"/>
      <c r="J94" s="286"/>
      <c r="K94" s="35"/>
    </row>
    <row r="95" spans="1:11" s="4" customFormat="1" ht="18.75" customHeight="1" x14ac:dyDescent="0.15">
      <c r="A95" s="1"/>
      <c r="B95" s="284"/>
      <c r="C95" s="285"/>
      <c r="D95" s="285"/>
      <c r="E95" s="285"/>
      <c r="F95" s="285"/>
      <c r="G95" s="285"/>
      <c r="H95" s="285"/>
      <c r="I95" s="285"/>
      <c r="J95" s="286"/>
      <c r="K95" s="35"/>
    </row>
    <row r="96" spans="1:11" s="4" customFormat="1" ht="18.75" customHeight="1" x14ac:dyDescent="0.15">
      <c r="A96" s="1"/>
      <c r="B96" s="284"/>
      <c r="C96" s="285"/>
      <c r="D96" s="285"/>
      <c r="E96" s="285"/>
      <c r="F96" s="285"/>
      <c r="G96" s="285"/>
      <c r="H96" s="285"/>
      <c r="I96" s="285"/>
      <c r="J96" s="286"/>
      <c r="K96" s="35"/>
    </row>
    <row r="97" spans="1:11" s="4" customFormat="1" ht="18.75" customHeight="1" x14ac:dyDescent="0.15">
      <c r="A97" s="1"/>
      <c r="B97" s="284"/>
      <c r="C97" s="285"/>
      <c r="D97" s="285"/>
      <c r="E97" s="285"/>
      <c r="F97" s="285"/>
      <c r="G97" s="285"/>
      <c r="H97" s="285"/>
      <c r="I97" s="285"/>
      <c r="J97" s="286"/>
      <c r="K97" s="35"/>
    </row>
    <row r="98" spans="1:11" s="4" customFormat="1" ht="18.75" customHeight="1" x14ac:dyDescent="0.15">
      <c r="A98" s="1"/>
      <c r="B98" s="284"/>
      <c r="C98" s="285"/>
      <c r="D98" s="285"/>
      <c r="E98" s="285"/>
      <c r="F98" s="285"/>
      <c r="G98" s="285"/>
      <c r="H98" s="285"/>
      <c r="I98" s="285"/>
      <c r="J98" s="286"/>
      <c r="K98" s="35"/>
    </row>
    <row r="99" spans="1:11" s="4" customFormat="1" ht="18.75" customHeight="1" x14ac:dyDescent="0.15">
      <c r="A99" s="1"/>
      <c r="B99" s="284"/>
      <c r="C99" s="285"/>
      <c r="D99" s="285"/>
      <c r="E99" s="285"/>
      <c r="F99" s="285"/>
      <c r="G99" s="285"/>
      <c r="H99" s="285"/>
      <c r="I99" s="285"/>
      <c r="J99" s="286"/>
      <c r="K99" s="35"/>
    </row>
    <row r="100" spans="1:11" s="4" customFormat="1" ht="18.75" customHeight="1" x14ac:dyDescent="0.15">
      <c r="A100" s="1"/>
      <c r="B100" s="284"/>
      <c r="C100" s="285"/>
      <c r="D100" s="285"/>
      <c r="E100" s="285"/>
      <c r="F100" s="285"/>
      <c r="G100" s="285"/>
      <c r="H100" s="285"/>
      <c r="I100" s="285"/>
      <c r="J100" s="286"/>
      <c r="K100" s="35"/>
    </row>
    <row r="101" spans="1:11" s="4" customFormat="1" ht="18.75" customHeight="1" x14ac:dyDescent="0.15">
      <c r="A101" s="1"/>
      <c r="B101" s="284"/>
      <c r="C101" s="285"/>
      <c r="D101" s="285"/>
      <c r="E101" s="285"/>
      <c r="F101" s="285"/>
      <c r="G101" s="285"/>
      <c r="H101" s="285"/>
      <c r="I101" s="285"/>
      <c r="J101" s="286"/>
      <c r="K101" s="35"/>
    </row>
    <row r="102" spans="1:11" s="4" customFormat="1" ht="18.75" customHeight="1" x14ac:dyDescent="0.15">
      <c r="A102" s="1"/>
      <c r="B102" s="284"/>
      <c r="C102" s="285"/>
      <c r="D102" s="285"/>
      <c r="E102" s="285"/>
      <c r="F102" s="285"/>
      <c r="G102" s="285"/>
      <c r="H102" s="285"/>
      <c r="I102" s="285"/>
      <c r="J102" s="286"/>
      <c r="K102" s="35"/>
    </row>
    <row r="103" spans="1:11" s="4" customFormat="1" ht="18.75" customHeight="1" x14ac:dyDescent="0.15">
      <c r="A103" s="1"/>
      <c r="B103" s="284"/>
      <c r="C103" s="285"/>
      <c r="D103" s="285"/>
      <c r="E103" s="285"/>
      <c r="F103" s="285"/>
      <c r="G103" s="285"/>
      <c r="H103" s="285"/>
      <c r="I103" s="285"/>
      <c r="J103" s="286"/>
      <c r="K103" s="35"/>
    </row>
    <row r="104" spans="1:11" s="4" customFormat="1" ht="18.75" customHeight="1" x14ac:dyDescent="0.15">
      <c r="A104" s="1"/>
      <c r="B104" s="284"/>
      <c r="C104" s="285"/>
      <c r="D104" s="285"/>
      <c r="E104" s="285"/>
      <c r="F104" s="285"/>
      <c r="G104" s="285"/>
      <c r="H104" s="285"/>
      <c r="I104" s="285"/>
      <c r="J104" s="286"/>
      <c r="K104" s="35"/>
    </row>
    <row r="105" spans="1:11" s="4" customFormat="1" ht="18.75" customHeight="1" x14ac:dyDescent="0.15">
      <c r="A105" s="1"/>
      <c r="B105" s="284"/>
      <c r="C105" s="285"/>
      <c r="D105" s="285"/>
      <c r="E105" s="285"/>
      <c r="F105" s="285"/>
      <c r="G105" s="285"/>
      <c r="H105" s="285"/>
      <c r="I105" s="285"/>
      <c r="J105" s="286"/>
      <c r="K105" s="35"/>
    </row>
    <row r="106" spans="1:11" s="4" customFormat="1" ht="18.75" customHeight="1" x14ac:dyDescent="0.15">
      <c r="A106" s="1"/>
      <c r="B106" s="284"/>
      <c r="C106" s="285"/>
      <c r="D106" s="285"/>
      <c r="E106" s="285"/>
      <c r="F106" s="285"/>
      <c r="G106" s="285"/>
      <c r="H106" s="285"/>
      <c r="I106" s="285"/>
      <c r="J106" s="286"/>
      <c r="K106" s="35"/>
    </row>
    <row r="107" spans="1:11" ht="18.75" customHeight="1" x14ac:dyDescent="0.15">
      <c r="A107" s="39"/>
      <c r="B107" s="284"/>
      <c r="C107" s="285"/>
      <c r="D107" s="285"/>
      <c r="E107" s="285"/>
      <c r="F107" s="285"/>
      <c r="G107" s="285"/>
      <c r="H107" s="285"/>
      <c r="I107" s="285"/>
      <c r="J107" s="286"/>
      <c r="K107" s="35"/>
    </row>
    <row r="108" spans="1:11" ht="18.75" customHeight="1" x14ac:dyDescent="0.15">
      <c r="A108" s="39"/>
      <c r="B108" s="287"/>
      <c r="C108" s="288"/>
      <c r="D108" s="288"/>
      <c r="E108" s="288"/>
      <c r="F108" s="288"/>
      <c r="G108" s="288"/>
      <c r="H108" s="288"/>
      <c r="I108" s="288"/>
      <c r="J108" s="289"/>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298" t="s">
        <v>86</v>
      </c>
      <c r="C110" s="298"/>
      <c r="D110" s="298"/>
      <c r="E110" s="298"/>
      <c r="F110" s="298"/>
      <c r="G110" s="298"/>
      <c r="H110" s="298"/>
      <c r="I110" s="298"/>
      <c r="J110" s="298"/>
      <c r="K110" s="31"/>
    </row>
    <row r="111" spans="1:11" ht="18.75" customHeight="1" x14ac:dyDescent="0.15">
      <c r="A111" s="39"/>
      <c r="B111" s="290" t="s">
        <v>183</v>
      </c>
      <c r="C111" s="281"/>
      <c r="D111" s="281"/>
      <c r="E111" s="281"/>
      <c r="F111" s="281"/>
      <c r="G111" s="281"/>
      <c r="H111" s="281"/>
      <c r="I111" s="282"/>
      <c r="J111" s="283"/>
    </row>
    <row r="112" spans="1:11" ht="18.75" customHeight="1" x14ac:dyDescent="0.15">
      <c r="A112" s="39"/>
      <c r="B112" s="284"/>
      <c r="C112" s="285"/>
      <c r="D112" s="285"/>
      <c r="E112" s="285"/>
      <c r="F112" s="285"/>
      <c r="G112" s="285"/>
      <c r="H112" s="285"/>
      <c r="I112" s="285"/>
      <c r="J112" s="286"/>
      <c r="K112" s="35"/>
    </row>
    <row r="113" spans="1:11" ht="18.75" customHeight="1" x14ac:dyDescent="0.15">
      <c r="A113" s="39"/>
      <c r="B113" s="284"/>
      <c r="C113" s="285"/>
      <c r="D113" s="285"/>
      <c r="E113" s="285"/>
      <c r="F113" s="285"/>
      <c r="G113" s="285"/>
      <c r="H113" s="285"/>
      <c r="I113" s="285"/>
      <c r="J113" s="286"/>
      <c r="K113" s="31" t="str">
        <f>IF(B111="","入力してください","")</f>
        <v/>
      </c>
    </row>
    <row r="114" spans="1:11" ht="18.75" customHeight="1" x14ac:dyDescent="0.15">
      <c r="A114" s="39"/>
      <c r="B114" s="284"/>
      <c r="C114" s="285"/>
      <c r="D114" s="285"/>
      <c r="E114" s="285"/>
      <c r="F114" s="285"/>
      <c r="G114" s="285"/>
      <c r="H114" s="285"/>
      <c r="I114" s="285"/>
      <c r="J114" s="286"/>
    </row>
    <row r="115" spans="1:11" ht="18.75" customHeight="1" x14ac:dyDescent="0.15">
      <c r="A115" s="39"/>
      <c r="B115" s="284"/>
      <c r="C115" s="285"/>
      <c r="D115" s="285"/>
      <c r="E115" s="285"/>
      <c r="F115" s="285"/>
      <c r="G115" s="285"/>
      <c r="H115" s="285"/>
      <c r="I115" s="285"/>
      <c r="J115" s="286"/>
    </row>
    <row r="116" spans="1:11" ht="18.75" customHeight="1" x14ac:dyDescent="0.15">
      <c r="A116" s="39"/>
      <c r="B116" s="284"/>
      <c r="C116" s="285"/>
      <c r="D116" s="285"/>
      <c r="E116" s="285"/>
      <c r="F116" s="285"/>
      <c r="G116" s="285"/>
      <c r="H116" s="285"/>
      <c r="I116" s="285"/>
      <c r="J116" s="286"/>
    </row>
    <row r="117" spans="1:11" ht="18.75" customHeight="1" x14ac:dyDescent="0.15">
      <c r="A117" s="39"/>
      <c r="B117" s="284"/>
      <c r="C117" s="285"/>
      <c r="D117" s="285"/>
      <c r="E117" s="285"/>
      <c r="F117" s="285"/>
      <c r="G117" s="285"/>
      <c r="H117" s="285"/>
      <c r="I117" s="285"/>
      <c r="J117" s="286"/>
    </row>
    <row r="118" spans="1:11" ht="18.75" customHeight="1" x14ac:dyDescent="0.15">
      <c r="A118" s="39"/>
      <c r="B118" s="284"/>
      <c r="C118" s="285"/>
      <c r="D118" s="285"/>
      <c r="E118" s="285"/>
      <c r="F118" s="285"/>
      <c r="G118" s="285"/>
      <c r="H118" s="285"/>
      <c r="I118" s="285"/>
      <c r="J118" s="286"/>
    </row>
    <row r="119" spans="1:11" ht="18.75" customHeight="1" x14ac:dyDescent="0.15">
      <c r="A119" s="39"/>
      <c r="B119" s="284"/>
      <c r="C119" s="285"/>
      <c r="D119" s="285"/>
      <c r="E119" s="285"/>
      <c r="F119" s="285"/>
      <c r="G119" s="285"/>
      <c r="H119" s="285"/>
      <c r="I119" s="285"/>
      <c r="J119" s="286"/>
    </row>
    <row r="120" spans="1:11" ht="18.75" customHeight="1" x14ac:dyDescent="0.15">
      <c r="A120" s="39"/>
      <c r="B120" s="284"/>
      <c r="C120" s="285"/>
      <c r="D120" s="285"/>
      <c r="E120" s="285"/>
      <c r="F120" s="285"/>
      <c r="G120" s="285"/>
      <c r="H120" s="285"/>
      <c r="I120" s="285"/>
      <c r="J120" s="286"/>
    </row>
    <row r="121" spans="1:11" ht="18.75" customHeight="1" x14ac:dyDescent="0.15">
      <c r="A121" s="39"/>
      <c r="B121" s="284"/>
      <c r="C121" s="285"/>
      <c r="D121" s="285"/>
      <c r="E121" s="285"/>
      <c r="F121" s="285"/>
      <c r="G121" s="285"/>
      <c r="H121" s="285"/>
      <c r="I121" s="285"/>
      <c r="J121" s="286"/>
    </row>
    <row r="122" spans="1:11" ht="18.75" customHeight="1" x14ac:dyDescent="0.15">
      <c r="A122" s="39"/>
      <c r="B122" s="284"/>
      <c r="C122" s="285"/>
      <c r="D122" s="285"/>
      <c r="E122" s="285"/>
      <c r="F122" s="285"/>
      <c r="G122" s="285"/>
      <c r="H122" s="285"/>
      <c r="I122" s="285"/>
      <c r="J122" s="286"/>
    </row>
    <row r="123" spans="1:11" ht="18.75" customHeight="1" x14ac:dyDescent="0.15">
      <c r="A123" s="39"/>
      <c r="B123" s="284"/>
      <c r="C123" s="285"/>
      <c r="D123" s="285"/>
      <c r="E123" s="285"/>
      <c r="F123" s="285"/>
      <c r="G123" s="285"/>
      <c r="H123" s="285"/>
      <c r="I123" s="285"/>
      <c r="J123" s="286"/>
    </row>
    <row r="124" spans="1:11" ht="18.75" customHeight="1" x14ac:dyDescent="0.15">
      <c r="A124" s="39"/>
      <c r="B124" s="284"/>
      <c r="C124" s="285"/>
      <c r="D124" s="285"/>
      <c r="E124" s="285"/>
      <c r="F124" s="285"/>
      <c r="G124" s="285"/>
      <c r="H124" s="285"/>
      <c r="I124" s="285"/>
      <c r="J124" s="286"/>
    </row>
    <row r="125" spans="1:11" ht="18.75" customHeight="1" x14ac:dyDescent="0.15">
      <c r="A125" s="39"/>
      <c r="B125" s="284"/>
      <c r="C125" s="285"/>
      <c r="D125" s="285"/>
      <c r="E125" s="285"/>
      <c r="F125" s="285"/>
      <c r="G125" s="285"/>
      <c r="H125" s="285"/>
      <c r="I125" s="285"/>
      <c r="J125" s="286"/>
    </row>
    <row r="126" spans="1:11" ht="18.75" customHeight="1" x14ac:dyDescent="0.15">
      <c r="A126" s="39"/>
      <c r="B126" s="284"/>
      <c r="C126" s="285"/>
      <c r="D126" s="285"/>
      <c r="E126" s="285"/>
      <c r="F126" s="285"/>
      <c r="G126" s="285"/>
      <c r="H126" s="285"/>
      <c r="I126" s="285"/>
      <c r="J126" s="286"/>
    </row>
    <row r="127" spans="1:11" ht="18.75" customHeight="1" x14ac:dyDescent="0.15">
      <c r="A127" s="39"/>
      <c r="B127" s="284"/>
      <c r="C127" s="285"/>
      <c r="D127" s="285"/>
      <c r="E127" s="285"/>
      <c r="F127" s="285"/>
      <c r="G127" s="285"/>
      <c r="H127" s="285"/>
      <c r="I127" s="285"/>
      <c r="J127" s="286"/>
    </row>
    <row r="128" spans="1:11" ht="18.75" customHeight="1" x14ac:dyDescent="0.15">
      <c r="A128" s="39"/>
      <c r="B128" s="284"/>
      <c r="C128" s="285"/>
      <c r="D128" s="285"/>
      <c r="E128" s="285"/>
      <c r="F128" s="285"/>
      <c r="G128" s="285"/>
      <c r="H128" s="285"/>
      <c r="I128" s="285"/>
      <c r="J128" s="286"/>
    </row>
    <row r="129" spans="1:10" ht="18.75" customHeight="1" x14ac:dyDescent="0.15">
      <c r="A129" s="39"/>
      <c r="B129" s="287"/>
      <c r="C129" s="288"/>
      <c r="D129" s="288"/>
      <c r="E129" s="288"/>
      <c r="F129" s="288"/>
      <c r="G129" s="288"/>
      <c r="H129" s="288"/>
      <c r="I129" s="288"/>
      <c r="J129" s="289"/>
    </row>
    <row r="130" spans="1:10" ht="7.5" customHeight="1" x14ac:dyDescent="0.15">
      <c r="A130" s="39"/>
      <c r="B130" s="102"/>
      <c r="C130" s="102"/>
      <c r="D130" s="102"/>
      <c r="E130" s="102"/>
      <c r="F130" s="102"/>
      <c r="G130" s="102"/>
      <c r="H130" s="102"/>
      <c r="I130" s="102"/>
      <c r="J130" s="102"/>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3"/>
      <c r="B144" s="103"/>
      <c r="C144" s="103"/>
      <c r="D144" s="103"/>
      <c r="E144" s="103"/>
      <c r="F144" s="103"/>
      <c r="G144" s="103"/>
      <c r="H144" s="103"/>
      <c r="I144" s="103"/>
      <c r="J144" s="10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128</v>
      </c>
      <c r="J1" s="41" t="s">
        <v>77</v>
      </c>
    </row>
    <row r="2" spans="1:11" ht="18.75" customHeight="1" x14ac:dyDescent="0.15">
      <c r="A2" s="255" t="s">
        <v>44</v>
      </c>
      <c r="B2" s="255"/>
      <c r="C2" s="255"/>
      <c r="D2" s="255"/>
      <c r="E2" s="255"/>
      <c r="F2" s="255"/>
      <c r="G2" s="255"/>
      <c r="H2" s="255"/>
      <c r="I2" s="255"/>
      <c r="J2" s="255"/>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04" t="s">
        <v>40</v>
      </c>
      <c r="C5" s="305"/>
      <c r="D5" s="306"/>
      <c r="E5" s="307" t="s">
        <v>42</v>
      </c>
      <c r="F5" s="307"/>
      <c r="G5" s="307"/>
      <c r="H5" s="307"/>
      <c r="I5" s="307"/>
      <c r="J5" s="308"/>
    </row>
    <row r="6" spans="1:11" ht="18.75" customHeight="1" x14ac:dyDescent="0.15">
      <c r="B6" s="3" t="s">
        <v>30</v>
      </c>
      <c r="C6" s="39"/>
      <c r="D6" s="7"/>
      <c r="I6" s="40"/>
      <c r="J6" s="5"/>
    </row>
    <row r="7" spans="1:11" ht="207" customHeight="1" x14ac:dyDescent="0.15">
      <c r="B7" s="6"/>
      <c r="C7" s="309" t="s">
        <v>31</v>
      </c>
      <c r="D7" s="310"/>
      <c r="E7" s="301" t="s">
        <v>212</v>
      </c>
      <c r="F7" s="302"/>
      <c r="G7" s="302"/>
      <c r="H7" s="302"/>
      <c r="I7" s="302"/>
      <c r="J7" s="303"/>
      <c r="K7" s="31" t="str">
        <f>IF(E7="","入力してください","")</f>
        <v/>
      </c>
    </row>
    <row r="8" spans="1:11" ht="207" customHeight="1" x14ac:dyDescent="0.15">
      <c r="B8" s="6"/>
      <c r="C8" s="299" t="s">
        <v>32</v>
      </c>
      <c r="D8" s="300"/>
      <c r="E8" s="301" t="s">
        <v>184</v>
      </c>
      <c r="F8" s="302"/>
      <c r="G8" s="302"/>
      <c r="H8" s="302"/>
      <c r="I8" s="302"/>
      <c r="J8" s="303"/>
      <c r="K8" s="31" t="str">
        <f>IF(E8="","入力してください","")</f>
        <v/>
      </c>
    </row>
    <row r="9" spans="1:11" ht="172.5" customHeight="1" x14ac:dyDescent="0.15">
      <c r="B9" s="6"/>
      <c r="C9" s="309" t="s">
        <v>33</v>
      </c>
      <c r="D9" s="310"/>
      <c r="E9" s="301" t="s">
        <v>203</v>
      </c>
      <c r="F9" s="302"/>
      <c r="G9" s="302"/>
      <c r="H9" s="302"/>
      <c r="I9" s="302"/>
      <c r="J9" s="303"/>
      <c r="K9" s="31" t="str">
        <f>IF(E9="","入力してください","")</f>
        <v/>
      </c>
    </row>
    <row r="10" spans="1:11" ht="172.5" customHeight="1" x14ac:dyDescent="0.15">
      <c r="B10" s="6"/>
      <c r="C10" s="309" t="s">
        <v>34</v>
      </c>
      <c r="D10" s="310"/>
      <c r="E10" s="301" t="s">
        <v>185</v>
      </c>
      <c r="F10" s="302"/>
      <c r="G10" s="302"/>
      <c r="H10" s="302"/>
      <c r="I10" s="302"/>
      <c r="J10" s="303"/>
      <c r="K10" s="31" t="str">
        <f t="shared" ref="K10:K14" si="0">IF(E10="","入力してください","")</f>
        <v/>
      </c>
    </row>
    <row r="11" spans="1:11" ht="172.5" customHeight="1" x14ac:dyDescent="0.15">
      <c r="B11" s="6"/>
      <c r="C11" s="309" t="s">
        <v>35</v>
      </c>
      <c r="D11" s="310"/>
      <c r="E11" s="311" t="s">
        <v>213</v>
      </c>
      <c r="F11" s="312"/>
      <c r="G11" s="312"/>
      <c r="H11" s="312"/>
      <c r="I11" s="312"/>
      <c r="J11" s="313"/>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09" t="s">
        <v>37</v>
      </c>
      <c r="D13" s="310"/>
      <c r="E13" s="302" t="s">
        <v>186</v>
      </c>
      <c r="F13" s="302"/>
      <c r="G13" s="302"/>
      <c r="H13" s="302"/>
      <c r="I13" s="302"/>
      <c r="J13" s="303"/>
      <c r="K13" s="31" t="str">
        <f t="shared" si="0"/>
        <v/>
      </c>
    </row>
    <row r="14" spans="1:11" ht="255" customHeight="1" x14ac:dyDescent="0.15">
      <c r="B14" s="6"/>
      <c r="C14" s="309" t="s">
        <v>38</v>
      </c>
      <c r="D14" s="310"/>
      <c r="E14" s="302" t="s">
        <v>187</v>
      </c>
      <c r="F14" s="302"/>
      <c r="G14" s="302"/>
      <c r="H14" s="302"/>
      <c r="I14" s="302"/>
      <c r="J14" s="303"/>
      <c r="K14" s="31" t="str">
        <f t="shared" si="0"/>
        <v/>
      </c>
    </row>
    <row r="15" spans="1:11" ht="243" customHeight="1" x14ac:dyDescent="0.15">
      <c r="B15" s="320" t="s">
        <v>39</v>
      </c>
      <c r="C15" s="321"/>
      <c r="D15" s="310"/>
      <c r="E15" s="302" t="s">
        <v>209</v>
      </c>
      <c r="F15" s="302"/>
      <c r="G15" s="302"/>
      <c r="H15" s="302"/>
      <c r="I15" s="302"/>
      <c r="J15" s="303"/>
      <c r="K15" s="31" t="str">
        <f>IF(E15="","入力してください","")</f>
        <v/>
      </c>
    </row>
    <row r="16" spans="1:11" ht="243" customHeight="1" x14ac:dyDescent="0.15">
      <c r="A16" s="31"/>
      <c r="B16" s="314" t="s">
        <v>68</v>
      </c>
      <c r="C16" s="315"/>
      <c r="D16" s="316"/>
      <c r="E16" s="296" t="s">
        <v>188</v>
      </c>
      <c r="F16" s="296"/>
      <c r="G16" s="296"/>
      <c r="H16" s="296"/>
      <c r="I16" s="296"/>
      <c r="J16" s="297"/>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129</v>
      </c>
      <c r="B18" s="4"/>
      <c r="C18" s="39"/>
      <c r="D18" s="39"/>
      <c r="E18" s="40"/>
      <c r="F18" s="94"/>
      <c r="G18" s="317" t="s">
        <v>189</v>
      </c>
      <c r="H18" s="318"/>
      <c r="I18" s="318"/>
      <c r="J18" s="319"/>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54" t="s">
        <v>7</v>
      </c>
      <c r="F1" s="254"/>
    </row>
    <row r="2" spans="1:6" ht="18.75" customHeight="1" x14ac:dyDescent="0.15">
      <c r="A2" s="322" t="s">
        <v>153</v>
      </c>
      <c r="B2" s="322"/>
      <c r="C2" s="322"/>
      <c r="D2" s="322"/>
      <c r="E2" s="322"/>
      <c r="F2" s="322"/>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323" t="s">
        <v>221</v>
      </c>
      <c r="C5" s="324"/>
      <c r="D5" s="324"/>
      <c r="E5" s="324"/>
      <c r="F5" s="325"/>
    </row>
    <row r="6" spans="1:6" ht="18.75" customHeight="1" x14ac:dyDescent="0.15">
      <c r="A6" s="38"/>
      <c r="B6" s="274"/>
      <c r="C6" s="275"/>
      <c r="D6" s="275"/>
      <c r="E6" s="275"/>
      <c r="F6" s="276"/>
    </row>
    <row r="7" spans="1:6" ht="18.75" customHeight="1" x14ac:dyDescent="0.15">
      <c r="A7" s="38"/>
      <c r="B7" s="274"/>
      <c r="C7" s="275"/>
      <c r="D7" s="275"/>
      <c r="E7" s="275"/>
      <c r="F7" s="276"/>
    </row>
    <row r="8" spans="1:6" ht="18.75" customHeight="1" x14ac:dyDescent="0.15">
      <c r="A8" s="38"/>
      <c r="B8" s="274"/>
      <c r="C8" s="275"/>
      <c r="D8" s="275"/>
      <c r="E8" s="275"/>
      <c r="F8" s="276"/>
    </row>
    <row r="9" spans="1:6" ht="18.75" customHeight="1" x14ac:dyDescent="0.15">
      <c r="A9" s="38"/>
      <c r="B9" s="274"/>
      <c r="C9" s="275"/>
      <c r="D9" s="275"/>
      <c r="E9" s="275"/>
      <c r="F9" s="276"/>
    </row>
    <row r="10" spans="1:6" ht="18.75" customHeight="1" x14ac:dyDescent="0.15">
      <c r="A10" s="38"/>
      <c r="B10" s="274"/>
      <c r="C10" s="275"/>
      <c r="D10" s="275"/>
      <c r="E10" s="275"/>
      <c r="F10" s="276"/>
    </row>
    <row r="11" spans="1:6" ht="18.75" customHeight="1" x14ac:dyDescent="0.15">
      <c r="A11" s="38"/>
      <c r="B11" s="274"/>
      <c r="C11" s="275"/>
      <c r="D11" s="275"/>
      <c r="E11" s="275"/>
      <c r="F11" s="276"/>
    </row>
    <row r="12" spans="1:6" ht="18.75" customHeight="1" x14ac:dyDescent="0.15">
      <c r="A12" s="38"/>
      <c r="B12" s="274"/>
      <c r="C12" s="275"/>
      <c r="D12" s="275"/>
      <c r="E12" s="275"/>
      <c r="F12" s="276"/>
    </row>
    <row r="13" spans="1:6" ht="18.75" customHeight="1" x14ac:dyDescent="0.15">
      <c r="A13" s="38"/>
      <c r="B13" s="274"/>
      <c r="C13" s="275"/>
      <c r="D13" s="275"/>
      <c r="E13" s="275"/>
      <c r="F13" s="276"/>
    </row>
    <row r="14" spans="1:6" ht="18.75" customHeight="1" x14ac:dyDescent="0.15">
      <c r="A14" s="38"/>
      <c r="B14" s="274"/>
      <c r="C14" s="275"/>
      <c r="D14" s="275"/>
      <c r="E14" s="275"/>
      <c r="F14" s="276"/>
    </row>
    <row r="15" spans="1:6" ht="18.75" customHeight="1" x14ac:dyDescent="0.15">
      <c r="A15" s="38"/>
      <c r="B15" s="274"/>
      <c r="C15" s="275"/>
      <c r="D15" s="275"/>
      <c r="E15" s="275"/>
      <c r="F15" s="276"/>
    </row>
    <row r="16" spans="1:6" ht="18.75" customHeight="1" x14ac:dyDescent="0.15">
      <c r="A16" s="38"/>
      <c r="B16" s="274"/>
      <c r="C16" s="275"/>
      <c r="D16" s="275"/>
      <c r="E16" s="275"/>
      <c r="F16" s="276"/>
    </row>
    <row r="17" spans="1:6" ht="18.75" customHeight="1" x14ac:dyDescent="0.15">
      <c r="A17" s="38"/>
      <c r="B17" s="274"/>
      <c r="C17" s="275"/>
      <c r="D17" s="275"/>
      <c r="E17" s="275"/>
      <c r="F17" s="276"/>
    </row>
    <row r="18" spans="1:6" ht="18.75" customHeight="1" x14ac:dyDescent="0.15">
      <c r="A18" s="38"/>
      <c r="B18" s="274"/>
      <c r="C18" s="275"/>
      <c r="D18" s="275"/>
      <c r="E18" s="275"/>
      <c r="F18" s="276"/>
    </row>
    <row r="19" spans="1:6" ht="18.75" customHeight="1" x14ac:dyDescent="0.15">
      <c r="A19" s="38"/>
      <c r="B19" s="274"/>
      <c r="C19" s="275"/>
      <c r="D19" s="275"/>
      <c r="E19" s="275"/>
      <c r="F19" s="276"/>
    </row>
    <row r="20" spans="1:6" ht="18.75" customHeight="1" x14ac:dyDescent="0.15">
      <c r="A20" s="38"/>
      <c r="B20" s="274"/>
      <c r="C20" s="275"/>
      <c r="D20" s="275"/>
      <c r="E20" s="275"/>
      <c r="F20" s="276"/>
    </row>
    <row r="21" spans="1:6" ht="18.75" customHeight="1" x14ac:dyDescent="0.15">
      <c r="A21" s="38"/>
      <c r="B21" s="274"/>
      <c r="C21" s="275"/>
      <c r="D21" s="275"/>
      <c r="E21" s="275"/>
      <c r="F21" s="276"/>
    </row>
    <row r="22" spans="1:6" ht="18.75" customHeight="1" x14ac:dyDescent="0.15">
      <c r="A22" s="38"/>
      <c r="B22" s="274"/>
      <c r="C22" s="275"/>
      <c r="D22" s="275"/>
      <c r="E22" s="275"/>
      <c r="F22" s="276"/>
    </row>
    <row r="23" spans="1:6" ht="18.75" customHeight="1" x14ac:dyDescent="0.15">
      <c r="A23" s="38"/>
      <c r="B23" s="274"/>
      <c r="C23" s="275"/>
      <c r="D23" s="275"/>
      <c r="E23" s="275"/>
      <c r="F23" s="276"/>
    </row>
    <row r="24" spans="1:6" ht="18.75" customHeight="1" x14ac:dyDescent="0.15">
      <c r="A24" s="38"/>
      <c r="B24" s="274"/>
      <c r="C24" s="275"/>
      <c r="D24" s="275"/>
      <c r="E24" s="275"/>
      <c r="F24" s="276"/>
    </row>
    <row r="25" spans="1:6" ht="18.75" customHeight="1" x14ac:dyDescent="0.15">
      <c r="A25" s="38"/>
      <c r="B25" s="274"/>
      <c r="C25" s="275"/>
      <c r="D25" s="275"/>
      <c r="E25" s="275"/>
      <c r="F25" s="276"/>
    </row>
    <row r="26" spans="1:6" ht="18.75" customHeight="1" x14ac:dyDescent="0.15">
      <c r="A26" s="38"/>
      <c r="B26" s="274"/>
      <c r="C26" s="275"/>
      <c r="D26" s="275"/>
      <c r="E26" s="275"/>
      <c r="F26" s="276"/>
    </row>
    <row r="27" spans="1:6" ht="18.75" customHeight="1" x14ac:dyDescent="0.15">
      <c r="A27" s="38"/>
      <c r="B27" s="274"/>
      <c r="C27" s="275"/>
      <c r="D27" s="275"/>
      <c r="E27" s="275"/>
      <c r="F27" s="276"/>
    </row>
    <row r="28" spans="1:6" ht="18.75" customHeight="1" x14ac:dyDescent="0.15">
      <c r="A28" s="38"/>
      <c r="B28" s="274"/>
      <c r="C28" s="275"/>
      <c r="D28" s="275"/>
      <c r="E28" s="275"/>
      <c r="F28" s="276"/>
    </row>
    <row r="29" spans="1:6" ht="18.75" customHeight="1" x14ac:dyDescent="0.15">
      <c r="A29" s="38"/>
      <c r="B29" s="274"/>
      <c r="C29" s="275"/>
      <c r="D29" s="275"/>
      <c r="E29" s="275"/>
      <c r="F29" s="276"/>
    </row>
    <row r="30" spans="1:6" ht="18.75" customHeight="1" x14ac:dyDescent="0.15">
      <c r="A30" s="38"/>
      <c r="B30" s="274"/>
      <c r="C30" s="275"/>
      <c r="D30" s="275"/>
      <c r="E30" s="275"/>
      <c r="F30" s="276"/>
    </row>
    <row r="31" spans="1:6" ht="18.75" customHeight="1" x14ac:dyDescent="0.15">
      <c r="A31" s="38"/>
      <c r="B31" s="274"/>
      <c r="C31" s="275"/>
      <c r="D31" s="275"/>
      <c r="E31" s="275"/>
      <c r="F31" s="276"/>
    </row>
    <row r="32" spans="1:6" ht="18.75" customHeight="1" x14ac:dyDescent="0.15">
      <c r="A32" s="38"/>
      <c r="B32" s="274"/>
      <c r="C32" s="275"/>
      <c r="D32" s="275"/>
      <c r="E32" s="275"/>
      <c r="F32" s="276"/>
    </row>
    <row r="33" spans="1:6" ht="18.75" customHeight="1" x14ac:dyDescent="0.15">
      <c r="A33" s="38"/>
      <c r="B33" s="274"/>
      <c r="C33" s="275"/>
      <c r="D33" s="275"/>
      <c r="E33" s="275"/>
      <c r="F33" s="276"/>
    </row>
    <row r="34" spans="1:6" ht="18.75" customHeight="1" x14ac:dyDescent="0.15">
      <c r="A34" s="38"/>
      <c r="B34" s="274"/>
      <c r="C34" s="275"/>
      <c r="D34" s="275"/>
      <c r="E34" s="275"/>
      <c r="F34" s="276"/>
    </row>
    <row r="35" spans="1:6" ht="18.75" customHeight="1" x14ac:dyDescent="0.15">
      <c r="A35" s="38"/>
      <c r="B35" s="274"/>
      <c r="C35" s="275"/>
      <c r="D35" s="275"/>
      <c r="E35" s="275"/>
      <c r="F35" s="276"/>
    </row>
    <row r="36" spans="1:6" ht="18.75" customHeight="1" x14ac:dyDescent="0.15">
      <c r="A36" s="38"/>
      <c r="B36" s="274"/>
      <c r="C36" s="275"/>
      <c r="D36" s="275"/>
      <c r="E36" s="275"/>
      <c r="F36" s="276"/>
    </row>
    <row r="37" spans="1:6" ht="18.75" customHeight="1" x14ac:dyDescent="0.15">
      <c r="A37" s="38"/>
      <c r="B37" s="274"/>
      <c r="C37" s="275"/>
      <c r="D37" s="275"/>
      <c r="E37" s="275"/>
      <c r="F37" s="276"/>
    </row>
    <row r="38" spans="1:6" ht="18.75" customHeight="1" x14ac:dyDescent="0.15">
      <c r="A38" s="38"/>
      <c r="B38" s="274"/>
      <c r="C38" s="275"/>
      <c r="D38" s="275"/>
      <c r="E38" s="275"/>
      <c r="F38" s="276"/>
    </row>
    <row r="39" spans="1:6" ht="18.75" customHeight="1" x14ac:dyDescent="0.15">
      <c r="A39" s="38"/>
      <c r="B39" s="274"/>
      <c r="C39" s="275"/>
      <c r="D39" s="275"/>
      <c r="E39" s="275"/>
      <c r="F39" s="276"/>
    </row>
    <row r="40" spans="1:6" ht="18.75" customHeight="1" x14ac:dyDescent="0.15">
      <c r="A40" s="38"/>
      <c r="B40" s="274"/>
      <c r="C40" s="275"/>
      <c r="D40" s="275"/>
      <c r="E40" s="275"/>
      <c r="F40" s="276"/>
    </row>
    <row r="41" spans="1:6" ht="18.75" customHeight="1" x14ac:dyDescent="0.15">
      <c r="A41" s="38"/>
      <c r="B41" s="274"/>
      <c r="C41" s="275"/>
      <c r="D41" s="275"/>
      <c r="E41" s="275"/>
      <c r="F41" s="276"/>
    </row>
    <row r="42" spans="1:6" ht="18.75" customHeight="1" x14ac:dyDescent="0.15">
      <c r="A42" s="38"/>
      <c r="B42" s="277"/>
      <c r="C42" s="278"/>
      <c r="D42" s="278"/>
      <c r="E42" s="278"/>
      <c r="F42" s="279"/>
    </row>
    <row r="43" spans="1:6" ht="18.75" customHeight="1" x14ac:dyDescent="0.15">
      <c r="A43" s="38" t="s">
        <v>10</v>
      </c>
      <c r="B43" s="4" t="s">
        <v>73</v>
      </c>
      <c r="C43" s="38"/>
      <c r="D43" s="38"/>
      <c r="E43" s="38"/>
      <c r="F43" s="38"/>
    </row>
    <row r="44" spans="1:6" ht="18.75" customHeight="1" x14ac:dyDescent="0.15">
      <c r="A44" s="38"/>
      <c r="B44" s="323" t="s">
        <v>222</v>
      </c>
      <c r="C44" s="324"/>
      <c r="D44" s="324"/>
      <c r="E44" s="324"/>
      <c r="F44" s="325"/>
    </row>
    <row r="45" spans="1:6" ht="18.75" customHeight="1" x14ac:dyDescent="0.15">
      <c r="A45" s="38"/>
      <c r="B45" s="274"/>
      <c r="C45" s="275"/>
      <c r="D45" s="275"/>
      <c r="E45" s="275"/>
      <c r="F45" s="276"/>
    </row>
    <row r="46" spans="1:6" ht="18.75" customHeight="1" x14ac:dyDescent="0.15">
      <c r="A46" s="38"/>
      <c r="B46" s="274"/>
      <c r="C46" s="275"/>
      <c r="D46" s="275"/>
      <c r="E46" s="275"/>
      <c r="F46" s="276"/>
    </row>
    <row r="47" spans="1:6" ht="18.75" customHeight="1" x14ac:dyDescent="0.15">
      <c r="A47" s="38"/>
      <c r="B47" s="274"/>
      <c r="C47" s="275"/>
      <c r="D47" s="275"/>
      <c r="E47" s="275"/>
      <c r="F47" s="276"/>
    </row>
    <row r="48" spans="1:6" ht="18.75" customHeight="1" x14ac:dyDescent="0.15">
      <c r="A48" s="38"/>
      <c r="B48" s="274"/>
      <c r="C48" s="275"/>
      <c r="D48" s="275"/>
      <c r="E48" s="275"/>
      <c r="F48" s="276"/>
    </row>
    <row r="49" spans="1:6" ht="18.75" customHeight="1" x14ac:dyDescent="0.15">
      <c r="A49" s="38"/>
      <c r="B49" s="274"/>
      <c r="C49" s="275"/>
      <c r="D49" s="275"/>
      <c r="E49" s="275"/>
      <c r="F49" s="276"/>
    </row>
    <row r="50" spans="1:6" ht="18.75" customHeight="1" x14ac:dyDescent="0.15">
      <c r="A50" s="38"/>
      <c r="B50" s="274"/>
      <c r="C50" s="275"/>
      <c r="D50" s="275"/>
      <c r="E50" s="275"/>
      <c r="F50" s="276"/>
    </row>
    <row r="51" spans="1:6" ht="18.75" customHeight="1" x14ac:dyDescent="0.15">
      <c r="A51" s="38"/>
      <c r="B51" s="274"/>
      <c r="C51" s="275"/>
      <c r="D51" s="275"/>
      <c r="E51" s="275"/>
      <c r="F51" s="276"/>
    </row>
    <row r="52" spans="1:6" ht="18.75" customHeight="1" x14ac:dyDescent="0.15">
      <c r="A52" s="38"/>
      <c r="B52" s="274"/>
      <c r="C52" s="275"/>
      <c r="D52" s="275"/>
      <c r="E52" s="275"/>
      <c r="F52" s="276"/>
    </row>
    <row r="53" spans="1:6" ht="18.75" customHeight="1" x14ac:dyDescent="0.15">
      <c r="A53" s="38"/>
      <c r="B53" s="274"/>
      <c r="C53" s="275"/>
      <c r="D53" s="275"/>
      <c r="E53" s="275"/>
      <c r="F53" s="276"/>
    </row>
    <row r="54" spans="1:6" ht="18.75" customHeight="1" x14ac:dyDescent="0.15">
      <c r="A54" s="38"/>
      <c r="B54" s="274"/>
      <c r="C54" s="275"/>
      <c r="D54" s="275"/>
      <c r="E54" s="275"/>
      <c r="F54" s="276"/>
    </row>
    <row r="55" spans="1:6" ht="18.75" customHeight="1" x14ac:dyDescent="0.15">
      <c r="A55" s="38"/>
      <c r="B55" s="274"/>
      <c r="C55" s="275"/>
      <c r="D55" s="275"/>
      <c r="E55" s="275"/>
      <c r="F55" s="276"/>
    </row>
    <row r="56" spans="1:6" ht="18.75" customHeight="1" x14ac:dyDescent="0.15">
      <c r="A56" s="38"/>
      <c r="B56" s="274"/>
      <c r="C56" s="275"/>
      <c r="D56" s="275"/>
      <c r="E56" s="275"/>
      <c r="F56" s="276"/>
    </row>
    <row r="57" spans="1:6" ht="18.75" customHeight="1" x14ac:dyDescent="0.15">
      <c r="A57" s="38"/>
      <c r="B57" s="274"/>
      <c r="C57" s="275"/>
      <c r="D57" s="275"/>
      <c r="E57" s="275"/>
      <c r="F57" s="276"/>
    </row>
    <row r="58" spans="1:6" ht="18.75" customHeight="1" x14ac:dyDescent="0.15">
      <c r="A58" s="38"/>
      <c r="B58" s="274"/>
      <c r="C58" s="275"/>
      <c r="D58" s="275"/>
      <c r="E58" s="275"/>
      <c r="F58" s="276"/>
    </row>
    <row r="59" spans="1:6" ht="18.75" customHeight="1" x14ac:dyDescent="0.15">
      <c r="A59" s="38"/>
      <c r="B59" s="274"/>
      <c r="C59" s="275"/>
      <c r="D59" s="275"/>
      <c r="E59" s="275"/>
      <c r="F59" s="276"/>
    </row>
    <row r="60" spans="1:6" ht="18.75" customHeight="1" x14ac:dyDescent="0.15">
      <c r="A60" s="38"/>
      <c r="B60" s="274"/>
      <c r="C60" s="275"/>
      <c r="D60" s="275"/>
      <c r="E60" s="275"/>
      <c r="F60" s="276"/>
    </row>
    <row r="61" spans="1:6" ht="18.75" customHeight="1" x14ac:dyDescent="0.15">
      <c r="A61" s="38"/>
      <c r="B61" s="274"/>
      <c r="C61" s="275"/>
      <c r="D61" s="275"/>
      <c r="E61" s="275"/>
      <c r="F61" s="276"/>
    </row>
    <row r="62" spans="1:6" ht="18.75" customHeight="1" x14ac:dyDescent="0.15">
      <c r="A62" s="38"/>
      <c r="B62" s="274"/>
      <c r="C62" s="275"/>
      <c r="D62" s="275"/>
      <c r="E62" s="275"/>
      <c r="F62" s="276"/>
    </row>
    <row r="63" spans="1:6" ht="18.75" customHeight="1" x14ac:dyDescent="0.15">
      <c r="A63" s="38"/>
      <c r="B63" s="274"/>
      <c r="C63" s="275"/>
      <c r="D63" s="275"/>
      <c r="E63" s="275"/>
      <c r="F63" s="276"/>
    </row>
    <row r="64" spans="1:6" ht="18.75" customHeight="1" x14ac:dyDescent="0.15">
      <c r="A64" s="38"/>
      <c r="B64" s="274"/>
      <c r="C64" s="275"/>
      <c r="D64" s="275"/>
      <c r="E64" s="275"/>
      <c r="F64" s="276"/>
    </row>
    <row r="65" spans="1:6" ht="18.75" customHeight="1" x14ac:dyDescent="0.15">
      <c r="A65" s="38"/>
      <c r="B65" s="274"/>
      <c r="C65" s="275"/>
      <c r="D65" s="275"/>
      <c r="E65" s="275"/>
      <c r="F65" s="276"/>
    </row>
    <row r="66" spans="1:6" ht="18.75" customHeight="1" x14ac:dyDescent="0.15">
      <c r="A66" s="38"/>
      <c r="B66" s="274"/>
      <c r="C66" s="275"/>
      <c r="D66" s="275"/>
      <c r="E66" s="275"/>
      <c r="F66" s="276"/>
    </row>
    <row r="67" spans="1:6" ht="18.75" customHeight="1" x14ac:dyDescent="0.15">
      <c r="A67" s="38"/>
      <c r="B67" s="274"/>
      <c r="C67" s="275"/>
      <c r="D67" s="275"/>
      <c r="E67" s="275"/>
      <c r="F67" s="276"/>
    </row>
    <row r="68" spans="1:6" ht="18.75" customHeight="1" x14ac:dyDescent="0.15">
      <c r="A68" s="38"/>
      <c r="B68" s="274"/>
      <c r="C68" s="275"/>
      <c r="D68" s="275"/>
      <c r="E68" s="275"/>
      <c r="F68" s="276"/>
    </row>
    <row r="69" spans="1:6" ht="18.75" customHeight="1" x14ac:dyDescent="0.15">
      <c r="A69" s="38"/>
      <c r="B69" s="274"/>
      <c r="C69" s="275"/>
      <c r="D69" s="275"/>
      <c r="E69" s="275"/>
      <c r="F69" s="276"/>
    </row>
    <row r="70" spans="1:6" ht="18.75" customHeight="1" x14ac:dyDescent="0.15">
      <c r="A70" s="38"/>
      <c r="B70" s="274"/>
      <c r="C70" s="275"/>
      <c r="D70" s="275"/>
      <c r="E70" s="275"/>
      <c r="F70" s="276"/>
    </row>
    <row r="71" spans="1:6" ht="18.75" customHeight="1" x14ac:dyDescent="0.15">
      <c r="A71" s="38"/>
      <c r="B71" s="274"/>
      <c r="C71" s="275"/>
      <c r="D71" s="275"/>
      <c r="E71" s="275"/>
      <c r="F71" s="276"/>
    </row>
    <row r="72" spans="1:6" ht="18.75" customHeight="1" x14ac:dyDescent="0.15">
      <c r="A72" s="38"/>
      <c r="B72" s="274"/>
      <c r="C72" s="275"/>
      <c r="D72" s="275"/>
      <c r="E72" s="275"/>
      <c r="F72" s="276"/>
    </row>
    <row r="73" spans="1:6" ht="18.75" customHeight="1" x14ac:dyDescent="0.15">
      <c r="A73" s="38"/>
      <c r="B73" s="274"/>
      <c r="C73" s="275"/>
      <c r="D73" s="275"/>
      <c r="E73" s="275"/>
      <c r="F73" s="276"/>
    </row>
    <row r="74" spans="1:6" ht="18.75" customHeight="1" x14ac:dyDescent="0.15">
      <c r="A74" s="38"/>
      <c r="B74" s="274"/>
      <c r="C74" s="275"/>
      <c r="D74" s="275"/>
      <c r="E74" s="275"/>
      <c r="F74" s="276"/>
    </row>
    <row r="75" spans="1:6" ht="18.75" customHeight="1" x14ac:dyDescent="0.15">
      <c r="A75" s="38"/>
      <c r="B75" s="274"/>
      <c r="C75" s="275"/>
      <c r="D75" s="275"/>
      <c r="E75" s="275"/>
      <c r="F75" s="276"/>
    </row>
    <row r="76" spans="1:6" ht="18.75" customHeight="1" x14ac:dyDescent="0.15">
      <c r="A76" s="38"/>
      <c r="B76" s="274"/>
      <c r="C76" s="275"/>
      <c r="D76" s="275"/>
      <c r="E76" s="275"/>
      <c r="F76" s="276"/>
    </row>
    <row r="77" spans="1:6" ht="18.75" customHeight="1" x14ac:dyDescent="0.15">
      <c r="A77" s="38"/>
      <c r="B77" s="274"/>
      <c r="C77" s="275"/>
      <c r="D77" s="275"/>
      <c r="E77" s="275"/>
      <c r="F77" s="276"/>
    </row>
    <row r="78" spans="1:6" ht="18.75" customHeight="1" x14ac:dyDescent="0.15">
      <c r="A78" s="38"/>
      <c r="B78" s="274"/>
      <c r="C78" s="275"/>
      <c r="D78" s="275"/>
      <c r="E78" s="275"/>
      <c r="F78" s="276"/>
    </row>
    <row r="79" spans="1:6" ht="18.75" customHeight="1" x14ac:dyDescent="0.15">
      <c r="A79" s="38"/>
      <c r="B79" s="274"/>
      <c r="C79" s="275"/>
      <c r="D79" s="275"/>
      <c r="E79" s="275"/>
      <c r="F79" s="276"/>
    </row>
    <row r="80" spans="1:6" ht="18.75" customHeight="1" x14ac:dyDescent="0.15">
      <c r="A80" s="38"/>
      <c r="B80" s="274"/>
      <c r="C80" s="275"/>
      <c r="D80" s="275"/>
      <c r="E80" s="275"/>
      <c r="F80" s="276"/>
    </row>
    <row r="81" spans="1:6" ht="18.75" customHeight="1" x14ac:dyDescent="0.15">
      <c r="A81" s="38"/>
      <c r="B81" s="274"/>
      <c r="C81" s="275"/>
      <c r="D81" s="275"/>
      <c r="E81" s="275"/>
      <c r="F81" s="276"/>
    </row>
    <row r="82" spans="1:6" ht="18.75" customHeight="1" x14ac:dyDescent="0.15">
      <c r="A82" s="38"/>
      <c r="B82" s="274"/>
      <c r="C82" s="275"/>
      <c r="D82" s="275"/>
      <c r="E82" s="275"/>
      <c r="F82" s="276"/>
    </row>
    <row r="83" spans="1:6" ht="18.75" customHeight="1" x14ac:dyDescent="0.15">
      <c r="A83" s="38"/>
      <c r="B83" s="277"/>
      <c r="C83" s="278"/>
      <c r="D83" s="278"/>
      <c r="E83" s="278"/>
      <c r="F83" s="279"/>
    </row>
    <row r="84" spans="1:6" ht="18.75" customHeight="1" x14ac:dyDescent="0.15">
      <c r="A84" s="4" t="s">
        <v>11</v>
      </c>
      <c r="B84" s="4" t="s">
        <v>74</v>
      </c>
      <c r="C84" s="4"/>
      <c r="D84" s="4"/>
      <c r="E84" s="4"/>
      <c r="F84" s="4"/>
    </row>
    <row r="85" spans="1:6" ht="18.75" customHeight="1" x14ac:dyDescent="0.15">
      <c r="A85" s="38"/>
      <c r="B85" s="326" t="s">
        <v>215</v>
      </c>
      <c r="C85" s="327"/>
      <c r="D85" s="327"/>
      <c r="E85" s="327"/>
      <c r="F85" s="328"/>
    </row>
    <row r="86" spans="1:6" ht="18.75" customHeight="1" x14ac:dyDescent="0.15">
      <c r="A86" s="38"/>
      <c r="B86" s="329"/>
      <c r="C86" s="330"/>
      <c r="D86" s="330"/>
      <c r="E86" s="330"/>
      <c r="F86" s="331"/>
    </row>
    <row r="87" spans="1:6" ht="18.75" customHeight="1" x14ac:dyDescent="0.15">
      <c r="A87" s="38"/>
      <c r="B87" s="329"/>
      <c r="C87" s="330"/>
      <c r="D87" s="330"/>
      <c r="E87" s="330"/>
      <c r="F87" s="331"/>
    </row>
    <row r="88" spans="1:6" ht="18.75" customHeight="1" x14ac:dyDescent="0.15">
      <c r="A88" s="38"/>
      <c r="B88" s="329"/>
      <c r="C88" s="330"/>
      <c r="D88" s="330"/>
      <c r="E88" s="330"/>
      <c r="F88" s="331"/>
    </row>
    <row r="89" spans="1:6" ht="18.75" customHeight="1" x14ac:dyDescent="0.15">
      <c r="A89" s="38"/>
      <c r="B89" s="329"/>
      <c r="C89" s="330"/>
      <c r="D89" s="330"/>
      <c r="E89" s="330"/>
      <c r="F89" s="331"/>
    </row>
    <row r="90" spans="1:6" ht="18.75" customHeight="1" x14ac:dyDescent="0.15">
      <c r="A90" s="38"/>
      <c r="B90" s="329"/>
      <c r="C90" s="330"/>
      <c r="D90" s="330"/>
      <c r="E90" s="330"/>
      <c r="F90" s="331"/>
    </row>
    <row r="91" spans="1:6" ht="18.75" customHeight="1" x14ac:dyDescent="0.15">
      <c r="A91" s="38"/>
      <c r="B91" s="329"/>
      <c r="C91" s="330"/>
      <c r="D91" s="330"/>
      <c r="E91" s="330"/>
      <c r="F91" s="331"/>
    </row>
    <row r="92" spans="1:6" ht="18.75" customHeight="1" x14ac:dyDescent="0.15">
      <c r="A92" s="38"/>
      <c r="B92" s="329"/>
      <c r="C92" s="330"/>
      <c r="D92" s="330"/>
      <c r="E92" s="330"/>
      <c r="F92" s="331"/>
    </row>
    <row r="93" spans="1:6" ht="18.75" customHeight="1" x14ac:dyDescent="0.15">
      <c r="A93" s="38"/>
      <c r="B93" s="329"/>
      <c r="C93" s="330"/>
      <c r="D93" s="330"/>
      <c r="E93" s="330"/>
      <c r="F93" s="331"/>
    </row>
    <row r="94" spans="1:6" ht="18.75" customHeight="1" x14ac:dyDescent="0.15">
      <c r="A94" s="38"/>
      <c r="B94" s="329"/>
      <c r="C94" s="330"/>
      <c r="D94" s="330"/>
      <c r="E94" s="330"/>
      <c r="F94" s="331"/>
    </row>
    <row r="95" spans="1:6" ht="18.75" customHeight="1" x14ac:dyDescent="0.15">
      <c r="A95" s="38"/>
      <c r="B95" s="329"/>
      <c r="C95" s="330"/>
      <c r="D95" s="330"/>
      <c r="E95" s="330"/>
      <c r="F95" s="331"/>
    </row>
    <row r="96" spans="1:6" ht="18.75" customHeight="1" x14ac:dyDescent="0.15">
      <c r="A96" s="38"/>
      <c r="B96" s="329"/>
      <c r="C96" s="330"/>
      <c r="D96" s="330"/>
      <c r="E96" s="330"/>
      <c r="F96" s="331"/>
    </row>
    <row r="97" spans="1:6" ht="18.75" customHeight="1" x14ac:dyDescent="0.15">
      <c r="A97" s="38"/>
      <c r="B97" s="329"/>
      <c r="C97" s="330"/>
      <c r="D97" s="330"/>
      <c r="E97" s="330"/>
      <c r="F97" s="331"/>
    </row>
    <row r="98" spans="1:6" ht="18.75" customHeight="1" x14ac:dyDescent="0.15">
      <c r="A98" s="38"/>
      <c r="B98" s="329"/>
      <c r="C98" s="330"/>
      <c r="D98" s="330"/>
      <c r="E98" s="330"/>
      <c r="F98" s="331"/>
    </row>
    <row r="99" spans="1:6" ht="18.75" customHeight="1" x14ac:dyDescent="0.15">
      <c r="A99" s="38"/>
      <c r="B99" s="329"/>
      <c r="C99" s="330"/>
      <c r="D99" s="330"/>
      <c r="E99" s="330"/>
      <c r="F99" s="331"/>
    </row>
    <row r="100" spans="1:6" ht="18.75" customHeight="1" x14ac:dyDescent="0.15">
      <c r="A100" s="38"/>
      <c r="B100" s="329"/>
      <c r="C100" s="330"/>
      <c r="D100" s="330"/>
      <c r="E100" s="330"/>
      <c r="F100" s="331"/>
    </row>
    <row r="101" spans="1:6" ht="18.75" customHeight="1" x14ac:dyDescent="0.15">
      <c r="A101" s="38"/>
      <c r="B101" s="329"/>
      <c r="C101" s="330"/>
      <c r="D101" s="330"/>
      <c r="E101" s="330"/>
      <c r="F101" s="331"/>
    </row>
    <row r="102" spans="1:6" ht="18.75" customHeight="1" x14ac:dyDescent="0.15">
      <c r="A102" s="38"/>
      <c r="B102" s="329"/>
      <c r="C102" s="330"/>
      <c r="D102" s="330"/>
      <c r="E102" s="330"/>
      <c r="F102" s="331"/>
    </row>
    <row r="103" spans="1:6" ht="18.75" customHeight="1" x14ac:dyDescent="0.15">
      <c r="A103" s="38"/>
      <c r="B103" s="329"/>
      <c r="C103" s="330"/>
      <c r="D103" s="330"/>
      <c r="E103" s="330"/>
      <c r="F103" s="331"/>
    </row>
    <row r="104" spans="1:6" ht="18.75" customHeight="1" x14ac:dyDescent="0.15">
      <c r="A104" s="38"/>
      <c r="B104" s="329"/>
      <c r="C104" s="330"/>
      <c r="D104" s="330"/>
      <c r="E104" s="330"/>
      <c r="F104" s="331"/>
    </row>
    <row r="105" spans="1:6" ht="18.75" customHeight="1" x14ac:dyDescent="0.15">
      <c r="A105" s="38"/>
      <c r="B105" s="329"/>
      <c r="C105" s="330"/>
      <c r="D105" s="330"/>
      <c r="E105" s="330"/>
      <c r="F105" s="331"/>
    </row>
    <row r="106" spans="1:6" ht="18.75" customHeight="1" x14ac:dyDescent="0.15">
      <c r="A106" s="38"/>
      <c r="B106" s="329"/>
      <c r="C106" s="330"/>
      <c r="D106" s="330"/>
      <c r="E106" s="330"/>
      <c r="F106" s="331"/>
    </row>
    <row r="107" spans="1:6" ht="18.75" customHeight="1" x14ac:dyDescent="0.15">
      <c r="A107" s="38"/>
      <c r="B107" s="329"/>
      <c r="C107" s="330"/>
      <c r="D107" s="330"/>
      <c r="E107" s="330"/>
      <c r="F107" s="331"/>
    </row>
    <row r="108" spans="1:6" ht="18.75" customHeight="1" x14ac:dyDescent="0.15">
      <c r="A108" s="38"/>
      <c r="B108" s="329"/>
      <c r="C108" s="330"/>
      <c r="D108" s="330"/>
      <c r="E108" s="330"/>
      <c r="F108" s="331"/>
    </row>
    <row r="109" spans="1:6" ht="18.75" customHeight="1" x14ac:dyDescent="0.15">
      <c r="A109" s="38"/>
      <c r="B109" s="329"/>
      <c r="C109" s="330"/>
      <c r="D109" s="330"/>
      <c r="E109" s="330"/>
      <c r="F109" s="331"/>
    </row>
    <row r="110" spans="1:6" ht="18.75" customHeight="1" x14ac:dyDescent="0.15">
      <c r="A110" s="38"/>
      <c r="B110" s="329"/>
      <c r="C110" s="330"/>
      <c r="D110" s="330"/>
      <c r="E110" s="330"/>
      <c r="F110" s="331"/>
    </row>
    <row r="111" spans="1:6" ht="18.75" customHeight="1" x14ac:dyDescent="0.15">
      <c r="A111" s="38"/>
      <c r="B111" s="329"/>
      <c r="C111" s="330"/>
      <c r="D111" s="330"/>
      <c r="E111" s="330"/>
      <c r="F111" s="331"/>
    </row>
    <row r="112" spans="1:6" ht="18.75" customHeight="1" x14ac:dyDescent="0.15">
      <c r="A112" s="38"/>
      <c r="B112" s="329"/>
      <c r="C112" s="330"/>
      <c r="D112" s="330"/>
      <c r="E112" s="330"/>
      <c r="F112" s="331"/>
    </row>
    <row r="113" spans="1:6" ht="18.75" customHeight="1" x14ac:dyDescent="0.15">
      <c r="A113" s="38"/>
      <c r="B113" s="329"/>
      <c r="C113" s="330"/>
      <c r="D113" s="330"/>
      <c r="E113" s="330"/>
      <c r="F113" s="331"/>
    </row>
    <row r="114" spans="1:6" ht="18.75" customHeight="1" x14ac:dyDescent="0.15">
      <c r="A114" s="38"/>
      <c r="B114" s="329"/>
      <c r="C114" s="330"/>
      <c r="D114" s="330"/>
      <c r="E114" s="330"/>
      <c r="F114" s="331"/>
    </row>
    <row r="115" spans="1:6" ht="18.75" customHeight="1" x14ac:dyDescent="0.15">
      <c r="A115" s="38"/>
      <c r="B115" s="329"/>
      <c r="C115" s="330"/>
      <c r="D115" s="330"/>
      <c r="E115" s="330"/>
      <c r="F115" s="331"/>
    </row>
    <row r="116" spans="1:6" ht="18.75" customHeight="1" x14ac:dyDescent="0.15">
      <c r="A116" s="38"/>
      <c r="B116" s="329"/>
      <c r="C116" s="330"/>
      <c r="D116" s="330"/>
      <c r="E116" s="330"/>
      <c r="F116" s="331"/>
    </row>
    <row r="117" spans="1:6" ht="18.75" customHeight="1" x14ac:dyDescent="0.15">
      <c r="A117" s="38"/>
      <c r="B117" s="329"/>
      <c r="C117" s="330"/>
      <c r="D117" s="330"/>
      <c r="E117" s="330"/>
      <c r="F117" s="331"/>
    </row>
    <row r="118" spans="1:6" ht="18.75" customHeight="1" x14ac:dyDescent="0.15">
      <c r="A118" s="38"/>
      <c r="B118" s="329"/>
      <c r="C118" s="330"/>
      <c r="D118" s="330"/>
      <c r="E118" s="330"/>
      <c r="F118" s="331"/>
    </row>
    <row r="119" spans="1:6" ht="18.75" customHeight="1" x14ac:dyDescent="0.15">
      <c r="A119" s="38"/>
      <c r="B119" s="329"/>
      <c r="C119" s="330"/>
      <c r="D119" s="330"/>
      <c r="E119" s="330"/>
      <c r="F119" s="331"/>
    </row>
    <row r="120" spans="1:6" ht="18.75" customHeight="1" x14ac:dyDescent="0.15">
      <c r="A120" s="38"/>
      <c r="B120" s="329"/>
      <c r="C120" s="330"/>
      <c r="D120" s="330"/>
      <c r="E120" s="330"/>
      <c r="F120" s="331"/>
    </row>
    <row r="121" spans="1:6" ht="18.75" customHeight="1" x14ac:dyDescent="0.15">
      <c r="A121" s="38"/>
      <c r="B121" s="329"/>
      <c r="C121" s="330"/>
      <c r="D121" s="330"/>
      <c r="E121" s="330"/>
      <c r="F121" s="331"/>
    </row>
    <row r="122" spans="1:6" ht="18.75" customHeight="1" x14ac:dyDescent="0.15">
      <c r="A122" s="38"/>
      <c r="B122" s="329"/>
      <c r="C122" s="330"/>
      <c r="D122" s="330"/>
      <c r="E122" s="330"/>
      <c r="F122" s="331"/>
    </row>
    <row r="123" spans="1:6" ht="18.75" customHeight="1" x14ac:dyDescent="0.15">
      <c r="A123" s="38"/>
      <c r="B123" s="329"/>
      <c r="C123" s="330"/>
      <c r="D123" s="330"/>
      <c r="E123" s="330"/>
      <c r="F123" s="331"/>
    </row>
    <row r="124" spans="1:6" ht="18.75" customHeight="1" x14ac:dyDescent="0.15">
      <c r="A124" s="38"/>
      <c r="B124" s="332"/>
      <c r="C124" s="333"/>
      <c r="D124" s="333"/>
      <c r="E124" s="333"/>
      <c r="F124" s="334"/>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大学院2</cp:lastModifiedBy>
  <cp:lastPrinted>2022-05-20T00:19:02Z</cp:lastPrinted>
  <dcterms:created xsi:type="dcterms:W3CDTF">2011-06-14T05:32:50Z</dcterms:created>
  <dcterms:modified xsi:type="dcterms:W3CDTF">2022-05-20T00:19:26Z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