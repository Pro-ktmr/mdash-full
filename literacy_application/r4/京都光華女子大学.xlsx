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defaultThemeVersion="124226"/>
  <mc:AlternateContent xmlns:mc="http://schemas.openxmlformats.org/markup-compatibility/2006">
    <mc:Choice Requires="x15">
      <x15ac:absPath xmlns:x15ac="http://schemas.microsoft.com/office/spreadsheetml/2010/11/ac" url="C:\Users\jdoi\Documents\数理・DS・AI（新しいFMV）\文科省提出版\京都光華女子大学\01京都光華女子大学_リテラシー\"/>
    </mc:Choice>
  </mc:AlternateContent>
  <xr:revisionPtr revIDLastSave="0" documentId="13_ncr:1_{FD5CC599-4466-4363-BF1C-33BFBF413A84}" xr6:coauthVersionLast="47" xr6:coauthVersionMax="47" xr10:uidLastSave="{00000000-0000-0000-0000-000000000000}"/>
  <bookViews>
    <workbookView xWindow="-108" yWindow="-108" windowWidth="23256" windowHeight="12456" tabRatio="885"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91" i="41" l="1"/>
  <c r="K18" i="42" l="1"/>
  <c r="K16" i="42"/>
  <c r="K15" i="42"/>
  <c r="K9" i="42"/>
  <c r="K8" i="42"/>
  <c r="K7" i="42"/>
  <c r="K113"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Q28" i="40"/>
  <c r="Q27" i="40"/>
  <c r="Q26" i="40"/>
  <c r="Q25" i="40"/>
  <c r="Q24" i="40"/>
  <c r="Q23" i="40"/>
  <c r="Q22" i="40"/>
  <c r="Q21" i="40"/>
  <c r="Q20" i="40"/>
  <c r="Q19" i="40"/>
  <c r="Q18" i="40"/>
  <c r="Q17" i="40"/>
  <c r="Q16" i="40"/>
  <c r="Q15" i="40"/>
  <c r="Q14" i="40"/>
  <c r="Q13" i="40"/>
  <c r="Q12" i="40"/>
  <c r="R12" i="40" s="1"/>
  <c r="Q11" i="40"/>
  <c r="R11" i="40" s="1"/>
  <c r="Q10" i="40"/>
  <c r="Q30" i="40" l="1"/>
  <c r="R30" i="40" s="1"/>
  <c r="C28" i="41" s="1"/>
  <c r="R10" i="4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E9" authorId="0" shapeId="0" xr:uid="{00000000-0006-0000-0400-000001000000}">
      <text>
        <r>
          <rPr>
            <b/>
            <sz val="10"/>
            <color rgb="FF000000"/>
            <rFont val="Yu Gothic UI"/>
            <family val="3"/>
            <charset val="128"/>
          </rPr>
          <t>Microsoft Office User:</t>
        </r>
        <r>
          <rPr>
            <sz val="10"/>
            <color rgb="FF000000"/>
            <rFont val="Yu Gothic UI"/>
            <family val="3"/>
            <charset val="128"/>
          </rPr>
          <t xml:space="preserve">
</t>
        </r>
        <r>
          <rPr>
            <sz val="10"/>
            <color rgb="FF000000"/>
            <rFont val="ＭＳ Ｐゴシック"/>
            <family val="2"/>
            <charset val="128"/>
            <scheme val="minor"/>
          </rPr>
          <t>規定の</t>
        </r>
        <r>
          <rPr>
            <sz val="10"/>
            <color rgb="FF000000"/>
            <rFont val="ＭＳ Ｐゴシック"/>
            <family val="2"/>
            <charset val="128"/>
            <scheme val="minor"/>
          </rPr>
          <t>300</t>
        </r>
        <r>
          <rPr>
            <sz val="10"/>
            <color rgb="FF000000"/>
            <rFont val="ＭＳ Ｐゴシック"/>
            <family val="2"/>
            <charset val="128"/>
            <scheme val="minor"/>
          </rPr>
          <t>字を超えていたため調整しました。</t>
        </r>
        <r>
          <rPr>
            <sz val="10"/>
            <color rgb="FF000000"/>
            <rFont val="ＭＳ Ｐゴシック"/>
            <family val="2"/>
            <charset val="128"/>
            <scheme val="minor"/>
          </rPr>
          <t xml:space="preserve">
</t>
        </r>
      </text>
    </comment>
  </commentList>
</comments>
</file>

<file path=xl/sharedStrings.xml><?xml version="1.0" encoding="utf-8"?>
<sst xmlns="http://schemas.openxmlformats.org/spreadsheetml/2006/main" count="393" uniqueCount="218">
  <si>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</si>
  <si>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</si>
  <si>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</si>
  <si>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</si>
  <si>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京都光華女子大学</t>
    <rPh sb="0" eb="8">
      <t>キョウトコウカジョシダイガク</t>
    </rPh>
    <phoneticPr fontId="1"/>
  </si>
  <si>
    <t>②</t>
    <phoneticPr fontId="1"/>
  </si>
  <si>
    <t>大学等の設置者</t>
  </si>
  <si>
    <t>学校法人光華女子学園</t>
    <rPh sb="0" eb="10">
      <t>ガッコウホウジンコウカジョシガクエン</t>
    </rPh>
    <phoneticPr fontId="1"/>
  </si>
  <si>
    <t>③</t>
  </si>
  <si>
    <t>設置形態</t>
    <phoneticPr fontId="1"/>
  </si>
  <si>
    <t>私立大学</t>
  </si>
  <si>
    <t>④</t>
    <phoneticPr fontId="1"/>
  </si>
  <si>
    <t>所在地</t>
    <phoneticPr fontId="1"/>
  </si>
  <si>
    <t>⑤</t>
    <phoneticPr fontId="1"/>
  </si>
  <si>
    <t>申請するプログラム名称</t>
    <rPh sb="0" eb="2">
      <t>シンセイ</t>
    </rPh>
    <rPh sb="9" eb="11">
      <t>メイショウ</t>
    </rPh>
    <phoneticPr fontId="1"/>
  </si>
  <si>
    <t>光華EDUALプログラム（リテラシーレベル）</t>
    <phoneticPr fontId="1"/>
  </si>
  <si>
    <t>⑥</t>
    <phoneticPr fontId="1"/>
  </si>
  <si>
    <t>プログラムの開設年度</t>
    <rPh sb="6" eb="8">
      <t>カイセツ</t>
    </rPh>
    <rPh sb="8" eb="10">
      <t>ネンド</t>
    </rPh>
    <phoneticPr fontId="1"/>
  </si>
  <si>
    <t>令和3</t>
    <rPh sb="0" eb="2">
      <t>レイワ</t>
    </rPh>
    <phoneticPr fontId="1"/>
  </si>
  <si>
    <t>年度</t>
    <rPh sb="0" eb="2">
      <t>ネンド</t>
    </rPh>
    <phoneticPr fontId="1"/>
  </si>
  <si>
    <t>⑦応用基礎レベルの申請の有無</t>
    <phoneticPr fontId="1"/>
  </si>
  <si>
    <t>有</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</si>
  <si>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</si>
  <si>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</si>
  <si>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</si>
  <si>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</si>
  <si>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</si>
  <si>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</si>
  <si>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</si>
  <si>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</si>
  <si>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</si>
  <si>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</si>
  <si>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</si>
  <si>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</si>
  <si>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</si>
  <si>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</si>
  <si>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</si>
  <si>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</si>
  <si>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</si>
  <si>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</si>
  <si>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</si>
  <si>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</si>
  <si>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</si>
  <si>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</si>
  <si>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土居淳子</t>
    <rPh sb="0" eb="2">
      <t>ドイ</t>
    </rPh>
    <rPh sb="2" eb="4">
      <t>ジュンコ</t>
    </rPh>
    <phoneticPr fontId="1"/>
  </si>
  <si>
    <t>（役職名）</t>
    <rPh sb="1" eb="4">
      <t>ヤクショクメイ</t>
    </rPh>
    <phoneticPr fontId="1"/>
  </si>
  <si>
    <t>キャリア形成学部長</t>
    <rPh sb="4" eb="6">
      <t>ケイセイ</t>
    </rPh>
    <rPh sb="6" eb="8">
      <t>ガクブ</t>
    </rPh>
    <rPh sb="8" eb="9">
      <t>チョウ</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</si>
  <si>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</si>
  <si>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</si>
  <si>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リベラルアーツセンター</t>
    <phoneticPr fontId="1"/>
  </si>
  <si>
    <t>朝比奈英夫</t>
    <rPh sb="0" eb="5">
      <t>アサヒナヒデオ</t>
    </rPh>
    <phoneticPr fontId="1"/>
  </si>
  <si>
    <t>リベラルアーツセンター長</t>
    <rPh sb="11" eb="12">
      <t>チョウ</t>
    </rPh>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</si>
  <si>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</si>
  <si>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</si>
  <si>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自己点検評価委員会</t>
    <rPh sb="0" eb="2">
      <t>ジコ</t>
    </rPh>
    <rPh sb="2" eb="6">
      <t>テンケンヒョウカ</t>
    </rPh>
    <rPh sb="6" eb="9">
      <t>イインカイ</t>
    </rPh>
    <phoneticPr fontId="1"/>
  </si>
  <si>
    <t>高見茂</t>
    <rPh sb="0" eb="2">
      <t>タカミ</t>
    </rPh>
    <rPh sb="2" eb="3">
      <t>シゲル</t>
    </rPh>
    <phoneticPr fontId="1"/>
  </si>
  <si>
    <t>学長</t>
    <rPh sb="0" eb="2">
      <t>ガクチョウ</t>
    </rPh>
    <phoneticPr fontId="1"/>
  </si>
  <si>
    <t>⑮</t>
    <phoneticPr fontId="1"/>
  </si>
  <si>
    <t>申請する認定プログラム</t>
    <rPh sb="0" eb="2">
      <t>シンセイ</t>
    </rPh>
    <rPh sb="4" eb="6">
      <t>ニンテイ</t>
    </rPh>
    <phoneticPr fontId="1"/>
  </si>
  <si>
    <t>認定教育プログラム</t>
  </si>
  <si>
    <t>連絡先</t>
  </si>
  <si>
    <t>所属部署名</t>
    <rPh sb="0" eb="2">
      <t>ショゾク</t>
    </rPh>
    <rPh sb="2" eb="4">
      <t>ブショ</t>
    </rPh>
    <rPh sb="4" eb="5">
      <t>メイ</t>
    </rPh>
    <phoneticPr fontId="1"/>
  </si>
  <si>
    <t>学生サポートセンター　修学担当</t>
    <rPh sb="0" eb="2">
      <t>ガクセイ</t>
    </rPh>
    <rPh sb="11" eb="13">
      <t>シュウガク</t>
    </rPh>
    <rPh sb="13" eb="15">
      <t>タントウ</t>
    </rPh>
    <phoneticPr fontId="1"/>
  </si>
  <si>
    <t>担当者名</t>
    <rPh sb="0" eb="2">
      <t>タントウ</t>
    </rPh>
    <rPh sb="2" eb="3">
      <t>シャ</t>
    </rPh>
    <rPh sb="3" eb="4">
      <t>メイ</t>
    </rPh>
    <phoneticPr fontId="1"/>
  </si>
  <si>
    <t>相原真弓</t>
    <rPh sb="0" eb="2">
      <t>アイハラ</t>
    </rPh>
    <rPh sb="2" eb="4">
      <t>マユミ</t>
    </rPh>
    <phoneticPr fontId="1"/>
  </si>
  <si>
    <t>E-mail</t>
  </si>
  <si>
    <t>kyomu@mail.koka.ac.jp</t>
    <phoneticPr fontId="1"/>
  </si>
  <si>
    <t>電話番号</t>
  </si>
  <si>
    <t>075-325-5307</t>
    <phoneticPr fontId="1"/>
  </si>
  <si>
    <t>様式２－○</t>
  </si>
  <si>
    <t>プログラムを構成する授業科目について</t>
    <phoneticPr fontId="1"/>
  </si>
  <si>
    <t>①具体的な修了要件</t>
    <phoneticPr fontId="1"/>
  </si>
  <si>
    <t>②教育プログラムの修了要件</t>
    <phoneticPr fontId="1"/>
  </si>
  <si>
    <t>学部・学科によって、修了要件は相違しない</t>
  </si>
  <si>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</si>
  <si>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</si>
  <si>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</si>
  <si>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</si>
  <si>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</si>
  <si>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</si>
  <si>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</si>
  <si>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情報リテラシー応用</t>
    <rPh sb="7" eb="9">
      <t>オウヨウ</t>
    </rPh>
    <phoneticPr fontId="1"/>
  </si>
  <si>
    <t>情報リテラシー基礎</t>
  </si>
  <si>
    <t>○</t>
  </si>
  <si>
    <t>全学開講</t>
  </si>
  <si>
    <t>くらしのなかの統計学</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</si>
  <si>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</si>
  <si>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</si>
  <si>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</si>
  <si>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情報リテラシー応用</t>
    <rPh sb="0" eb="2">
      <t>ジョウホウ</t>
    </rPh>
    <rPh sb="7" eb="9">
      <t>オウヨウ</t>
    </rPh>
    <phoneticPr fontId="1"/>
  </si>
  <si>
    <t>アカデミックライティング</t>
    <phoneticPr fontId="1"/>
  </si>
  <si>
    <t>京都光華の学び</t>
    <rPh sb="0" eb="2">
      <t>キョウト</t>
    </rPh>
    <rPh sb="2" eb="4">
      <t>コウカ</t>
    </rPh>
    <rPh sb="5" eb="6">
      <t>マナ</t>
    </rPh>
    <phoneticPr fontId="1"/>
  </si>
  <si>
    <t>くらしのなかの統計学</t>
    <rPh sb="7" eb="10">
      <t>トウケイガク</t>
    </rPh>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</si>
  <si>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</si>
  <si>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</si>
  <si>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</si>
  <si>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</si>
  <si>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</si>
  <si>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</si>
  <si>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アカデミックスキル入門</t>
    <rPh sb="9" eb="11">
      <t>ニュウモン</t>
    </rPh>
    <phoneticPr fontId="1"/>
  </si>
  <si>
    <t>情報リテラシー基礎</t>
    <rPh sb="0" eb="2">
      <t>ジョウホウ</t>
    </rPh>
    <rPh sb="7" eb="9">
      <t>キソ</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</si>
  <si>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</si>
  <si>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</si>
  <si>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</si>
  <si>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</si>
  <si>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情報リテラシー応用</t>
  </si>
  <si>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</si>
  <si>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</si>
  <si>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4-1統計および数理基礎</t>
  </si>
  <si>
    <t>プログラミング入門</t>
    <rPh sb="7" eb="9">
      <t>ニュウモン</t>
    </rPh>
    <phoneticPr fontId="1"/>
  </si>
  <si>
    <t>4‐2アルゴリズム基礎</t>
  </si>
  <si>
    <t>4‐3データ構造とプログラミング基礎</t>
  </si>
  <si>
    <t>4‐4時系列データ解析</t>
  </si>
  <si>
    <t>4‐8データ活用実践（教師あり学習）</t>
  </si>
  <si>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</si>
  <si>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</si>
  <si>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</si>
  <si>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</si>
  <si>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・ビッグデータ、IoT、AI、ロボット 「情報リテラシー応用」（2回目）
・ビッグデータ、IoT、AI、ロボット 「情報リテラシー基礎」（1回目）
・複数技術を組み合わせたAIサービス 「情報リテラシー応用」（9回目）
・データを起点としたものの見方、人間の知的活動を起点としたものの見方「くらしのなかの統計学」（1回目、2回目）</t>
    <rPh sb="21" eb="23">
      <t>ジョウホウ</t>
    </rPh>
    <rPh sb="28" eb="30">
      <t>オウヨウ</t>
    </rPh>
    <rPh sb="33" eb="35">
      <t>カイメ</t>
    </rPh>
    <rPh sb="152" eb="155">
      <t>トウケイガク</t>
    </rPh>
    <rPh sb="158" eb="160">
      <t>カイメ</t>
    </rPh>
    <rPh sb="162" eb="164">
      <t>カイメ</t>
    </rPh>
    <phoneticPr fontId="1"/>
  </si>
  <si>
    <t>1-6</t>
    <phoneticPr fontId="1"/>
  </si>
  <si>
    <t>・AI等を活用した新しいビジネスモデル 「情報リテラシー応用」（9回目）
・AI等を活用した新しいビジネスモデル 「くらしのなかの統計学」（6回目）</t>
    <rPh sb="21" eb="23">
      <t>ジョウホウ</t>
    </rPh>
    <rPh sb="28" eb="30">
      <t>オウヨウ</t>
    </rPh>
    <rPh sb="33" eb="35">
      <t>カイメ</t>
    </rPh>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</si>
  <si>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</si>
  <si>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</si>
  <si>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・データサイエンスのサイクル（課題抽出と定式化、データの加工、探索的データ解析、推論、結果の共有・伝達） 「情報リテラシー応用」（11回目）
・製造、サービス、ヘルスケア等におけるデータ・AI利活用事例紹介 「情報リテラシー応用」（10回目）
・金融、公共、ヘルスケア等におけるデータ・AI利活用事例紹介 「くらしのなかの統計学」（7、12、14回目）</t>
    <rPh sb="54" eb="56">
      <t>ジョウホウ</t>
    </rPh>
    <rPh sb="61" eb="63">
      <t>オウヨウ</t>
    </rPh>
    <rPh sb="67" eb="69">
      <t>カイメ</t>
    </rPh>
    <rPh sb="105" eb="107">
      <t>ジョウホウ</t>
    </rPh>
    <rPh sb="112" eb="114">
      <t>オウヨウ</t>
    </rPh>
    <rPh sb="118" eb="120">
      <t>カイメ</t>
    </rPh>
    <rPh sb="161" eb="164">
      <t>トウケイガク</t>
    </rPh>
    <rPh sb="173" eb="175">
      <t>カイメ</t>
    </rPh>
    <phoneticPr fontId="1"/>
  </si>
  <si>
    <t>（４）活用に当たっての様々な留意事項（ELSI、個人情報、データ倫理、ＡＩ社会原則等）を考慮し、情報セキュリティや情報漏洩等、データを守る上での留意事項への理解をする</t>
    <phoneticPr fontId="1"/>
  </si>
  <si>
    <t>・情報セキュリティ：機密性、完全性、可用性 「情報リテラシー基礎」（1回目、2回目）
・情報セキュリティ：機密性、完全性、可用性 「情報リテラシー応用」（1回目）
・情報漏洩等によるセキュリティ事故の事例紹介 「情報リテラシー基礎」（7回目）</t>
    <rPh sb="23" eb="25">
      <t>ジョウホウ</t>
    </rPh>
    <rPh sb="30" eb="32">
      <t>キソ</t>
    </rPh>
    <rPh sb="35" eb="37">
      <t>カイメ</t>
    </rPh>
    <rPh sb="39" eb="41">
      <t>カイメ</t>
    </rPh>
    <rPh sb="73" eb="75">
      <t>オウヨウ</t>
    </rPh>
    <rPh sb="102" eb="104">
      <t>ショウカイ</t>
    </rPh>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</si>
  <si>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</si>
  <si>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・データ表現（棒グラフ、折線グラフなど） 「情報リテラシー応用」（5回目、7回目、12回目、13回目）
・データ表現（棒グラフ、折線グラフなど） 「情報リテラシー基礎」（10回目、11回目）
・データ表現（棒グラフ、折線グラフ、散布図、ヒートマップ） 「くらしのなかの統計学」（4～6回目、9回目）
・データの図表表現（チャート化） 「情報リテラシー応用」（14回目、15回目）
・データの比較（条件をそろえた比較、処理の前後での比較、A/Bテスト) 「くらしのなかの統計学」（12回目）
・不適切なグラフ表現（チャートジャンク、不必要な視覚的要素） 「くらしのなかの統計学」（2回目）
・優れた可視化事例の紹介（可視化することによって新たな気づきがあった事例など） 「くらしのなかの統計学」（8回目）</t>
    <rPh sb="34" eb="36">
      <t>カイメ</t>
    </rPh>
    <rPh sb="43" eb="45">
      <t>カイメ</t>
    </rPh>
    <rPh sb="48" eb="50">
      <t>カイメ</t>
    </rPh>
    <rPh sb="81" eb="83">
      <t>キソ</t>
    </rPh>
    <rPh sb="134" eb="137">
      <t>トウケイガク</t>
    </rPh>
    <rPh sb="146" eb="148">
      <t>カイメ</t>
    </rPh>
    <rPh sb="168" eb="170">
      <t>ジョウホウ</t>
    </rPh>
    <rPh sb="175" eb="177">
      <t>オウヨウ</t>
    </rPh>
    <rPh sb="181" eb="183">
      <t>カイメ</t>
    </rPh>
    <rPh sb="186" eb="188">
      <t>カイメ</t>
    </rPh>
    <rPh sb="234" eb="237">
      <t>トウケイガク</t>
    </rPh>
    <rPh sb="241" eb="243">
      <t>カイメ</t>
    </rPh>
    <rPh sb="284" eb="287">
      <t>トウケイガク</t>
    </rPh>
    <rPh sb="290" eb="292">
      <t>カイメ</t>
    </rPh>
    <rPh sb="342" eb="345">
      <t>トウケイガク</t>
    </rPh>
    <rPh sb="348" eb="350">
      <t>カイメ</t>
    </rPh>
    <phoneticPr fontId="1"/>
  </si>
  <si>
    <t>・データの集計（和、平均）、データの並び替え、ランキング 「情報リテラシー応用」（3～6回目）
・データの集計（和、平均）、データの並び替え、ランキング 「情報リテラシー基礎」（7～9回目）
・表形式のデータ（csv） 「くらしのなかの統計学」（4回目）</t>
    <rPh sb="30" eb="32">
      <t>ジョウホウ</t>
    </rPh>
    <rPh sb="37" eb="39">
      <t>オウヨウ</t>
    </rPh>
    <rPh sb="44" eb="46">
      <t>カイメ</t>
    </rPh>
    <rPh sb="53" eb="55">
      <t>シュウケイ</t>
    </rPh>
    <rPh sb="56" eb="57">
      <t>ワ</t>
    </rPh>
    <rPh sb="58" eb="60">
      <t>ヘイキン</t>
    </rPh>
    <rPh sb="78" eb="80">
      <t>ジョウホウ</t>
    </rPh>
    <rPh sb="85" eb="87">
      <t>キソ</t>
    </rPh>
    <rPh sb="92" eb="94">
      <t>カイメ</t>
    </rPh>
    <rPh sb="118" eb="121">
      <t>トウケイガク</t>
    </rPh>
    <rPh sb="124" eb="126">
      <t>カイメ</t>
    </rPh>
    <phoneticPr fontId="1"/>
  </si>
  <si>
    <t>⑩プログラムの学修成果（学生等が身に付けられる能力等）</t>
    <phoneticPr fontId="1"/>
  </si>
  <si>
    <t>Society5.0時代に向けて、日常の生活、ビジネス・健康科学・教育等の場でデータやAIを使いこなすための基礎的素養（リテラシー）を修得する。
（1） 「データを正しく読む力」や「データを正確に伝える力」を身に付ける
（2） データやAIが社会でどのように活用され、新たな価値を生んでいるのかを知る
（3） データやAIの利活用には公平性・公正性・プライバシー保護などに課題があることを理解し、利活用に際し人間本位の適切な判断ができるようになる</t>
    <phoneticPr fontId="1"/>
  </si>
  <si>
    <t>⑪プログラムの授業内容等を公表しているアドレス</t>
    <phoneticPr fontId="1"/>
  </si>
  <si>
    <t>https://www.koka.ac.jp/introduction/edual.html</t>
    <phoneticPr fontId="1"/>
  </si>
  <si>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</si>
  <si>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</si>
  <si>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</si>
  <si>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</si>
  <si>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</si>
  <si>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</si>
  <si>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</si>
  <si>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</si>
  <si>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</si>
  <si>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</si>
  <si>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</si>
  <si>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</si>
  <si>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</si>
  <si>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</si>
  <si>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</si>
  <si>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</si>
  <si>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</si>
  <si>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健康科学部　</t>
    <rPh sb="0" eb="2">
      <t>ケンコウ</t>
    </rPh>
    <rPh sb="2" eb="5">
      <t>カガクブ</t>
    </rPh>
    <phoneticPr fontId="1"/>
  </si>
  <si>
    <t>キャリア形成学部　</t>
    <rPh sb="4" eb="6">
      <t>ケイセイ</t>
    </rPh>
    <rPh sb="6" eb="8">
      <t>ガクブ</t>
    </rPh>
    <phoneticPr fontId="1"/>
  </si>
  <si>
    <t>こども教育学部</t>
    <rPh sb="3" eb="5">
      <t>キョウイク</t>
    </rPh>
    <rPh sb="5" eb="7">
      <t>ガクブ</t>
    </rPh>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</si>
  <si>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</si>
  <si>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</si>
  <si>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</si>
  <si>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</si>
  <si>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</si>
  <si>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リベラルアーツセンター規程</t>
    <phoneticPr fontId="1"/>
  </si>
  <si>
    <t>体制の目的</t>
    <rPh sb="0" eb="2">
      <t>タイセイ</t>
    </rPh>
    <rPh sb="3" eb="5">
      <t>モクテキ</t>
    </rPh>
    <phoneticPr fontId="1"/>
  </si>
  <si>
    <t>③</t>
    <phoneticPr fontId="1"/>
  </si>
  <si>
    <t>具体的な構成員</t>
    <rPh sb="0" eb="3">
      <t>グタイテキ</t>
    </rPh>
    <rPh sb="4" eb="7">
      <t>コウセイイン</t>
    </rPh>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</si>
  <si>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</si>
  <si>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</si>
  <si>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</si>
  <si>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</si>
  <si>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</si>
  <si>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</si>
  <si>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</si>
  <si>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</si>
  <si>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本プログラムは、全学必修のリベラルアーツ教育科目と、選択科目ではあるが入学者の95％以上が履修する「情報リテラシー応用」で構成している。上記の数字は選択である「情報リテラシー応用」の履修者数をもとに算出したものである。
令和5年度入学生より「情報リテラシー応用」を必修化する予定であるので、令和5年度より新入生全員が本プログラムを履修し、令和8年度以降の履修率は100％となる。</t>
    <rPh sb="111" eb="113">
      <t>レイワ</t>
    </rPh>
    <rPh sb="114" eb="116">
      <t>ネンド</t>
    </rPh>
    <rPh sb="116" eb="119">
      <t>ニュウガクセイ</t>
    </rPh>
    <rPh sb="122" eb="124">
      <t>ジョウホウ</t>
    </rPh>
    <rPh sb="129" eb="131">
      <t>オウヨウ</t>
    </rPh>
    <rPh sb="133" eb="136">
      <t>ヒッシュウカ</t>
    </rPh>
    <rPh sb="138" eb="140">
      <t>ヨテイ</t>
    </rPh>
    <rPh sb="146" eb="148">
      <t>レイワ</t>
    </rPh>
    <rPh sb="149" eb="151">
      <t>ネンド</t>
    </rPh>
    <rPh sb="153" eb="156">
      <t>シンニュウセイ</t>
    </rPh>
    <rPh sb="156" eb="158">
      <t>ゼンイン</t>
    </rPh>
    <rPh sb="159" eb="160">
      <t>ホン</t>
    </rPh>
    <rPh sb="166" eb="168">
      <t>リシュウ</t>
    </rPh>
    <rPh sb="170" eb="172">
      <t>レイワ</t>
    </rPh>
    <rPh sb="173" eb="175">
      <t>ネンド</t>
    </rPh>
    <rPh sb="175" eb="177">
      <t>イコウ</t>
    </rPh>
    <rPh sb="178" eb="180">
      <t>リシュウ</t>
    </rPh>
    <rPh sb="180" eb="181">
      <t>リツ</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</si>
  <si>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</si>
  <si>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</si>
  <si>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上述したとおり、本プログラムのコア部分は、リベラルアーツ教育科目の全学必修科目とほぼ全員が履修する選択科目で構成しているため、新入生はほぼ自動的に本プログラムに取り組む仕組みとなっている（選択科目の「情報リテラシー基礎」も含む）。それに加えて、本プログラムの選択科目である「くらしのなかの統計学」「プログラミング入門」は、すべての学科の学生が履修しやすい時間割に配置している。
また、毎年度リベラルアーツセンターが新入生に配布しているガイダンス冊子「新入生の皆さんへ」の中で、数理・データサイエンス・AI教育（リテラシーレベル）のプログラムを提供していることを紹介し、リベラルアーツ科目履修ガイダンスでプログラムに含まれる科目の履修を推奨している。2年生、3年生に対しても、各学科の専門教育ガイダンスで本プログラムの説明と履修推奨を行なっている。</t>
    <rPh sb="156" eb="158">
      <t>ニュウモン</t>
    </rPh>
    <rPh sb="168" eb="170">
      <t>ガクセイ</t>
    </rPh>
    <rPh sb="292" eb="294">
      <t>カモク</t>
    </rPh>
    <rPh sb="294" eb="296">
      <t>リシュウ</t>
    </rPh>
    <phoneticPr fontId="1"/>
  </si>
  <si>
    <t>⑦</t>
    <phoneticPr fontId="1"/>
  </si>
  <si>
    <t>できる限り多くの学生が履修・修得できるようなサポート体制</t>
    <rPh sb="26" eb="28">
      <t>タイセイ</t>
    </rPh>
    <phoneticPr fontId="1"/>
  </si>
  <si>
    <t>授業時間内外で学習指導、質問を受け付ける具体的な仕組み</t>
    <rPh sb="20" eb="23">
      <t>グタイテキ</t>
    </rPh>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</si>
  <si>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</si>
  <si>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</si>
  <si>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</si>
  <si>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</si>
  <si>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</si>
  <si>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</si>
  <si>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</si>
  <si>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</si>
  <si>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</si>
  <si>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</si>
  <si>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</si>
  <si>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本プログラムは、毎年ほぼ全ての1年生が履修する科目群で構成しているので、履修推奨の積極的な取り組みは実施していない。なお、「情報リテラシー応用」でAIリテラシーを学修した後に行ったアンケートでは、ほとんどの学生がAIの利活用状況や留意事項に加えて機械学習の仕組みを学んだことを非常に前向きに捉えていた（AIやディープラーニングに興味を持った学生は受講生全体の77.2％）。</t>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</si>
  <si>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</si>
  <si>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</si>
  <si>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</si>
  <si>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</si>
  <si>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協定を結んでいる病院グループ等の実習受け入れ団体、リベラルアーツ教育科目「産官学連携プロジェクト」やキャリア形成学科専門科目「長期インターンシップ」の連携企業や自治体などに対して、本プログラムの内容及び手法などについて、意見聴取を行うことを検討している。また、インターンシップや実習に参加した学生に対して、実習先で求められたスキルや知識などをアンケート調査し、プログラムの改善に活用する予定である。なお、本プログラムの中核科目「情報リテラシー応用」は、本学のリカレントプログラムに提供している。授業アンケートや受講者インタビューでリカレント生のニーズを把握し、プログラムの改善に活用したい。</t>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</si>
  <si>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</si>
  <si>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</si>
  <si>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②自己点検・評価体制における意見等を公表しているアドレス</t>
    <phoneticPr fontId="1"/>
  </si>
  <si>
    <t>https://www.koka.ac.jp/wp-content/themes/www/assets/file/introduction/edual/edual-01.pdf</t>
    <phoneticPr fontId="1"/>
  </si>
  <si>
    <t>・データの分布(ヒストグラム)と代表値（平均値、中央値、最頻値） 「情報リテラシー応用」（7回目、11回目）
・データの分布(ヒストグラム)と代表値（平均値、中央値、最頻値） 「くらしのなかの統計学」（2回目）
・代表値の性質の違い 「くらしのなかの統計学」（2回目）
・データのばらつき（分散、標準偏差、偏差値） 「くらしのなかの統計学」（3回目）
・観測データに含まれる誤差の扱い 「くらしのなかの統計学」（11回目）
・打ち切りや脱落を含むデータ、層別の必要なデータ 「くらしのなかの統計学」（6回目）
・相関と因果（相関係数、擬似相関、交絡） 「くらしのなかの統計学」（6回目）
・母集団と標本抽出　 「くらしのなかの統計学」（10回目）
・クロス集計表、分割表、相関係数行列、散布図行列 「情報リテラシー応用」（6回目、7回目、11回目）
・統計情報の正しい理解 「アカデミックスキル入門」（13回目）
・統計情報の正しい理解 「アカデミックライティング」（12～14回目）
・統計情報の正しい理解 「京都光華の学び」（5～14回目）
・統計情報の正しい理解（誇張表現に惑わされない） 「くらしのなかの統計学」（1回目、2回目）</t>
    <rPh sb="34" eb="36">
      <t>ジョウホウ</t>
    </rPh>
    <rPh sb="41" eb="43">
      <t>オウヨウ</t>
    </rPh>
    <rPh sb="46" eb="48">
      <t>カイメ</t>
    </rPh>
    <rPh sb="51" eb="53">
      <t>カイメ</t>
    </rPh>
    <rPh sb="131" eb="133">
      <t>カイメ</t>
    </rPh>
    <rPh sb="172" eb="174">
      <t>カイメ</t>
    </rPh>
    <rPh sb="208" eb="210">
      <t>カイメ</t>
    </rPh>
    <rPh sb="251" eb="253">
      <t>カイメ</t>
    </rPh>
    <rPh sb="290" eb="292">
      <t>カイメ</t>
    </rPh>
    <rPh sb="320" eb="322">
      <t>カイメ</t>
    </rPh>
    <rPh sb="350" eb="352">
      <t>ジョウホウ</t>
    </rPh>
    <rPh sb="357" eb="359">
      <t>オウヨウ</t>
    </rPh>
    <rPh sb="362" eb="364">
      <t>カイメ</t>
    </rPh>
    <rPh sb="366" eb="368">
      <t>カイメ</t>
    </rPh>
    <rPh sb="371" eb="373">
      <t>カイメ</t>
    </rPh>
    <rPh sb="397" eb="399">
      <t>ニュウモン</t>
    </rPh>
    <phoneticPr fontId="1"/>
  </si>
  <si>
    <r>
      <t>・調査データ、実験データ 「くらしのなかの統計学」（4回目、12回目）
・調査データ、1次データ、2次データ 「情報リテラシー応用」（6回目、11回目）
・</t>
    </r>
    <r>
      <rPr>
        <sz val="12"/>
        <color theme="1"/>
        <rFont val="ＭＳ Ｐゴシック"/>
        <family val="2"/>
        <charset val="128"/>
      </rPr>
      <t>人の行動ログデータ</t>
    </r>
    <r>
      <rPr>
        <sz val="12"/>
        <rFont val="ＭＳ Ｐゴシック"/>
        <family val="2"/>
        <charset val="128"/>
        <scheme val="minor"/>
      </rPr>
      <t>「情報リテラシー応用」(10回目）
・データのオープン化（オープンデータ） 「アカデミックライティング」(12回目）
・データのオープン化（オープンデータ） 「くらしのなかの統計学」（4回目）</t>
    </r>
    <rPh sb="1" eb="3">
      <t>チョウサ</t>
    </rPh>
    <rPh sb="7" eb="9">
      <t>ジッケン</t>
    </rPh>
    <rPh sb="21" eb="24">
      <t>トウケイガク</t>
    </rPh>
    <rPh sb="27" eb="29">
      <t>カイメ</t>
    </rPh>
    <rPh sb="32" eb="34">
      <t>カイメ</t>
    </rPh>
    <rPh sb="37" eb="39">
      <t>チョウサ</t>
    </rPh>
    <rPh sb="50" eb="51">
      <t>ジ</t>
    </rPh>
    <rPh sb="56" eb="58">
      <t>ジョウホウ</t>
    </rPh>
    <rPh sb="63" eb="65">
      <t>オウヨウ</t>
    </rPh>
    <rPh sb="68" eb="70">
      <t>カイメ</t>
    </rPh>
    <rPh sb="73" eb="75">
      <t>カイメ</t>
    </rPh>
    <rPh sb="78" eb="79">
      <t>ヒト</t>
    </rPh>
    <rPh sb="80" eb="82">
      <t>コウドウ</t>
    </rPh>
    <rPh sb="88" eb="90">
      <t>ジョウホウ</t>
    </rPh>
    <rPh sb="95" eb="97">
      <t>オウヨウ</t>
    </rPh>
    <rPh sb="101" eb="103">
      <t>カイメ</t>
    </rPh>
    <phoneticPr fontId="1"/>
  </si>
  <si>
    <t>情報リテラシー基礎</t>
    <rPh sb="0" eb="1">
      <t xml:space="preserve">ジョウホウリテラシー </t>
    </rPh>
    <rPh sb="7" eb="9">
      <t xml:space="preserve">キソ </t>
    </rPh>
    <phoneticPr fontId="1"/>
  </si>
  <si>
    <t>「情報リテラシー応用」では毎回の確認テストと授業外課題により学修成果を確認し、必要に応じて次回授業で振り返りを行っている。期末課題として実データ分析結果のプレゼン資料を提出させ、データを扱い説明する力の定着状況を確認している。AIリテラシーについては、95％以上の受講生がGoogle「はじめてのAI」の最終テストを受検し修了している。「京都光華の学び」「アカデミックスキル入門」「アカデミックライティング」においても、毎回のリフレクション・シート提出や課題提出、期末レポートにより学修成果を確認・担当者間で共有し、次年度の授業改善に活用している。また、一部科目でルーブリック評価を導入している。</t>
    <rPh sb="55" eb="56">
      <t xml:space="preserve">オコナッテ </t>
    </rPh>
    <phoneticPr fontId="1"/>
  </si>
  <si>
    <t>毎学期実施している「学生による授業評価」の「設問10：この授業を受けて、興味が広がったり、深まっていますか」「設問11：この授業は、将来役に立ちそうですか」「設問12：この授業に満足していますか」の回答分析によって、授業内容に対する学生の理解度や満足度を把握している。「情報リテラシー応用」は、「そう思う」または「ややそう思う」と回答した学生の割合は72.2％（設問10）、91.7％（設問11）、82.6％（設問12）だった。他の3科目も概ね良好な結果だった。また、「情報リテラシー応用」では授業内で独自に2度のアンケートを実施し、理解しにくい学修内容や学生の学修行動などの把握に努めている。</t>
    <rPh sb="255" eb="256">
      <t xml:space="preserve">ド </t>
    </rPh>
    <phoneticPr fontId="1"/>
  </si>
  <si>
    <r>
      <rPr>
        <sz val="12"/>
        <rFont val="ＭＳ Ｐゴシック"/>
        <family val="3"/>
        <charset val="128"/>
      </rPr>
      <t>京都府</t>
    </r>
    <r>
      <rPr>
        <sz val="12"/>
        <rFont val="ＭＳ Ｐゴシック"/>
        <family val="3"/>
        <charset val="128"/>
        <scheme val="minor"/>
      </rPr>
      <t>京都市右京区西京極葛野町38</t>
    </r>
    <rPh sb="0" eb="3">
      <t xml:space="preserve">キョウトフ </t>
    </rPh>
    <phoneticPr fontId="1"/>
  </si>
  <si>
    <r>
      <t>・データ・AI活用領域の広がり 「情報リテラシー応用」（9回目、10回目）
・仮説検証・知識発見・原因究明・計画策定など 「情報リテラシー応用」（11～14回目）
・仮説検証・知識発見・原因究明・計画策定など 「くらしのなかの統計学」（6回目、7回目、11回目、12回目）
・判断支援（階層分析法）「京都光華の</t>
    </r>
    <r>
      <rPr>
        <sz val="12"/>
        <rFont val="ＭＳ Ｐゴシック"/>
        <family val="3"/>
        <charset val="128"/>
      </rPr>
      <t>学び</t>
    </r>
    <r>
      <rPr>
        <sz val="12"/>
        <rFont val="ＭＳ Ｐゴシック"/>
        <family val="3"/>
        <charset val="128"/>
        <scheme val="minor"/>
      </rPr>
      <t xml:space="preserve">」（14回目） </t>
    </r>
    <rPh sb="17" eb="19">
      <t>ジョウホウ</t>
    </rPh>
    <rPh sb="24" eb="26">
      <t>オウヨウ</t>
    </rPh>
    <rPh sb="29" eb="31">
      <t>カイメ</t>
    </rPh>
    <rPh sb="34" eb="36">
      <t>カイメ</t>
    </rPh>
    <rPh sb="39" eb="41">
      <t>カセツ</t>
    </rPh>
    <rPh sb="41" eb="43">
      <t>ケンショウ</t>
    </rPh>
    <rPh sb="44" eb="46">
      <t>チシキ</t>
    </rPh>
    <rPh sb="46" eb="48">
      <t>ハッケン</t>
    </rPh>
    <rPh sb="62" eb="64">
      <t>ジョウホウ</t>
    </rPh>
    <rPh sb="69" eb="71">
      <t>オウヨウ</t>
    </rPh>
    <rPh sb="78" eb="80">
      <t>カイメ</t>
    </rPh>
    <rPh sb="83" eb="85">
      <t>カセツ</t>
    </rPh>
    <rPh sb="85" eb="87">
      <t>ケンショウ</t>
    </rPh>
    <rPh sb="88" eb="90">
      <t>チシキ</t>
    </rPh>
    <rPh sb="90" eb="92">
      <t>ハッケン</t>
    </rPh>
    <rPh sb="93" eb="95">
      <t>ゲンイン</t>
    </rPh>
    <rPh sb="95" eb="97">
      <t>キュウメイ</t>
    </rPh>
    <rPh sb="98" eb="100">
      <t>ケイカク</t>
    </rPh>
    <rPh sb="100" eb="102">
      <t>サクテイ</t>
    </rPh>
    <rPh sb="113" eb="116">
      <t>トウケイガク</t>
    </rPh>
    <rPh sb="119" eb="121">
      <t>カイメ</t>
    </rPh>
    <rPh sb="123" eb="125">
      <t>カイメ</t>
    </rPh>
    <rPh sb="128" eb="130">
      <t>カイメ</t>
    </rPh>
    <rPh sb="133" eb="135">
      <t>カイメ</t>
    </rPh>
    <rPh sb="138" eb="140">
      <t>ハンダン</t>
    </rPh>
    <rPh sb="140" eb="142">
      <t>シエン</t>
    </rPh>
    <rPh sb="143" eb="145">
      <t>カイソウ</t>
    </rPh>
    <rPh sb="145" eb="148">
      <t>ブンセキホウ</t>
    </rPh>
    <rPh sb="150" eb="152">
      <t>キョウト</t>
    </rPh>
    <rPh sb="152" eb="154">
      <t>コウカ</t>
    </rPh>
    <rPh sb="155" eb="156">
      <t xml:space="preserve">マナビ </t>
    </rPh>
    <rPh sb="161" eb="163">
      <t>カイメ</t>
    </rPh>
    <phoneticPr fontId="1"/>
  </si>
  <si>
    <r>
      <t>・データ可視化：複合グラフ、2軸グラフ 「情報リテラシー応用」（5回目、8回目）
・データ可視化：複合グラフ、2軸グラフ、関係性の可視化、地図上の可視化など</t>
    </r>
    <r>
      <rPr>
        <sz val="12"/>
        <rFont val="ＭＳ Ｐゴシック"/>
        <family val="3"/>
        <charset val="128"/>
      </rPr>
      <t>「くらしのなかの統計学」</t>
    </r>
    <r>
      <rPr>
        <sz val="12"/>
        <rFont val="ＭＳ Ｐゴシック"/>
        <family val="2"/>
        <charset val="128"/>
        <scheme val="minor"/>
      </rPr>
      <t>（4～6回目）
・特化型AIと汎用AI、今のAIで出来ることと出来ないこと、AIとビッグデータ 「情報リテラシー応用」（10回目）
・特化型AIと汎用AI、今のAIで出来ることと出来ないこと、AIとビッグデータ 「くらしのなかの統計学」（13回目）</t>
    </r>
    <rPh sb="21" eb="23">
      <t>ジョウホウ</t>
    </rPh>
    <rPh sb="28" eb="30">
      <t>オウヨウ</t>
    </rPh>
    <rPh sb="33" eb="35">
      <t>カイメ</t>
    </rPh>
    <rPh sb="37" eb="39">
      <t>カイメ</t>
    </rPh>
    <rPh sb="70" eb="72">
      <t>カイメ</t>
    </rPh>
    <rPh sb="86" eb="89">
      <t xml:space="preserve">トウケイガク </t>
    </rPh>
    <rPh sb="139" eb="141">
      <t>ジョウホウ</t>
    </rPh>
    <rPh sb="146" eb="148">
      <t>オウヨウ</t>
    </rPh>
    <rPh sb="152" eb="154">
      <t>カイメ</t>
    </rPh>
    <rPh sb="204" eb="207">
      <t>トウケイガク</t>
    </rPh>
    <rPh sb="211" eb="213">
      <t>カイメ</t>
    </rPh>
    <phoneticPr fontId="1"/>
  </si>
  <si>
    <r>
      <t xml:space="preserve">・データ倫理：データのねつ造、改ざん、盗用、プライバシー保護  「情報リテラシー基礎」（7回目）
・データ倫理：データのねつ造、改ざん、盗用、プライバシー保護  「情報リテラシー応用」(10回目）
・データ倫理：データのねつ造、改ざん、盗用、プライバシー保護  「アカデミックスキル入門」（1回目、8回目）
・データ倫理：データのねつ造、改ざん、盗用、プライバシー保護  「くらしのなかの統計学」（13回目）
・データバイアス、アルゴリズムバイアス 「情報リテラシー応用」（10回目）
・データ・AI活用における負の事例紹介 「くらしのなかの統計学」（13回目） 
</t>
    </r>
    <r>
      <rPr>
        <sz val="12"/>
        <color theme="1"/>
        <rFont val="ＭＳ Ｐゴシック"/>
        <family val="3"/>
        <charset val="128"/>
      </rPr>
      <t xml:space="preserve">・データ・AI活用における負の事例紹介 「情報リテラシー応用」（10回目） </t>
    </r>
    <rPh sb="33" eb="35">
      <t>ジョウホウ</t>
    </rPh>
    <rPh sb="40" eb="42">
      <t>キソ</t>
    </rPh>
    <rPh sb="45" eb="47">
      <t>カイメ</t>
    </rPh>
    <rPh sb="82" eb="84">
      <t>ジョウホウ</t>
    </rPh>
    <rPh sb="89" eb="91">
      <t>オウヨウ</t>
    </rPh>
    <rPh sb="95" eb="97">
      <t>カイメ</t>
    </rPh>
    <rPh sb="141" eb="143">
      <t>ニュウモン</t>
    </rPh>
    <rPh sb="146" eb="148">
      <t>カイメ</t>
    </rPh>
    <rPh sb="194" eb="197">
      <t>トウケイガク</t>
    </rPh>
    <rPh sb="201" eb="203">
      <t>カイメ</t>
    </rPh>
    <rPh sb="226" eb="228">
      <t>ジョウホウ</t>
    </rPh>
    <rPh sb="233" eb="235">
      <t>オウヨウ</t>
    </rPh>
    <rPh sb="239" eb="241">
      <t>カイメ</t>
    </rPh>
    <phoneticPr fontId="1"/>
  </si>
  <si>
    <r>
      <t>リベラルアーツセンター長　朝比奈英夫（キャリア形成学部・教授）
リベラルアーツセンター所員　土居淳子（キャリア形成学部・教授、学部長）
リベラルアーツセンター所員　臼井</t>
    </r>
    <r>
      <rPr>
        <sz val="12"/>
        <rFont val="ＭＳ Ｐゴシック"/>
        <family val="3"/>
        <charset val="128"/>
      </rPr>
      <t>義</t>
    </r>
    <r>
      <rPr>
        <sz val="12"/>
        <rFont val="ＭＳ Ｐゴシック"/>
        <family val="3"/>
        <charset val="128"/>
        <scheme val="minor"/>
      </rPr>
      <t>比古（キャリア形成部・准教授）
リベラルアーツセンター所員　小澤千晶（キャリア形成学部・准教授）
リベラルアーツセンター所員　内田和寿（こども教育学部・准教授）
リベラルアーツセンター所員　ストリックランド ザッカリマーカス（こども教育学科・講師）
リベラルアーツセンター所員　西川潤（健康科学部・講師）</t>
    </r>
    <rPh sb="28" eb="30">
      <t>キョウジュ</t>
    </rPh>
    <rPh sb="60" eb="62">
      <t>キョウジュ</t>
    </rPh>
    <rPh sb="63" eb="65">
      <t>ガクブ</t>
    </rPh>
    <rPh sb="84" eb="85">
      <t xml:space="preserve">ギ </t>
    </rPh>
    <rPh sb="158" eb="160">
      <t>ガクブ</t>
    </rPh>
    <phoneticPr fontId="1"/>
  </si>
  <si>
    <r>
      <t>本プログラム必修の4科目のうち唯一の選択科目である「情報リテラシー応用」（1年次後期）は、「情報リテラシー基礎」（1年次前期）と合わせて学科毎にクラス指定で開講し、希望者全員が無理なく履修できる。そのため、ほぼ全員が1年次に履修している（</t>
    </r>
    <r>
      <rPr>
        <sz val="12"/>
        <rFont val="ＭＳ Ｐゴシック"/>
        <family val="3"/>
        <charset val="128"/>
      </rPr>
      <t>令和3年度</t>
    </r>
    <r>
      <rPr>
        <sz val="12"/>
        <rFont val="ＭＳ Ｐゴシック"/>
        <family val="3"/>
        <charset val="128"/>
        <scheme val="minor"/>
      </rPr>
      <t xml:space="preserve">は入学者の98％）。また、令和5年度より「情報リテラシー応用」を必修とする予定である。
卒業必修である「アカデミックスキル入門」「アカデミックライティング」はクラス指定で、「京都光華の学び」はオンデマンド配信型授業として開講し、1年次に全員が履修している。
本プログラム選択科目である「くらしのなかの統計学」（1・2年次配当）および「プログラミング入門」（2・3年次配当）は、リベラルアーツ科目を優先配置する時間割（木曜日1～5講時）に開講し、全学科の学生が履修できるようにしている。
</t>
    </r>
    <rPh sb="119" eb="121">
      <t xml:space="preserve">レイワ </t>
    </rPh>
    <rPh sb="284" eb="286">
      <t>ネンジ</t>
    </rPh>
    <rPh sb="286" eb="288">
      <t>ハイトウ</t>
    </rPh>
    <rPh sb="307" eb="309">
      <t>ネンジ</t>
    </rPh>
    <rPh sb="309" eb="311">
      <t>ハイトウ</t>
    </rPh>
    <rPh sb="332" eb="333">
      <t>ワリ</t>
    </rPh>
    <rPh sb="340" eb="342">
      <t>コウジ</t>
    </rPh>
    <phoneticPr fontId="1"/>
  </si>
  <si>
    <r>
      <rPr>
        <sz val="12"/>
        <rFont val="ＭＳ Ｐゴシック"/>
        <family val="3"/>
        <charset val="128"/>
      </rPr>
      <t>本プログラム対象科目</t>
    </r>
    <r>
      <rPr>
        <sz val="12"/>
        <rFont val="ＭＳ Ｐゴシック"/>
        <family val="3"/>
        <charset val="128"/>
        <scheme val="minor"/>
      </rPr>
      <t>の履修者は、本学LMSである光華ナビのQ&amp;A機能または大学メールを通じて、担当教員にいつでも質問することができる。また、本プログラムを構成する科目は、本学学習ステーションが行う授業外学修支援のターゲット科目である。学習ステーションでは、複数のサポート教職員が常駐し、学生スタッフによる学習支援も行っている。情報リテラシーおよびデータ分析に関しては、専任教員が学習ステーションで待機する時間を公開し、より専門的な質問に対応している。
また、2021年度はコロナ対応のためオンライン授業が必要となった場合には、オンデマンド＋個別フィードバック＋</t>
    </r>
    <r>
      <rPr>
        <sz val="12"/>
        <rFont val="ＭＳ Ｐゴシック"/>
        <family val="3"/>
        <charset val="128"/>
      </rPr>
      <t>Z</t>
    </r>
    <r>
      <rPr>
        <sz val="12"/>
        <rFont val="ＭＳ Ｐゴシック"/>
        <family val="3"/>
        <charset val="128"/>
        <scheme val="minor"/>
      </rPr>
      <t>oom等での個別対応を組み合わせて授業を展開した。とくに「情報リテラシー基礎」「情報リテラシー応用」では、</t>
    </r>
    <r>
      <rPr>
        <sz val="12"/>
        <rFont val="ＭＳ Ｐゴシック"/>
        <family val="3"/>
        <charset val="128"/>
      </rPr>
      <t>PC実習室を週5コマ（月1～月3、水2・水3）開放し</t>
    </r>
    <r>
      <rPr>
        <sz val="12"/>
        <rFont val="ＭＳ Ｐゴシック"/>
        <family val="3"/>
        <charset val="128"/>
        <scheme val="minor"/>
      </rPr>
      <t>、希望者に対して対面での指導を行なった。</t>
    </r>
    <rPh sb="6" eb="8">
      <t xml:space="preserve">タイショウ </t>
    </rPh>
    <rPh sb="184" eb="186">
      <t>センニン</t>
    </rPh>
    <phoneticPr fontId="1"/>
  </si>
  <si>
    <r>
      <t>本プログラム</t>
    </r>
    <r>
      <rPr>
        <sz val="12"/>
        <rFont val="ＭＳ Ｐゴシック"/>
        <family val="3"/>
        <charset val="128"/>
      </rPr>
      <t>の</t>
    </r>
    <r>
      <rPr>
        <sz val="12"/>
        <rFont val="ＭＳ Ｐゴシック"/>
        <family val="3"/>
        <charset val="128"/>
        <scheme val="minor"/>
      </rPr>
      <t>４つの必修科目はすべて1年次配当科目で、そのうち3科目は卒業必修</t>
    </r>
    <r>
      <rPr>
        <sz val="12"/>
        <rFont val="ＭＳ Ｐゴシック"/>
        <family val="3"/>
        <charset val="128"/>
      </rPr>
      <t>科目</t>
    </r>
    <r>
      <rPr>
        <sz val="12"/>
        <rFont val="ＭＳ Ｐゴシック"/>
        <family val="3"/>
        <charset val="128"/>
        <scheme val="minor"/>
      </rPr>
      <t>である。この3科目は、リベラルアーツセンターが履修登録漏れを確認し、クラスアドバイザーと連携して履修指導を徹底しているため、入学者のほぼ100％が履修している。また、卒業必修</t>
    </r>
    <r>
      <rPr>
        <sz val="12"/>
        <rFont val="ＭＳ Ｐゴシック"/>
        <family val="3"/>
        <charset val="128"/>
      </rPr>
      <t>科目</t>
    </r>
    <r>
      <rPr>
        <sz val="12"/>
        <rFont val="ＭＳ Ｐゴシック"/>
        <family val="3"/>
        <charset val="128"/>
        <scheme val="minor"/>
      </rPr>
      <t>でない「情報リテラシー応用」においても、学生が履修しやすい時間割で履修クラスを指定し、各学科で履修を促している。</t>
    </r>
    <r>
      <rPr>
        <sz val="12"/>
        <rFont val="ＭＳ Ｐゴシック"/>
        <family val="3"/>
        <charset val="128"/>
      </rPr>
      <t>令和3年度</t>
    </r>
    <r>
      <rPr>
        <sz val="12"/>
        <rFont val="ＭＳ Ｐゴシック"/>
        <family val="3"/>
        <charset val="128"/>
        <scheme val="minor"/>
      </rPr>
      <t>入学生の「情報リテラシー応用」の履修率は97.8%、単位取得率は91.1％であった（分母は入学者数）。なお、本プログラムは</t>
    </r>
    <r>
      <rPr>
        <sz val="12"/>
        <rFont val="ＭＳ Ｐゴシック"/>
        <family val="3"/>
        <charset val="128"/>
      </rPr>
      <t>令和3年度</t>
    </r>
    <r>
      <rPr>
        <sz val="12"/>
        <rFont val="ＭＳ Ｐゴシック"/>
        <family val="3"/>
        <charset val="128"/>
        <scheme val="minor"/>
      </rPr>
      <t>よりスタートしているため、</t>
    </r>
    <r>
      <rPr>
        <sz val="12"/>
        <rFont val="ＭＳ Ｐゴシック"/>
        <family val="3"/>
        <charset val="128"/>
      </rPr>
      <t>これらは令和3年度</t>
    </r>
    <r>
      <rPr>
        <sz val="12"/>
        <rFont val="ＭＳ Ｐゴシック"/>
        <family val="3"/>
        <charset val="128"/>
        <scheme val="minor"/>
      </rPr>
      <t>入学生についての数値</t>
    </r>
    <r>
      <rPr>
        <sz val="12"/>
        <rFont val="ＭＳ Ｐゴシック"/>
        <family val="3"/>
        <charset val="128"/>
      </rPr>
      <t>である。</t>
    </r>
    <rPh sb="39" eb="41">
      <t xml:space="preserve">カモク </t>
    </rPh>
    <rPh sb="48" eb="50">
      <t xml:space="preserve">カモク </t>
    </rPh>
    <rPh sb="186" eb="188">
      <t xml:space="preserve">レイワ </t>
    </rPh>
    <rPh sb="252" eb="254">
      <t xml:space="preserve">レイワ </t>
    </rPh>
    <rPh sb="255" eb="256">
      <t xml:space="preserve">ネン </t>
    </rPh>
    <phoneticPr fontId="1"/>
  </si>
  <si>
    <r>
      <t>現状においても</t>
    </r>
    <r>
      <rPr>
        <sz val="12"/>
        <rFont val="ＭＳ Ｐゴシック"/>
        <family val="3"/>
        <charset val="128"/>
      </rPr>
      <t>令和3年</t>
    </r>
    <r>
      <rPr>
        <sz val="12"/>
        <rFont val="ＭＳ Ｐゴシック"/>
        <family val="3"/>
        <charset val="128"/>
        <scheme val="minor"/>
      </rPr>
      <t>度入学者の95％以上が履修し、おおよそ90％が1年次に修了している。また、未修了者に対しては、2年次以降での再履修を推奨し、履修しやすい環境を整えている。また、令和5年度から</t>
    </r>
    <r>
      <rPr>
        <sz val="12"/>
        <rFont val="ＭＳ Ｐゴシック"/>
        <family val="3"/>
        <charset val="128"/>
      </rPr>
      <t>本プログラム</t>
    </r>
    <r>
      <rPr>
        <sz val="12"/>
        <rFont val="ＭＳ Ｐゴシック"/>
        <family val="3"/>
        <charset val="128"/>
        <scheme val="minor"/>
      </rPr>
      <t>の必修科目「情報リテラシー応用」を全学必修とする</t>
    </r>
    <r>
      <rPr>
        <sz val="12"/>
        <rFont val="ＭＳ Ｐゴシック"/>
        <family val="3"/>
        <charset val="128"/>
      </rPr>
      <t>予定のため</t>
    </r>
    <r>
      <rPr>
        <sz val="12"/>
        <rFont val="ＭＳ Ｐゴシック"/>
        <family val="3"/>
        <charset val="128"/>
        <scheme val="minor"/>
      </rPr>
      <t>、令和5年度から全入学生が1年次に本プログラムを履修し、卒業</t>
    </r>
    <r>
      <rPr>
        <sz val="12"/>
        <rFont val="ＭＳ Ｐゴシック"/>
        <family val="3"/>
        <charset val="128"/>
      </rPr>
      <t>時点で</t>
    </r>
    <r>
      <rPr>
        <sz val="12"/>
        <rFont val="ＭＳ Ｐゴシック"/>
        <family val="3"/>
        <charset val="128"/>
        <scheme val="minor"/>
      </rPr>
      <t>100％が修了することになる。</t>
    </r>
    <rPh sb="7" eb="9">
      <t xml:space="preserve">レイワ </t>
    </rPh>
    <rPh sb="10" eb="11">
      <t xml:space="preserve">ネン </t>
    </rPh>
    <rPh sb="128" eb="130">
      <t xml:space="preserve">ヨテイノ </t>
    </rPh>
    <rPh sb="163" eb="165">
      <t xml:space="preserve">ジテン </t>
    </rPh>
    <phoneticPr fontId="1"/>
  </si>
  <si>
    <r>
      <rPr>
        <sz val="12"/>
        <rFont val="ＭＳ Ｐゴシック"/>
        <family val="3"/>
        <charset val="128"/>
      </rPr>
      <t>本プログラム</t>
    </r>
    <r>
      <rPr>
        <sz val="12"/>
        <rFont val="ＭＳ Ｐゴシック"/>
        <family val="3"/>
        <charset val="128"/>
        <scheme val="minor"/>
      </rPr>
      <t xml:space="preserve">は </t>
    </r>
    <r>
      <rPr>
        <sz val="12"/>
        <rFont val="ＭＳ Ｐゴシック"/>
        <family val="3"/>
        <charset val="128"/>
      </rPr>
      <t>令和3年度</t>
    </r>
    <r>
      <rPr>
        <sz val="12"/>
        <rFont val="ＭＳ Ｐゴシック"/>
        <family val="3"/>
        <charset val="128"/>
        <scheme val="minor"/>
      </rPr>
      <t>から開始しており、現時点で修了者は在籍中のため、現時点で評価することは難しい。将来的には、毎年実施している「就職先等調査」、「卒業生調査」において、</t>
    </r>
    <r>
      <rPr>
        <sz val="12"/>
        <rFont val="ＭＳ Ｐゴシック"/>
        <family val="3"/>
        <charset val="128"/>
      </rPr>
      <t>本プログラム</t>
    </r>
    <r>
      <rPr>
        <sz val="12"/>
        <rFont val="ＭＳ Ｐゴシック"/>
        <family val="3"/>
        <charset val="128"/>
        <scheme val="minor"/>
      </rPr>
      <t>を修了した卒業生の進路先や活躍状況を把握することができる。</t>
    </r>
    <rPh sb="8" eb="10">
      <t xml:space="preserve">レイワ </t>
    </rPh>
    <rPh sb="11" eb="12">
      <t xml:space="preserve">ネン </t>
    </rPh>
    <rPh sb="87" eb="88">
      <t xml:space="preserve">ホンプログラム </t>
    </rPh>
    <phoneticPr fontId="1"/>
  </si>
  <si>
    <r>
      <t>「情報リテラシー応用」の期末課題として、京都市観光データを分析しその結果を他者に伝えるスライド</t>
    </r>
    <r>
      <rPr>
        <sz val="12"/>
        <rFont val="ＭＳ Ｐゴシック"/>
        <family val="3"/>
        <charset val="128"/>
      </rPr>
      <t>を</t>
    </r>
    <r>
      <rPr>
        <sz val="12"/>
        <rFont val="ＭＳ Ｐゴシック"/>
        <family val="3"/>
        <charset val="128"/>
        <scheme val="minor"/>
      </rPr>
      <t>作成させており、学生は工夫しながら集計や可視化に取り組んでいる。また、AIに関するeラーニング教材に取り組み、Googleの修了証を獲得することで、学ぶ楽しさと自己効力感を得ている。情報倫理教育では、大学生向けに作成されたドラマ仕立てのビデオ教材を用い、学生が自らの問題と受け取り、考えられるようにしている。</t>
    </r>
    <r>
      <rPr>
        <sz val="12"/>
        <rFont val="ＭＳ Ｐゴシック"/>
        <family val="3"/>
        <charset val="128"/>
      </rPr>
      <t>令和4年度</t>
    </r>
    <r>
      <rPr>
        <sz val="12"/>
        <rFont val="ＭＳ Ｐゴシック"/>
        <family val="3"/>
        <charset val="128"/>
        <scheme val="minor"/>
      </rPr>
      <t>からは、AIの利活用とそれに付随する倫理的な課題を「京都光華の学び」「アカデミックライティング」で連携して扱い、数理・データサイエンス・AIを学ぶことの意義をより強く伝える予定である。</t>
    </r>
    <rPh sb="202" eb="204">
      <t xml:space="preserve">レイワ </t>
    </rPh>
    <rPh sb="205" eb="206">
      <t xml:space="preserve">ネン </t>
    </rPh>
    <phoneticPr fontId="1"/>
  </si>
  <si>
    <r>
      <t>PC演習を伴う「情報リテラシー基礎」「情報リテラシー応用」では、40人定員に対して授業を主導するメイン講師と個別対応を行うサブ講師の2名を配置している。またeラーニング教材やリファレンス動画を提供し、</t>
    </r>
    <r>
      <rPr>
        <sz val="12"/>
        <rFont val="ＭＳ Ｐゴシック"/>
        <family val="3"/>
        <charset val="128"/>
      </rPr>
      <t>学生</t>
    </r>
    <r>
      <rPr>
        <sz val="12"/>
        <rFont val="ＭＳ Ｐゴシック"/>
        <family val="3"/>
        <charset val="128"/>
        <scheme val="minor"/>
      </rPr>
      <t>が各自のペースで能動的に学修に取り組める環境を用意している。「アカデミックスキル入門」「アカデミックライティング」（1クラス30名程度）では、教材を統一した上で、担当者間で受講生の状況を共有しながら授業を展開している。オンデマンド配信型授業の「京都光華の学び」ではリフレクション・シートの提出を毎回課し、翌週の授業で講評することで「リアルタイム性」と「インタラクティブ性」を擬似的に再現している。</t>
    </r>
    <rPh sb="100" eb="102">
      <t xml:space="preserve">ガクセイ </t>
    </rPh>
    <phoneticPr fontId="1"/>
  </si>
  <si>
    <t>「アカデミックスキル入門」「アカデミックライティング」は1クラス30名程度とし、ほぼ毎回の提出物に対し迅速にフィードバックを行っている。LMSに授業資料、解説動画等をアップし、やむを得ず欠席しても授業内容をフォローできるようにしている。オンデマンド授業として開講した「京都光華の学び」では、着実に学習に取り組むことができるよう、毎回リフレクションシートを提出させ翌週の配信で講評・フィードバックを行っている。
「情報リテラシー入門」「情報リテラシー応用」は大半をオンラインで実施した（オンデマンド型：ビデオ授業＋eラーニング教材）。全13クラスの授業時間に担当教員が教室に待機し、対面またはZoomで個別質問に対応した。授業時間外でも随時メールでの質問に対応した。令和4年度は対面授業を予定しているが、1教室に2名の教員を配置し円滑な授業運営と個別学習支援を行う。
なお、2021年度新入生からPC・iPadを必携としている。</t>
    <phoneticPr fontId="1"/>
  </si>
  <si>
    <r>
      <t>下記のリベラルアーツ教育科目を全て修得すること（必修4単位）。
・情報リテラシー応用（90分×15回、1単位）
・京都光華の学び（90分×15回、1単位）
・アカデミックスキル入門（90分×15回、1単位）
・アカデミックライティング（90分×15回、1単位）
下記の</t>
    </r>
    <r>
      <rPr>
        <sz val="12"/>
        <rFont val="ＭＳ Ｐゴシック"/>
        <family val="3"/>
        <charset val="128"/>
      </rPr>
      <t>3</t>
    </r>
    <r>
      <rPr>
        <sz val="12"/>
        <rFont val="ＭＳ Ｐゴシック"/>
        <family val="3"/>
        <charset val="128"/>
        <scheme val="minor"/>
      </rPr>
      <t>科目は選択とする。履修を推奨するが必修とはしない。
  情報リテラシー基礎（90分×15回、1単位）、くらしのなかの統計学（90分×15回、2単位）、プログラミング入門（90分×15回、2単位）</t>
    </r>
    <phoneticPr fontId="1"/>
  </si>
  <si>
    <r>
      <t>リベラルアーツセンターは、（1）全学のリベラルアーツ教育の推進、および、（2）学習ステーション等との連携による教育活動の推進を目的として、</t>
    </r>
    <r>
      <rPr>
        <sz val="12"/>
        <rFont val="ＭＳ Ｐゴシック"/>
        <family val="3"/>
        <charset val="128"/>
      </rPr>
      <t>令和元年度</t>
    </r>
    <r>
      <rPr>
        <sz val="12"/>
        <rFont val="ＭＳ Ｐゴシック"/>
        <family val="3"/>
        <charset val="128"/>
        <scheme val="minor"/>
      </rPr>
      <t>に設置された組織である。発足当初より、全学必修科目群（京都光華の学び、アカデミックスキル入門、アカデミックライティング）と連携した情報リテラシー教育の拡充に取り組んできた。</t>
    </r>
    <r>
      <rPr>
        <sz val="12"/>
        <rFont val="ＭＳ Ｐゴシック"/>
        <family val="3"/>
        <charset val="128"/>
      </rPr>
      <t>令和2年度</t>
    </r>
    <r>
      <rPr>
        <sz val="12"/>
        <rFont val="ＭＳ Ｐゴシック"/>
        <family val="3"/>
        <charset val="128"/>
        <scheme val="minor"/>
      </rPr>
      <t>には数理・データサイエンス教育強化拠点コンソーシアム（近畿ブロック）に会員校として参画し、本学のリベラルアーツ教育の柱の1つとして数理･データサイエンス・AI教育の実施と改善に取り組んでいる。</t>
    </r>
    <rPh sb="69" eb="71">
      <t xml:space="preserve">レイワ </t>
    </rPh>
    <rPh sb="71" eb="72">
      <t xml:space="preserve">モト </t>
    </rPh>
    <rPh sb="160" eb="162">
      <t xml:space="preserve">レイワ２ネン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</si>
</sst>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color theme="1"/>
      <name val="ＭＳ Ｐゴシック"/>
      <family val="3"/>
      <charset val="128"/>
    </font>
    <font>
      <sz val="10"/>
      <color rgb="FF000000"/>
      <name val="Yu Gothic UI"/>
      <family val="3"/>
      <charset val="128"/>
    </font>
    <font>
      <b/>
      <sz val="10"/>
      <color rgb="FF000000"/>
      <name val="Yu Gothic UI"/>
      <family val="3"/>
      <charset val="128"/>
    </font>
    <font>
      <sz val="12"/>
      <color theme="1"/>
      <name val="ＭＳ Ｐゴシック"/>
      <family val="2"/>
      <charset val="128"/>
    </font>
    <font>
      <sz val="10"/>
      <color rgb="FF000000"/>
      <name val="ＭＳ Ｐゴシック"/>
      <family val="2"/>
      <charset val="128"/>
      <scheme val="minor"/>
    </font>
    <font>
      <sz val="12"/>
      <name val="ＭＳ Ｐゴシック"/>
      <family val="3"/>
      <charset val="128"/>
    </font>
  </fonts>
  <fills count="2">
    <fill>
      <patternFill patternType="none"/>
    </fill>
    <fill>
      <patternFill patternType="gray125"/>
    </fill>
  </fills>
  <borders count="5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style="hair">
        <color auto="1"/>
      </bottom>
      <diagonal/>
    </border>
    <border>
      <left style="thin">
        <color auto="1"/>
      </left>
      <right style="hair">
        <color auto="1"/>
      </right>
      <top/>
      <bottom style="hair">
        <color indexed="64"/>
      </bottom>
      <diagonal/>
    </border>
  </borders>
  <cellStyleXfs count="3">
    <xf numFmtId="0" fontId="0" fillId="0" borderId="0">
      <alignment vertical="center"/>
    </xf>
    <xf numFmtId="38" fontId="4" fillId="0" borderId="0" applyFont="0" applyFill="0" applyBorder="0" applyAlignment="0" applyProtection="0">
      <alignment vertical="center"/>
    </xf>
    <xf numFmtId="0" fontId="5" fillId="0" borderId="0" applyNumberFormat="0" applyFill="0" applyBorder="0" applyAlignment="0" applyProtection="0">
      <alignment vertical="center"/>
    </xf>
  </cellStyleXfs>
  <cellXfs count="298">
    <xf numFmtId="0" fontId="0" fillId="0" borderId="0" xfId="0">
      <alignment vertical="center"/>
    </xf>
    <xf numFmtId="0" fontId="2" fillId="0" borderId="0" xfId="0" applyFont="1">
      <alignment vertical="center"/>
    </xf>
    <xf numFmtId="0" fontId="3" fillId="0" borderId="0" xfId="0" applyFont="1">
      <alignment vertical="center"/>
    </xf>
    <xf numFmtId="176" fontId="6" fillId="0" borderId="0" xfId="0" applyNumberFormat="1" applyFont="1">
      <alignment vertical="center"/>
    </xf>
    <xf numFmtId="176" fontId="6" fillId="0" borderId="3" xfId="0" applyNumberFormat="1" applyFont="1" applyBorder="1" applyAlignment="1">
      <alignment vertical="center" shrinkToFit="1"/>
    </xf>
    <xf numFmtId="0" fontId="6" fillId="0" borderId="0" xfId="0" applyFont="1" applyAlignment="1">
      <alignment horizontal="center" vertical="center" shrinkToFit="1"/>
    </xf>
    <xf numFmtId="0" fontId="7" fillId="0" borderId="0" xfId="0" applyFont="1">
      <alignment vertical="center"/>
    </xf>
    <xf numFmtId="0" fontId="6" fillId="0" borderId="0" xfId="0" applyFont="1">
      <alignment vertical="center"/>
    </xf>
    <xf numFmtId="0" fontId="6" fillId="0" borderId="0" xfId="0" applyFont="1" applyAlignment="1">
      <alignment horizontal="left" vertical="center"/>
    </xf>
    <xf numFmtId="0" fontId="6" fillId="0" borderId="5" xfId="0" applyFont="1" applyBorder="1">
      <alignment vertical="center"/>
    </xf>
    <xf numFmtId="176" fontId="6" fillId="0" borderId="0" xfId="0" applyNumberFormat="1" applyFont="1" applyAlignment="1">
      <alignment vertical="center" wrapText="1"/>
    </xf>
    <xf numFmtId="176" fontId="6" fillId="0" borderId="5" xfId="0" applyNumberFormat="1" applyFont="1" applyBorder="1">
      <alignment vertical="center"/>
    </xf>
    <xf numFmtId="176" fontId="6" fillId="0" borderId="0" xfId="0" applyNumberFormat="1" applyFont="1" applyAlignment="1">
      <alignment horizontal="left" vertical="center" wrapText="1"/>
    </xf>
    <xf numFmtId="0" fontId="6" fillId="0" borderId="6" xfId="0" applyFont="1" applyBorder="1" applyAlignment="1">
      <alignment vertical="center" shrinkToFit="1"/>
    </xf>
    <xf numFmtId="0" fontId="6" fillId="0" borderId="1" xfId="0" applyFont="1" applyBorder="1">
      <alignment vertical="center"/>
    </xf>
    <xf numFmtId="0" fontId="6" fillId="0" borderId="2" xfId="0" applyFont="1" applyBorder="1">
      <alignment vertical="center"/>
    </xf>
    <xf numFmtId="0" fontId="6" fillId="0" borderId="4" xfId="0" applyFont="1" applyBorder="1">
      <alignment vertical="center"/>
    </xf>
    <xf numFmtId="0" fontId="6" fillId="0" borderId="0" xfId="0" applyFont="1" applyAlignment="1">
      <alignment horizontal="center" vertical="center"/>
    </xf>
    <xf numFmtId="0" fontId="6" fillId="0" borderId="1" xfId="0" applyFont="1" applyBorder="1" applyAlignment="1">
      <alignment vertical="center" shrinkToFit="1"/>
    </xf>
    <xf numFmtId="0" fontId="8" fillId="0" borderId="0" xfId="0" applyFont="1">
      <alignment vertical="center"/>
    </xf>
    <xf numFmtId="0" fontId="9" fillId="0" borderId="0" xfId="0" applyFont="1">
      <alignment vertical="center"/>
    </xf>
    <xf numFmtId="0" fontId="6" fillId="0" borderId="0" xfId="0" applyFont="1" applyAlignment="1">
      <alignment vertical="center" shrinkToFit="1"/>
    </xf>
    <xf numFmtId="0" fontId="3" fillId="0" borderId="0" xfId="0" applyFont="1" applyAlignment="1">
      <alignment horizontal="center" vertical="center"/>
    </xf>
    <xf numFmtId="0" fontId="13" fillId="0" borderId="11" xfId="0" applyFont="1" applyBorder="1" applyAlignment="1">
      <alignment horizontal="center" vertical="center"/>
    </xf>
    <xf numFmtId="0" fontId="13" fillId="0" borderId="29" xfId="0" applyFont="1" applyBorder="1" applyAlignment="1">
      <alignment horizontal="center" vertical="center" wrapText="1"/>
    </xf>
    <xf numFmtId="0" fontId="13" fillId="0" borderId="30" xfId="0" applyFont="1" applyBorder="1" applyAlignment="1">
      <alignment horizontal="center" vertical="center"/>
    </xf>
    <xf numFmtId="0" fontId="13"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6" fillId="0" borderId="10" xfId="0" applyFont="1" applyBorder="1" applyAlignment="1">
      <alignment vertical="center" shrinkToFit="1"/>
    </xf>
    <xf numFmtId="49" fontId="16" fillId="0" borderId="1" xfId="0" applyNumberFormat="1" applyFont="1" applyBorder="1" applyAlignment="1">
      <alignment horizontal="center" vertical="center"/>
    </xf>
    <xf numFmtId="0" fontId="6" fillId="0" borderId="0" xfId="0" applyFont="1" applyAlignment="1">
      <alignment vertical="top" wrapText="1"/>
    </xf>
    <xf numFmtId="0" fontId="7" fillId="0" borderId="2" xfId="0" applyFont="1" applyBorder="1">
      <alignment vertical="center"/>
    </xf>
    <xf numFmtId="0" fontId="7" fillId="0" borderId="4" xfId="0" applyFont="1" applyBorder="1">
      <alignment vertical="center"/>
    </xf>
    <xf numFmtId="49" fontId="16" fillId="0" borderId="47" xfId="0" applyNumberFormat="1" applyFont="1" applyBorder="1" applyAlignment="1">
      <alignment horizontal="center" vertical="center"/>
    </xf>
    <xf numFmtId="49" fontId="16" fillId="0" borderId="33" xfId="0" applyNumberFormat="1" applyFont="1" applyBorder="1" applyAlignment="1">
      <alignment horizontal="center" vertical="center"/>
    </xf>
    <xf numFmtId="49" fontId="16" fillId="0" borderId="50" xfId="0" applyNumberFormat="1" applyFont="1" applyBorder="1" applyAlignment="1">
      <alignment horizontal="center" vertical="center"/>
    </xf>
    <xf numFmtId="0" fontId="6" fillId="0" borderId="44" xfId="0" applyFont="1" applyBorder="1" applyAlignment="1">
      <alignment horizontal="center" vertical="center" shrinkToFit="1"/>
    </xf>
    <xf numFmtId="0" fontId="6" fillId="0" borderId="45" xfId="0" applyFont="1" applyBorder="1" applyAlignment="1">
      <alignment horizontal="center" vertical="center" shrinkToFit="1"/>
    </xf>
    <xf numFmtId="49" fontId="16"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6" fillId="0" borderId="7" xfId="0" applyFont="1" applyBorder="1" applyAlignment="1">
      <alignment horizontal="center" vertical="center" wrapText="1" shrinkToFit="1"/>
    </xf>
    <xf numFmtId="9" fontId="6" fillId="0" borderId="8" xfId="0" applyNumberFormat="1" applyFont="1" applyBorder="1" applyAlignment="1">
      <alignment horizontal="center" vertical="center" wrapText="1" shrinkToFit="1"/>
    </xf>
    <xf numFmtId="0" fontId="6" fillId="0" borderId="8" xfId="0" applyFont="1" applyBorder="1" applyAlignment="1">
      <alignment horizontal="center" vertical="center" wrapText="1" shrinkToFit="1"/>
    </xf>
    <xf numFmtId="9" fontId="6" fillId="0" borderId="8" xfId="0" applyNumberFormat="1" applyFont="1" applyBorder="1" applyAlignment="1">
      <alignment horizontal="center" vertical="center" shrinkToFit="1"/>
    </xf>
    <xf numFmtId="0" fontId="6" fillId="0" borderId="9" xfId="0" applyFont="1" applyBorder="1" applyAlignment="1">
      <alignment horizontal="center" vertical="center" shrinkToFit="1"/>
    </xf>
    <xf numFmtId="9" fontId="6" fillId="0" borderId="45" xfId="0" applyNumberFormat="1" applyFont="1" applyBorder="1" applyAlignment="1">
      <alignment horizontal="center" vertical="center" shrinkToFit="1"/>
    </xf>
    <xf numFmtId="176" fontId="6" fillId="0" borderId="45" xfId="0" applyNumberFormat="1" applyFont="1" applyBorder="1" applyAlignment="1">
      <alignment horizontal="center" vertical="center" shrinkToFit="1"/>
    </xf>
    <xf numFmtId="0" fontId="6" fillId="0" borderId="46" xfId="0" applyFont="1" applyBorder="1" applyAlignment="1">
      <alignment horizontal="center" vertical="center" shrinkToFit="1"/>
    </xf>
    <xf numFmtId="0" fontId="6" fillId="0" borderId="3" xfId="0" applyFont="1" applyBorder="1">
      <alignment vertical="center"/>
    </xf>
    <xf numFmtId="49" fontId="16" fillId="0" borderId="52" xfId="0" applyNumberFormat="1" applyFont="1" applyBorder="1" applyAlignment="1">
      <alignment horizontal="center" vertical="center"/>
    </xf>
    <xf numFmtId="49" fontId="16" fillId="0" borderId="29" xfId="0" applyNumberFormat="1" applyFont="1" applyBorder="1" applyAlignment="1">
      <alignment horizontal="center" vertical="center"/>
    </xf>
    <xf numFmtId="0" fontId="19" fillId="0" borderId="4" xfId="0" applyFont="1" applyBorder="1" applyAlignment="1">
      <alignment horizontal="center" vertical="center" shrinkToFit="1"/>
    </xf>
    <xf numFmtId="0" fontId="6" fillId="0" borderId="14" xfId="0" applyFont="1" applyBorder="1" applyAlignment="1">
      <alignment horizontal="center" vertical="center" shrinkToFit="1"/>
    </xf>
    <xf numFmtId="0" fontId="6" fillId="0" borderId="23" xfId="0" applyFont="1" applyBorder="1" applyAlignment="1">
      <alignment horizontal="center" vertical="center" shrinkToFit="1"/>
    </xf>
    <xf numFmtId="0" fontId="6" fillId="0" borderId="13" xfId="0" applyFont="1" applyBorder="1" applyAlignment="1">
      <alignment horizontal="center" vertical="center" shrinkToFit="1"/>
    </xf>
    <xf numFmtId="0" fontId="6" fillId="0" borderId="1" xfId="0" applyFont="1" applyBorder="1" applyAlignment="1">
      <alignment horizontal="center" vertical="center" shrinkToFit="1"/>
    </xf>
    <xf numFmtId="0" fontId="6" fillId="0" borderId="18" xfId="0" applyFont="1" applyBorder="1" applyAlignment="1">
      <alignment horizontal="center" vertical="center"/>
    </xf>
    <xf numFmtId="0" fontId="6" fillId="0" borderId="42" xfId="0" applyFont="1" applyBorder="1" applyAlignment="1">
      <alignment horizontal="center" vertical="center"/>
    </xf>
    <xf numFmtId="0" fontId="6" fillId="0" borderId="38" xfId="0" applyFont="1" applyBorder="1" applyAlignment="1">
      <alignment horizontal="center" vertical="center"/>
    </xf>
    <xf numFmtId="0" fontId="6" fillId="0" borderId="43" xfId="0" applyFont="1" applyBorder="1" applyAlignment="1">
      <alignment horizontal="center" vertical="center" shrinkToFit="1"/>
    </xf>
    <xf numFmtId="0" fontId="6" fillId="0" borderId="0" xfId="0" applyFont="1" applyAlignment="1">
      <alignment horizontal="right" vertical="center"/>
    </xf>
    <xf numFmtId="0" fontId="6" fillId="0" borderId="0" xfId="0" applyFont="1" applyAlignment="1">
      <alignment vertical="center" wrapText="1"/>
    </xf>
    <xf numFmtId="0" fontId="15" fillId="0" borderId="0" xfId="0" applyFont="1" applyAlignment="1">
      <alignment horizontal="center" vertical="center"/>
    </xf>
    <xf numFmtId="0" fontId="6" fillId="0" borderId="53" xfId="0" applyFont="1" applyBorder="1" applyAlignment="1">
      <alignment horizontal="center" vertical="center" shrinkToFit="1"/>
    </xf>
    <xf numFmtId="0" fontId="16" fillId="0" borderId="0" xfId="0" applyFont="1">
      <alignment vertical="center"/>
    </xf>
    <xf numFmtId="0" fontId="16" fillId="0" borderId="0" xfId="0" applyFont="1" applyAlignment="1">
      <alignment vertical="top" wrapText="1"/>
    </xf>
    <xf numFmtId="0" fontId="16" fillId="0" borderId="0" xfId="0" applyFont="1" applyAlignment="1">
      <alignment vertical="top" shrinkToFit="1"/>
    </xf>
    <xf numFmtId="0" fontId="16" fillId="0" borderId="0" xfId="0" applyFont="1" applyAlignment="1">
      <alignment vertical="center" wrapText="1"/>
    </xf>
    <xf numFmtId="0" fontId="16" fillId="0" borderId="10" xfId="0" applyFont="1" applyBorder="1" applyAlignment="1">
      <alignment vertical="top" wrapText="1"/>
    </xf>
    <xf numFmtId="0" fontId="16" fillId="0" borderId="5" xfId="0" applyFont="1" applyBorder="1" applyAlignment="1">
      <alignment vertical="top" wrapText="1"/>
    </xf>
    <xf numFmtId="0" fontId="6" fillId="0" borderId="16" xfId="0" applyFont="1" applyBorder="1">
      <alignment vertical="center"/>
    </xf>
    <xf numFmtId="0" fontId="16" fillId="0" borderId="20" xfId="0" applyFont="1" applyBorder="1" applyAlignment="1">
      <alignment vertical="top" wrapText="1"/>
    </xf>
    <xf numFmtId="0" fontId="16" fillId="0" borderId="18" xfId="0" applyFont="1" applyBorder="1" applyAlignment="1">
      <alignment vertical="top" wrapText="1"/>
    </xf>
    <xf numFmtId="0" fontId="16" fillId="0" borderId="20" xfId="0" applyFont="1" applyBorder="1" applyAlignment="1">
      <alignment vertical="top" shrinkToFit="1"/>
    </xf>
    <xf numFmtId="0" fontId="16" fillId="0" borderId="18" xfId="0" applyFont="1" applyBorder="1" applyAlignment="1">
      <alignment vertical="top" shrinkToFit="1"/>
    </xf>
    <xf numFmtId="0" fontId="6" fillId="0" borderId="18" xfId="0" applyFont="1" applyBorder="1" applyAlignment="1">
      <alignment horizontal="center" vertical="center"/>
    </xf>
    <xf numFmtId="0" fontId="6" fillId="0" borderId="14" xfId="0" applyFont="1" applyFill="1" applyBorder="1" applyAlignment="1">
      <alignment horizontal="center" vertical="center" shrinkToFit="1"/>
    </xf>
    <xf numFmtId="0" fontId="6" fillId="0" borderId="23" xfId="0" applyFont="1" applyFill="1" applyBorder="1" applyAlignment="1">
      <alignment horizontal="center" vertical="center" shrinkToFi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76" fontId="6" fillId="0" borderId="2" xfId="0" applyNumberFormat="1" applyFont="1" applyBorder="1" applyAlignment="1">
      <alignment horizontal="center" vertical="center"/>
    </xf>
    <xf numFmtId="176" fontId="6" fillId="0" borderId="3" xfId="0" applyNumberFormat="1" applyFont="1" applyBorder="1" applyAlignment="1">
      <alignment horizontal="center" vertical="center"/>
    </xf>
    <xf numFmtId="176" fontId="6" fillId="0" borderId="4" xfId="0" applyNumberFormat="1" applyFont="1" applyBorder="1" applyAlignment="1">
      <alignment horizontal="center" vertical="center"/>
    </xf>
    <xf numFmtId="0" fontId="6" fillId="0" borderId="0" xfId="0" applyFont="1" applyAlignment="1">
      <alignment horizontal="center" vertical="center"/>
    </xf>
    <xf numFmtId="0" fontId="6" fillId="0" borderId="0" xfId="0" applyFont="1" applyAlignment="1">
      <alignment horizontal="right" vertical="center" shrinkToFit="1"/>
    </xf>
    <xf numFmtId="0" fontId="6" fillId="0" borderId="2" xfId="0" applyFont="1" applyBorder="1" applyAlignment="1">
      <alignment horizontal="center" vertical="center" shrinkToFit="1"/>
    </xf>
    <xf numFmtId="0" fontId="6" fillId="0" borderId="3" xfId="0" applyFont="1" applyBorder="1" applyAlignment="1">
      <alignment horizontal="center" vertical="center" shrinkToFit="1"/>
    </xf>
    <xf numFmtId="0" fontId="6" fillId="0" borderId="5" xfId="0" applyFont="1" applyBorder="1" applyAlignment="1">
      <alignment horizontal="right" vertical="center" shrinkToFit="1"/>
    </xf>
    <xf numFmtId="0" fontId="6" fillId="0" borderId="10" xfId="0" applyFont="1" applyBorder="1" applyAlignment="1">
      <alignment horizontal="right" vertical="center" shrinkToFit="1"/>
    </xf>
    <xf numFmtId="176" fontId="6" fillId="0" borderId="2" xfId="0" applyNumberFormat="1" applyFont="1" applyBorder="1" applyAlignment="1">
      <alignment horizontal="center" vertical="center" shrinkToFit="1"/>
    </xf>
    <xf numFmtId="176" fontId="6" fillId="0" borderId="4" xfId="0" applyNumberFormat="1" applyFont="1" applyBorder="1" applyAlignment="1">
      <alignment horizontal="center" vertical="center" shrinkToFit="1"/>
    </xf>
    <xf numFmtId="0" fontId="6" fillId="0" borderId="0" xfId="0" applyFont="1" applyAlignment="1">
      <alignment vertical="center" shrinkToFit="1"/>
    </xf>
    <xf numFmtId="0" fontId="6" fillId="0" borderId="4" xfId="0" applyFont="1" applyBorder="1" applyAlignment="1">
      <alignment horizontal="center" vertical="center" shrinkToFit="1"/>
    </xf>
    <xf numFmtId="0" fontId="6" fillId="0" borderId="0" xfId="0" applyFont="1" applyAlignment="1">
      <alignment horizontal="right" vertical="center"/>
    </xf>
    <xf numFmtId="0" fontId="6" fillId="0" borderId="10" xfId="0" applyFont="1" applyBorder="1" applyAlignment="1">
      <alignment horizontal="right" vertical="center"/>
    </xf>
    <xf numFmtId="0" fontId="10" fillId="0" borderId="0" xfId="0" applyFont="1" applyAlignment="1">
      <alignment horizontal="center" vertical="center"/>
    </xf>
    <xf numFmtId="49" fontId="14" fillId="0" borderId="2" xfId="2" applyNumberFormat="1" applyFont="1" applyBorder="1" applyAlignment="1">
      <alignment vertical="center" shrinkToFit="1"/>
    </xf>
    <xf numFmtId="49" fontId="6" fillId="0" borderId="3" xfId="0" applyNumberFormat="1" applyFont="1" applyBorder="1" applyAlignment="1">
      <alignment vertical="center" shrinkToFit="1"/>
    </xf>
    <xf numFmtId="49" fontId="6" fillId="0" borderId="4" xfId="0" applyNumberFormat="1" applyFont="1" applyBorder="1" applyAlignment="1">
      <alignment vertical="center" shrinkToFit="1"/>
    </xf>
    <xf numFmtId="49" fontId="6" fillId="0" borderId="2" xfId="1" applyNumberFormat="1" applyFont="1" applyBorder="1" applyAlignment="1">
      <alignment horizontal="center" vertical="center" shrinkToFit="1"/>
    </xf>
    <xf numFmtId="49" fontId="6" fillId="0" borderId="3" xfId="1" applyNumberFormat="1" applyFont="1" applyBorder="1" applyAlignment="1">
      <alignment horizontal="center" vertical="center" shrinkToFit="1"/>
    </xf>
    <xf numFmtId="49" fontId="6" fillId="0" borderId="4" xfId="1" applyNumberFormat="1" applyFont="1" applyBorder="1" applyAlignment="1">
      <alignment horizontal="center" vertical="center" shrinkToFit="1"/>
    </xf>
    <xf numFmtId="0" fontId="6" fillId="0" borderId="2" xfId="0" applyFont="1" applyBorder="1" applyAlignment="1">
      <alignment vertical="center" shrinkToFit="1"/>
    </xf>
    <xf numFmtId="0" fontId="6" fillId="0" borderId="3" xfId="0" applyFont="1" applyBorder="1" applyAlignment="1">
      <alignment vertical="center" shrinkToFit="1"/>
    </xf>
    <xf numFmtId="0" fontId="6" fillId="0" borderId="19" xfId="0" applyFont="1" applyBorder="1" applyAlignment="1">
      <alignment vertical="center" shrinkToFit="1"/>
    </xf>
    <xf numFmtId="0" fontId="6" fillId="0" borderId="20" xfId="0" applyFont="1" applyBorder="1" applyAlignment="1">
      <alignment vertical="center" shrinkToFit="1"/>
    </xf>
    <xf numFmtId="0" fontId="6" fillId="0" borderId="18" xfId="0" applyFont="1" applyBorder="1" applyAlignment="1">
      <alignment vertical="center" shrinkToFit="1"/>
    </xf>
    <xf numFmtId="0" fontId="6" fillId="0" borderId="19" xfId="0" applyFont="1" applyBorder="1" applyAlignment="1">
      <alignment horizontal="center" vertical="center"/>
    </xf>
    <xf numFmtId="0" fontId="6" fillId="0" borderId="20" xfId="0" applyFont="1" applyBorder="1" applyAlignment="1">
      <alignment horizontal="center" vertical="center"/>
    </xf>
    <xf numFmtId="0" fontId="6" fillId="0" borderId="18" xfId="0" applyFont="1" applyBorder="1" applyAlignment="1">
      <alignment horizontal="center" vertical="center"/>
    </xf>
    <xf numFmtId="0" fontId="6" fillId="0" borderId="37" xfId="0" applyFont="1" applyBorder="1" applyAlignment="1">
      <alignment vertical="center" shrinkToFit="1"/>
    </xf>
    <xf numFmtId="0" fontId="6" fillId="0" borderId="39" xfId="0" applyFont="1" applyBorder="1" applyAlignment="1">
      <alignment vertical="center" shrinkToFit="1"/>
    </xf>
    <xf numFmtId="0" fontId="6" fillId="0" borderId="38" xfId="0" applyFont="1" applyBorder="1" applyAlignment="1">
      <alignment vertical="center" shrinkToFit="1"/>
    </xf>
    <xf numFmtId="0" fontId="6" fillId="0" borderId="40" xfId="0" applyFont="1" applyBorder="1" applyAlignment="1">
      <alignment vertical="center" shrinkToFit="1"/>
    </xf>
    <xf numFmtId="0" fontId="6" fillId="0" borderId="41" xfId="0" applyFont="1" applyBorder="1" applyAlignment="1">
      <alignment vertical="center" shrinkToFit="1"/>
    </xf>
    <xf numFmtId="0" fontId="6" fillId="0" borderId="42" xfId="0" applyFont="1" applyBorder="1" applyAlignment="1">
      <alignment vertical="center" shrinkToFit="1"/>
    </xf>
    <xf numFmtId="0" fontId="6" fillId="0" borderId="40" xfId="0" applyFont="1" applyBorder="1" applyAlignment="1">
      <alignment horizontal="center" vertical="center"/>
    </xf>
    <xf numFmtId="0" fontId="6" fillId="0" borderId="41" xfId="0" applyFont="1" applyBorder="1" applyAlignment="1">
      <alignment horizontal="center" vertical="center"/>
    </xf>
    <xf numFmtId="0" fontId="6" fillId="0" borderId="42" xfId="0" applyFont="1" applyBorder="1" applyAlignment="1">
      <alignment horizontal="center" vertical="center"/>
    </xf>
    <xf numFmtId="0" fontId="6" fillId="0" borderId="19" xfId="0" applyFont="1" applyBorder="1" applyAlignment="1">
      <alignment horizontal="left" vertical="center" shrinkToFit="1"/>
    </xf>
    <xf numFmtId="0" fontId="6" fillId="0" borderId="20" xfId="0" applyFont="1" applyBorder="1" applyAlignment="1">
      <alignment horizontal="left" vertical="center" shrinkToFit="1"/>
    </xf>
    <xf numFmtId="0" fontId="6" fillId="0" borderId="18" xfId="0" applyFont="1" applyBorder="1" applyAlignment="1">
      <alignment horizontal="left" vertical="center" shrinkToFit="1"/>
    </xf>
    <xf numFmtId="0" fontId="6" fillId="0" borderId="40" xfId="0" applyFont="1" applyBorder="1" applyAlignment="1">
      <alignment horizontal="left" vertical="center" shrinkToFit="1"/>
    </xf>
    <xf numFmtId="0" fontId="6" fillId="0" borderId="41" xfId="0" applyFont="1" applyBorder="1" applyAlignment="1">
      <alignment horizontal="left" vertical="center" shrinkToFit="1"/>
    </xf>
    <xf numFmtId="0" fontId="6" fillId="0" borderId="42" xfId="0" applyFont="1" applyBorder="1" applyAlignment="1">
      <alignment horizontal="left" vertical="center" shrinkToFit="1"/>
    </xf>
    <xf numFmtId="0" fontId="7" fillId="0" borderId="0" xfId="0" applyFont="1" applyAlignment="1">
      <alignment horizontal="center" vertical="center"/>
    </xf>
    <xf numFmtId="0" fontId="6" fillId="0" borderId="37" xfId="0" applyFont="1" applyBorder="1" applyAlignment="1">
      <alignment horizontal="left" vertical="center" shrinkToFit="1"/>
    </xf>
    <xf numFmtId="0" fontId="6" fillId="0" borderId="39" xfId="0" applyFont="1" applyBorder="1" applyAlignment="1">
      <alignment horizontal="left" vertical="center" shrinkToFit="1"/>
    </xf>
    <xf numFmtId="0" fontId="6" fillId="0" borderId="38" xfId="0" applyFont="1" applyBorder="1" applyAlignment="1">
      <alignment horizontal="left" vertical="center" shrinkToFit="1"/>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37" xfId="0" applyFont="1" applyBorder="1" applyAlignment="1">
      <alignment horizontal="center" vertical="center"/>
    </xf>
    <xf numFmtId="0" fontId="6" fillId="0" borderId="39" xfId="0" applyFont="1" applyBorder="1" applyAlignment="1">
      <alignment horizontal="center" vertical="center"/>
    </xf>
    <xf numFmtId="0" fontId="6" fillId="0" borderId="38" xfId="0" applyFont="1" applyBorder="1" applyAlignment="1">
      <alignment horizontal="center" vertical="center"/>
    </xf>
    <xf numFmtId="0" fontId="7" fillId="0" borderId="7" xfId="0" applyFont="1" applyBorder="1" applyAlignment="1">
      <alignment vertical="center" wrapText="1" shrinkToFit="1"/>
    </xf>
    <xf numFmtId="0" fontId="7" fillId="0" borderId="8" xfId="0" applyFont="1" applyBorder="1" applyAlignment="1">
      <alignment vertical="center" shrinkToFit="1"/>
    </xf>
    <xf numFmtId="0" fontId="7" fillId="0" borderId="9" xfId="0" applyFont="1" applyBorder="1" applyAlignment="1">
      <alignment vertical="center" shrinkToFit="1"/>
    </xf>
    <xf numFmtId="0" fontId="7" fillId="0" borderId="5" xfId="0" applyFont="1" applyBorder="1" applyAlignment="1">
      <alignment vertical="center" shrinkToFit="1"/>
    </xf>
    <xf numFmtId="0" fontId="7" fillId="0" borderId="0" xfId="0" applyFont="1" applyAlignment="1">
      <alignment vertical="center" shrinkToFit="1"/>
    </xf>
    <xf numFmtId="0" fontId="7" fillId="0" borderId="10" xfId="0" applyFont="1" applyBorder="1" applyAlignment="1">
      <alignment vertical="center" shrinkToFit="1"/>
    </xf>
    <xf numFmtId="0" fontId="7" fillId="0" borderId="11" xfId="0" applyFont="1" applyBorder="1" applyAlignment="1">
      <alignment vertical="center" shrinkToFit="1"/>
    </xf>
    <xf numFmtId="0" fontId="7" fillId="0" borderId="6" xfId="0" applyFont="1" applyBorder="1" applyAlignment="1">
      <alignment vertical="center" shrinkToFit="1"/>
    </xf>
    <xf numFmtId="0" fontId="7" fillId="0" borderId="12" xfId="0" applyFont="1" applyBorder="1" applyAlignment="1">
      <alignment vertical="center" shrinkToFit="1"/>
    </xf>
    <xf numFmtId="0" fontId="7" fillId="0" borderId="2" xfId="0" applyFont="1" applyBorder="1" applyAlignment="1">
      <alignment vertical="center" shrinkToFit="1"/>
    </xf>
    <xf numFmtId="0" fontId="7" fillId="0" borderId="3" xfId="0" applyFont="1" applyBorder="1" applyAlignment="1">
      <alignment vertical="center" shrinkToFit="1"/>
    </xf>
    <xf numFmtId="0" fontId="7" fillId="0" borderId="4" xfId="0" applyFont="1" applyBorder="1" applyAlignment="1">
      <alignment vertical="center" shrinkToFit="1"/>
    </xf>
    <xf numFmtId="0" fontId="6" fillId="0" borderId="40" xfId="0" applyFont="1" applyBorder="1" applyAlignment="1">
      <alignment horizontal="center" vertical="center" shrinkToFit="1"/>
    </xf>
    <xf numFmtId="0" fontId="6" fillId="0" borderId="41" xfId="0" applyFont="1" applyBorder="1" applyAlignment="1">
      <alignment horizontal="center" vertical="center" shrinkToFit="1"/>
    </xf>
    <xf numFmtId="0" fontId="6" fillId="0" borderId="42" xfId="0" applyFont="1" applyBorder="1" applyAlignment="1">
      <alignment horizontal="center" vertical="center" shrinkToFit="1"/>
    </xf>
    <xf numFmtId="0" fontId="6" fillId="0" borderId="19" xfId="0" applyFont="1" applyBorder="1" applyAlignment="1">
      <alignment horizontal="center" vertical="center" shrinkToFit="1"/>
    </xf>
    <xf numFmtId="0" fontId="6" fillId="0" borderId="20" xfId="0" applyFont="1" applyBorder="1" applyAlignment="1">
      <alignment horizontal="center" vertical="center" shrinkToFit="1"/>
    </xf>
    <xf numFmtId="0" fontId="6" fillId="0" borderId="18" xfId="0" applyFont="1" applyBorder="1" applyAlignment="1">
      <alignment horizontal="center" vertical="center" shrinkToFit="1"/>
    </xf>
    <xf numFmtId="0" fontId="7" fillId="0" borderId="22" xfId="0" applyFont="1" applyBorder="1" applyAlignment="1">
      <alignment horizontal="left" vertical="center" wrapText="1" shrinkToFit="1"/>
    </xf>
    <xf numFmtId="0" fontId="7" fillId="0" borderId="22" xfId="0" applyFont="1" applyBorder="1" applyAlignment="1">
      <alignment horizontal="left" vertical="center" shrinkToFit="1"/>
    </xf>
    <xf numFmtId="0" fontId="7" fillId="0" borderId="21" xfId="0" applyFont="1" applyBorder="1" applyAlignment="1">
      <alignment horizontal="left" vertical="center" shrinkToFit="1"/>
    </xf>
    <xf numFmtId="0" fontId="7" fillId="0" borderId="39" xfId="0" applyFont="1" applyBorder="1" applyAlignment="1">
      <alignment horizontal="left" vertical="center" wrapText="1" shrinkToFit="1"/>
    </xf>
    <xf numFmtId="0" fontId="7" fillId="0" borderId="39" xfId="0" applyFont="1" applyBorder="1" applyAlignment="1">
      <alignment horizontal="left" vertical="center" shrinkToFit="1"/>
    </xf>
    <xf numFmtId="0" fontId="7" fillId="0" borderId="38" xfId="0" applyFont="1" applyBorder="1" applyAlignment="1">
      <alignment horizontal="left" vertical="center" shrinkToFit="1"/>
    </xf>
    <xf numFmtId="0" fontId="7" fillId="0" borderId="6" xfId="0" applyFont="1" applyBorder="1" applyAlignment="1">
      <alignment horizontal="left" vertical="center" wrapText="1" shrinkToFit="1"/>
    </xf>
    <xf numFmtId="0" fontId="7" fillId="0" borderId="6" xfId="0" applyFont="1" applyBorder="1" applyAlignment="1">
      <alignment horizontal="left" vertical="center" shrinkToFit="1"/>
    </xf>
    <xf numFmtId="0" fontId="7" fillId="0" borderId="12" xfId="0" applyFont="1" applyBorder="1" applyAlignment="1">
      <alignment horizontal="left" vertical="center" shrinkToFit="1"/>
    </xf>
    <xf numFmtId="0" fontId="6" fillId="0" borderId="41" xfId="0" applyFont="1" applyBorder="1" applyAlignment="1">
      <alignment horizontal="left" vertical="center" wrapText="1" shrinkToFit="1"/>
    </xf>
    <xf numFmtId="0" fontId="6" fillId="0" borderId="0" xfId="0" applyFont="1" applyAlignment="1">
      <alignment vertical="center" wrapText="1"/>
    </xf>
    <xf numFmtId="0" fontId="15" fillId="0" borderId="0" xfId="0" applyFont="1" applyAlignment="1">
      <alignment horizontal="center" vertical="center"/>
    </xf>
    <xf numFmtId="0" fontId="6" fillId="0" borderId="7" xfId="0" applyFont="1" applyBorder="1" applyAlignment="1">
      <alignment horizontal="left" vertical="top" wrapText="1" shrinkToFit="1"/>
    </xf>
    <xf numFmtId="0" fontId="6" fillId="0" borderId="8" xfId="0" applyFont="1" applyBorder="1" applyAlignment="1">
      <alignment horizontal="left" vertical="top" shrinkToFit="1"/>
    </xf>
    <xf numFmtId="0" fontId="6" fillId="0" borderId="9" xfId="0" applyFont="1" applyBorder="1" applyAlignment="1">
      <alignment horizontal="left" vertical="top" shrinkToFit="1"/>
    </xf>
    <xf numFmtId="0" fontId="6" fillId="0" borderId="5" xfId="0" applyFont="1" applyBorder="1" applyAlignment="1">
      <alignment horizontal="left" vertical="top" shrinkToFit="1"/>
    </xf>
    <xf numFmtId="0" fontId="6" fillId="0" borderId="0" xfId="0" applyFont="1" applyAlignment="1">
      <alignment horizontal="left" vertical="top" shrinkToFit="1"/>
    </xf>
    <xf numFmtId="0" fontId="6" fillId="0" borderId="10" xfId="0" applyFont="1" applyBorder="1" applyAlignment="1">
      <alignment horizontal="left" vertical="top" shrinkToFit="1"/>
    </xf>
    <xf numFmtId="0" fontId="6" fillId="0" borderId="11" xfId="0" applyFont="1" applyBorder="1" applyAlignment="1">
      <alignment horizontal="left" vertical="top" shrinkToFit="1"/>
    </xf>
    <xf numFmtId="0" fontId="6" fillId="0" borderId="6" xfId="0" applyFont="1" applyBorder="1" applyAlignment="1">
      <alignment horizontal="left" vertical="top" shrinkToFit="1"/>
    </xf>
    <xf numFmtId="0" fontId="6" fillId="0" borderId="12" xfId="0" applyFont="1" applyBorder="1" applyAlignment="1">
      <alignment horizontal="left" vertical="top" shrinkToFit="1"/>
    </xf>
    <xf numFmtId="0" fontId="6" fillId="0" borderId="44" xfId="0" applyFont="1" applyBorder="1" applyAlignment="1">
      <alignment horizontal="left" vertical="center" shrinkToFit="1"/>
    </xf>
    <xf numFmtId="0" fontId="6" fillId="0" borderId="45" xfId="0" applyFont="1" applyBorder="1" applyAlignment="1">
      <alignment horizontal="left" vertical="center" shrinkToFit="1"/>
    </xf>
    <xf numFmtId="0" fontId="6" fillId="0" borderId="46" xfId="0" applyFont="1" applyBorder="1" applyAlignment="1">
      <alignment horizontal="left" vertical="center" shrinkToFit="1"/>
    </xf>
    <xf numFmtId="0" fontId="6" fillId="0" borderId="37" xfId="0" applyFont="1" applyFill="1" applyBorder="1" applyAlignment="1">
      <alignment horizontal="center" vertical="center"/>
    </xf>
    <xf numFmtId="0" fontId="6" fillId="0" borderId="39" xfId="0" applyFont="1" applyFill="1" applyBorder="1" applyAlignment="1">
      <alignment horizontal="center" vertical="center"/>
    </xf>
    <xf numFmtId="0" fontId="6" fillId="0" borderId="38" xfId="0" applyFont="1" applyFill="1" applyBorder="1" applyAlignment="1">
      <alignment horizontal="center" vertical="center"/>
    </xf>
    <xf numFmtId="0" fontId="6" fillId="0" borderId="19" xfId="0" applyFont="1" applyFill="1" applyBorder="1" applyAlignment="1">
      <alignment horizontal="center" vertical="center"/>
    </xf>
    <xf numFmtId="0" fontId="6" fillId="0" borderId="20" xfId="0" applyFont="1" applyFill="1" applyBorder="1" applyAlignment="1">
      <alignment horizontal="center" vertical="center"/>
    </xf>
    <xf numFmtId="0" fontId="6" fillId="0" borderId="18" xfId="0" applyFont="1" applyFill="1" applyBorder="1" applyAlignment="1">
      <alignment horizontal="center" vertical="center"/>
    </xf>
    <xf numFmtId="0" fontId="6" fillId="0" borderId="37" xfId="0" applyFont="1" applyFill="1" applyBorder="1" applyAlignment="1">
      <alignment horizontal="left" vertical="center" shrinkToFit="1"/>
    </xf>
    <xf numFmtId="0" fontId="6" fillId="0" borderId="39" xfId="0" applyFont="1" applyFill="1" applyBorder="1" applyAlignment="1">
      <alignment horizontal="left" vertical="center" shrinkToFit="1"/>
    </xf>
    <xf numFmtId="0" fontId="6" fillId="0" borderId="38" xfId="0" applyFont="1" applyFill="1" applyBorder="1" applyAlignment="1">
      <alignment horizontal="left" vertical="center" shrinkToFit="1"/>
    </xf>
    <xf numFmtId="0" fontId="6" fillId="0" borderId="19" xfId="0" applyFont="1" applyFill="1" applyBorder="1" applyAlignment="1">
      <alignment horizontal="left" vertical="center" shrinkToFit="1"/>
    </xf>
    <xf numFmtId="0" fontId="6" fillId="0" borderId="20" xfId="0" applyFont="1" applyFill="1" applyBorder="1" applyAlignment="1">
      <alignment horizontal="left" vertical="center" shrinkToFit="1"/>
    </xf>
    <xf numFmtId="0" fontId="6" fillId="0" borderId="18" xfId="0" applyFont="1" applyFill="1" applyBorder="1" applyAlignment="1">
      <alignment horizontal="left" vertical="center" shrinkToFit="1"/>
    </xf>
    <xf numFmtId="0" fontId="6" fillId="0" borderId="37" xfId="0" applyFont="1" applyBorder="1" applyAlignment="1">
      <alignment horizontal="center" vertical="center" shrinkToFit="1"/>
    </xf>
    <xf numFmtId="0" fontId="6" fillId="0" borderId="39" xfId="0" applyFont="1" applyBorder="1" applyAlignment="1">
      <alignment horizontal="center" vertical="center" shrinkToFit="1"/>
    </xf>
    <xf numFmtId="0" fontId="6" fillId="0" borderId="38" xfId="0" applyFont="1" applyBorder="1" applyAlignment="1">
      <alignment horizontal="center" vertical="center" shrinkToFit="1"/>
    </xf>
    <xf numFmtId="0" fontId="7" fillId="0" borderId="19" xfId="0" applyFont="1" applyBorder="1" applyAlignment="1">
      <alignment vertical="center" wrapText="1" shrinkToFit="1"/>
    </xf>
    <xf numFmtId="0" fontId="7" fillId="0" borderId="20" xfId="0" applyFont="1" applyBorder="1" applyAlignment="1">
      <alignment vertical="center" shrinkToFit="1"/>
    </xf>
    <xf numFmtId="0" fontId="7" fillId="0" borderId="18" xfId="0" applyFont="1" applyBorder="1" applyAlignment="1">
      <alignment vertical="center" shrinkToFit="1"/>
    </xf>
    <xf numFmtId="0" fontId="18" fillId="0" borderId="48" xfId="0" applyFont="1" applyBorder="1" applyAlignment="1">
      <alignment vertical="center" wrapText="1"/>
    </xf>
    <xf numFmtId="0" fontId="18" fillId="0" borderId="49" xfId="0" applyFont="1" applyBorder="1" applyAlignment="1">
      <alignment vertical="center" wrapText="1"/>
    </xf>
    <xf numFmtId="0" fontId="17" fillId="0" borderId="48" xfId="0" applyFont="1" applyBorder="1" applyAlignment="1">
      <alignment vertical="center" wrapText="1"/>
    </xf>
    <xf numFmtId="0" fontId="17" fillId="0" borderId="32" xfId="0" applyFont="1" applyBorder="1" applyAlignment="1">
      <alignment vertical="center" wrapText="1"/>
    </xf>
    <xf numFmtId="0" fontId="7" fillId="0" borderId="39" xfId="0" applyFont="1" applyBorder="1" applyAlignment="1">
      <alignment vertical="center" wrapText="1" shrinkToFit="1"/>
    </xf>
    <xf numFmtId="0" fontId="7" fillId="0" borderId="39" xfId="0" applyFont="1" applyBorder="1" applyAlignment="1">
      <alignment vertical="center" shrinkToFit="1"/>
    </xf>
    <xf numFmtId="0" fontId="7" fillId="0" borderId="38" xfId="0" applyFont="1" applyBorder="1" applyAlignment="1">
      <alignment vertical="center" shrinkToFit="1"/>
    </xf>
    <xf numFmtId="0" fontId="7" fillId="0" borderId="6" xfId="0" applyFont="1" applyBorder="1" applyAlignment="1">
      <alignment vertical="center" wrapText="1" shrinkToFit="1"/>
    </xf>
    <xf numFmtId="0" fontId="18" fillId="0" borderId="54" xfId="0" applyFont="1" applyBorder="1" applyAlignment="1">
      <alignment vertical="center" wrapText="1"/>
    </xf>
    <xf numFmtId="0" fontId="7" fillId="0" borderId="8" xfId="0" applyFont="1" applyBorder="1" applyAlignment="1">
      <alignment horizontal="left" vertical="center" wrapText="1" shrinkToFit="1"/>
    </xf>
    <xf numFmtId="0" fontId="7" fillId="0" borderId="8" xfId="0" applyFont="1" applyBorder="1" applyAlignment="1">
      <alignment horizontal="left" vertical="center" shrinkToFit="1"/>
    </xf>
    <xf numFmtId="0" fontId="7" fillId="0" borderId="9" xfId="0" applyFont="1" applyBorder="1" applyAlignment="1">
      <alignment horizontal="left" vertical="center" shrinkToFit="1"/>
    </xf>
    <xf numFmtId="0" fontId="7" fillId="0" borderId="20" xfId="0" applyFont="1" applyBorder="1" applyAlignment="1">
      <alignment horizontal="left" vertical="center" wrapText="1" shrinkToFit="1"/>
    </xf>
    <xf numFmtId="0" fontId="7" fillId="0" borderId="20" xfId="0" applyFont="1" applyBorder="1" applyAlignment="1">
      <alignment horizontal="left" vertical="center" shrinkToFit="1"/>
    </xf>
    <xf numFmtId="0" fontId="7" fillId="0" borderId="18" xfId="0" applyFont="1" applyBorder="1" applyAlignment="1">
      <alignment horizontal="left" vertical="center" shrinkToFit="1"/>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2" fillId="0" borderId="0" xfId="0" applyFont="1" applyAlignment="1">
      <alignment horizontal="right" vertical="center"/>
    </xf>
    <xf numFmtId="0" fontId="11" fillId="0" borderId="0" xfId="0" applyFont="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2" fillId="0" borderId="8" xfId="0" applyFont="1" applyBorder="1" applyAlignment="1">
      <alignment horizontal="center" vertical="center" wrapText="1"/>
    </xf>
    <xf numFmtId="0" fontId="12" fillId="0" borderId="6" xfId="0" applyFont="1" applyBorder="1" applyAlignment="1">
      <alignment horizontal="center" vertical="center"/>
    </xf>
    <xf numFmtId="0" fontId="12" fillId="0" borderId="7" xfId="0" applyFont="1" applyBorder="1" applyAlignment="1">
      <alignment horizontal="center" vertical="center" wrapText="1"/>
    </xf>
    <xf numFmtId="0" fontId="12"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3" fillId="0" borderId="15" xfId="0" applyFont="1" applyBorder="1" applyAlignment="1">
      <alignment horizontal="center" vertical="center" wrapText="1"/>
    </xf>
    <xf numFmtId="0" fontId="13" fillId="0" borderId="13" xfId="0" applyFont="1" applyBorder="1" applyAlignment="1">
      <alignment horizontal="center" vertical="center"/>
    </xf>
    <xf numFmtId="0" fontId="12" fillId="0" borderId="9" xfId="0" applyFont="1" applyBorder="1" applyAlignment="1">
      <alignment horizontal="center" vertical="center"/>
    </xf>
    <xf numFmtId="0" fontId="12" fillId="0" borderId="12" xfId="0" applyFont="1" applyBorder="1" applyAlignment="1">
      <alignment horizontal="center" vertical="center"/>
    </xf>
    <xf numFmtId="0" fontId="6" fillId="0" borderId="7" xfId="0" applyFont="1" applyBorder="1" applyAlignment="1">
      <alignment vertical="top" wrapText="1" shrinkToFit="1"/>
    </xf>
    <xf numFmtId="0" fontId="6" fillId="0" borderId="8" xfId="0" applyFont="1" applyBorder="1" applyAlignment="1">
      <alignment vertical="top" wrapText="1" shrinkToFit="1"/>
    </xf>
    <xf numFmtId="0" fontId="6" fillId="0" borderId="9" xfId="0" applyFont="1" applyBorder="1" applyAlignment="1">
      <alignment vertical="top" wrapText="1" shrinkToFit="1"/>
    </xf>
    <xf numFmtId="0" fontId="6" fillId="0" borderId="5" xfId="0" applyFont="1" applyBorder="1" applyAlignment="1">
      <alignment vertical="top" wrapText="1" shrinkToFit="1"/>
    </xf>
    <xf numFmtId="0" fontId="6" fillId="0" borderId="0" xfId="0" applyFont="1" applyAlignment="1">
      <alignment vertical="top" wrapText="1" shrinkToFit="1"/>
    </xf>
    <xf numFmtId="0" fontId="6" fillId="0" borderId="10" xfId="0" applyFont="1" applyBorder="1" applyAlignment="1">
      <alignment vertical="top" wrapText="1" shrinkToFit="1"/>
    </xf>
    <xf numFmtId="0" fontId="6" fillId="0" borderId="11" xfId="0" applyFont="1" applyBorder="1" applyAlignment="1">
      <alignment vertical="top" wrapText="1" shrinkToFit="1"/>
    </xf>
    <xf numFmtId="0" fontId="6" fillId="0" borderId="6" xfId="0" applyFont="1" applyBorder="1" applyAlignment="1">
      <alignment vertical="top" wrapText="1" shrinkToFit="1"/>
    </xf>
    <xf numFmtId="0" fontId="6" fillId="0" borderId="12" xfId="0" applyFont="1" applyBorder="1" applyAlignment="1">
      <alignment vertical="top" wrapText="1" shrinkToFit="1"/>
    </xf>
    <xf numFmtId="0" fontId="6" fillId="0" borderId="8" xfId="0" applyFont="1" applyBorder="1" applyAlignment="1">
      <alignment vertical="top" shrinkToFit="1"/>
    </xf>
    <xf numFmtId="0" fontId="6" fillId="0" borderId="9" xfId="0" applyFont="1" applyBorder="1" applyAlignment="1">
      <alignment vertical="top" shrinkToFit="1"/>
    </xf>
    <xf numFmtId="0" fontId="6" fillId="0" borderId="5" xfId="0" applyFont="1" applyBorder="1" applyAlignment="1">
      <alignment vertical="top" shrinkToFit="1"/>
    </xf>
    <xf numFmtId="0" fontId="6" fillId="0" borderId="0" xfId="0" applyFont="1" applyAlignment="1">
      <alignment vertical="top" shrinkToFit="1"/>
    </xf>
    <xf numFmtId="0" fontId="6" fillId="0" borderId="10" xfId="0" applyFont="1" applyBorder="1" applyAlignment="1">
      <alignment vertical="top" shrinkToFit="1"/>
    </xf>
    <xf numFmtId="0" fontId="6" fillId="0" borderId="11" xfId="0" applyFont="1" applyBorder="1" applyAlignment="1">
      <alignment vertical="top" shrinkToFit="1"/>
    </xf>
    <xf numFmtId="0" fontId="6" fillId="0" borderId="6" xfId="0" applyFont="1" applyBorder="1" applyAlignment="1">
      <alignment vertical="top" shrinkToFit="1"/>
    </xf>
    <xf numFmtId="0" fontId="6" fillId="0" borderId="12" xfId="0" applyFont="1" applyBorder="1" applyAlignment="1">
      <alignment vertical="top" shrinkToFit="1"/>
    </xf>
    <xf numFmtId="0" fontId="6" fillId="0" borderId="6" xfId="0" applyFont="1" applyBorder="1" applyAlignment="1">
      <alignment vertical="center"/>
    </xf>
    <xf numFmtId="0" fontId="6" fillId="0" borderId="16" xfId="0" applyFont="1" applyBorder="1" applyAlignment="1">
      <alignment vertical="top" wrapText="1" shrinkToFit="1"/>
    </xf>
    <xf numFmtId="0" fontId="6" fillId="0" borderId="22" xfId="0" applyFont="1" applyBorder="1" applyAlignment="1">
      <alignment vertical="top" wrapText="1" shrinkToFit="1"/>
    </xf>
    <xf numFmtId="0" fontId="6" fillId="0" borderId="21" xfId="0" applyFont="1" applyBorder="1" applyAlignment="1">
      <alignment vertical="top" wrapText="1" shrinkToFit="1"/>
    </xf>
    <xf numFmtId="0" fontId="6" fillId="0" borderId="4" xfId="0" applyFont="1" applyBorder="1" applyAlignment="1">
      <alignment vertical="center" shrinkToFit="1"/>
    </xf>
    <xf numFmtId="0" fontId="6" fillId="0" borderId="11" xfId="0" applyFont="1" applyBorder="1" applyAlignment="1">
      <alignment vertical="center" wrapText="1"/>
    </xf>
    <xf numFmtId="0" fontId="6" fillId="0" borderId="6" xfId="0" applyFont="1" applyBorder="1" applyAlignment="1">
      <alignment vertical="center" wrapText="1"/>
    </xf>
    <xf numFmtId="0" fontId="6" fillId="0" borderId="12" xfId="0" applyFont="1" applyBorder="1" applyAlignment="1">
      <alignment vertical="center" wrapText="1"/>
    </xf>
    <xf numFmtId="0" fontId="14" fillId="0" borderId="2" xfId="2" applyFont="1" applyBorder="1" applyAlignment="1">
      <alignment horizontal="center" vertical="center" shrinkToFit="1"/>
    </xf>
    <xf numFmtId="0" fontId="14" fillId="0" borderId="3" xfId="2" applyFont="1" applyBorder="1" applyAlignment="1">
      <alignment horizontal="center" vertical="center" shrinkToFit="1"/>
    </xf>
    <xf numFmtId="0" fontId="14" fillId="0" borderId="4" xfId="2" applyFont="1" applyBorder="1" applyAlignment="1">
      <alignment horizontal="center" vertical="center" shrinkToFit="1"/>
    </xf>
    <xf numFmtId="0" fontId="6" fillId="0" borderId="17" xfId="0" applyFont="1" applyBorder="1" applyAlignment="1">
      <alignment vertical="center" wrapText="1"/>
    </xf>
    <xf numFmtId="0" fontId="6" fillId="0" borderId="18" xfId="0" applyFont="1" applyBorder="1" applyAlignment="1">
      <alignment vertical="center" wrapText="1"/>
    </xf>
    <xf numFmtId="0" fontId="6" fillId="0" borderId="20" xfId="0" applyFont="1" applyBorder="1" applyAlignment="1">
      <alignment vertical="top" wrapText="1" shrinkToFit="1"/>
    </xf>
    <xf numFmtId="0" fontId="6" fillId="0" borderId="18" xfId="0" applyFont="1" applyBorder="1" applyAlignment="1">
      <alignment vertical="top" wrapText="1" shrinkToFit="1"/>
    </xf>
    <xf numFmtId="0" fontId="6" fillId="0" borderId="19" xfId="0" applyFont="1" applyBorder="1" applyAlignment="1">
      <alignment vertical="center" wrapText="1"/>
    </xf>
    <xf numFmtId="0" fontId="6" fillId="0" borderId="20" xfId="0" applyFont="1" applyBorder="1" applyAlignment="1">
      <alignment vertical="center" wrapText="1"/>
    </xf>
    <xf numFmtId="0" fontId="6" fillId="0" borderId="19" xfId="0" applyFont="1" applyBorder="1" applyAlignment="1">
      <alignment vertical="top" wrapText="1" shrinkToFit="1"/>
    </xf>
    <xf numFmtId="0" fontId="6" fillId="0" borderId="17" xfId="0" applyFont="1" applyBorder="1" applyAlignment="1">
      <alignment vertical="center"/>
    </xf>
    <xf numFmtId="0" fontId="18" fillId="0" borderId="18" xfId="0" applyFont="1" applyBorder="1" applyAlignment="1">
      <alignment vertical="center"/>
    </xf>
    <xf numFmtId="176" fontId="6" fillId="0" borderId="3" xfId="0" applyNumberFormat="1" applyFont="1" applyBorder="1" applyAlignment="1">
      <alignment horizontal="center" vertical="center"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Normal="100" zoomScaleSheetLayoutView="100" workbookViewId="0">
      <selection activeCell="E14" sqref="E14:N18"/>
    </sheetView>
  </sheetViews>
  <sheetFormatPr defaultColWidth="9" defaultRowHeight="18.75" customHeight="1" x14ac:dyDescent="0.2"/>
  <cols>
    <col min="1" max="1" width="3.33203125" style="7" customWidth="1"/>
    <col min="2" max="2" width="11.109375" style="7" customWidth="1"/>
    <col min="3" max="8" width="6.6640625" style="7" customWidth="1"/>
    <col min="9" max="9" width="3.33203125" style="7" customWidth="1"/>
    <col min="10" max="10" width="10" style="7" customWidth="1"/>
    <col min="11" max="11" width="3.33203125" style="7" customWidth="1"/>
    <col min="12" max="12" width="7.6640625" style="7" customWidth="1"/>
    <col min="13" max="13" width="3.33203125" style="7" customWidth="1"/>
    <col min="14" max="14" width="4.44140625" style="7" customWidth="1"/>
    <col min="15" max="15" width="9" style="19"/>
    <col min="16" max="16384" width="9" style="6"/>
  </cols>
  <sheetData>
    <row r="1" spans="1:15" ht="24" customHeight="1" x14ac:dyDescent="0.2">
      <c r="M1" s="124" t="s">
        <v>0</v>
      </c>
      <c r="N1" s="124"/>
    </row>
    <row r="2" spans="1:15" ht="24" customHeight="1" x14ac:dyDescent="0.2">
      <c r="A2" s="126" t="s">
        <v>1</v>
      </c>
      <c r="B2" s="126"/>
      <c r="C2" s="126"/>
      <c r="D2" s="126"/>
      <c r="E2" s="126"/>
      <c r="F2" s="126"/>
      <c r="G2" s="126"/>
      <c r="H2" s="126"/>
      <c r="I2" s="126"/>
      <c r="J2" s="126"/>
      <c r="K2" s="126"/>
      <c r="L2" s="126"/>
      <c r="M2" s="126"/>
      <c r="N2" s="126"/>
    </row>
    <row r="3" spans="1:15" ht="24" customHeight="1" x14ac:dyDescent="0.2"/>
    <row r="4" spans="1:15" ht="24" customHeight="1" x14ac:dyDescent="0.2">
      <c r="A4" s="7" t="s">
        <v>2</v>
      </c>
      <c r="B4" s="7" t="s">
        <v>3</v>
      </c>
      <c r="C4" s="116" t="s">
        <v>4</v>
      </c>
      <c r="D4" s="117"/>
      <c r="E4" s="117"/>
      <c r="F4" s="117"/>
      <c r="G4" s="117"/>
      <c r="H4" s="117"/>
      <c r="I4" s="117"/>
      <c r="J4" s="117"/>
      <c r="K4" s="117"/>
      <c r="L4" s="117"/>
      <c r="M4" s="117"/>
      <c r="N4" s="123"/>
      <c r="O4" s="19" t="str">
        <f>IF(C4="","入力してください","")</f>
        <v/>
      </c>
    </row>
    <row r="5" spans="1:15" ht="7.5" customHeight="1" x14ac:dyDescent="0.2">
      <c r="E5" s="8"/>
      <c r="F5" s="21"/>
      <c r="G5" s="21"/>
      <c r="H5" s="21"/>
      <c r="I5" s="21"/>
      <c r="J5" s="21"/>
      <c r="K5" s="21"/>
      <c r="L5" s="21"/>
      <c r="M5" s="21"/>
      <c r="N5" s="21"/>
    </row>
    <row r="6" spans="1:15" ht="24" customHeight="1" x14ac:dyDescent="0.2">
      <c r="A6" s="7" t="s">
        <v>5</v>
      </c>
      <c r="B6" s="7" t="s">
        <v>6</v>
      </c>
      <c r="D6" s="116" t="s">
        <v>7</v>
      </c>
      <c r="E6" s="117"/>
      <c r="F6" s="117"/>
      <c r="G6" s="117"/>
      <c r="H6" s="123"/>
      <c r="I6" s="7" t="s">
        <v>8</v>
      </c>
      <c r="J6" s="21" t="s">
        <v>9</v>
      </c>
      <c r="K6" s="116" t="s">
        <v>10</v>
      </c>
      <c r="L6" s="117"/>
      <c r="M6" s="117"/>
      <c r="N6" s="123"/>
      <c r="O6" s="19" t="str">
        <f>IF(D6="","入力してください","")</f>
        <v/>
      </c>
    </row>
    <row r="7" spans="1:15" ht="7.5" customHeight="1" x14ac:dyDescent="0.2">
      <c r="E7" s="8"/>
      <c r="F7" s="21"/>
      <c r="G7" s="21"/>
      <c r="H7" s="21"/>
      <c r="I7" s="21"/>
      <c r="J7" s="21"/>
      <c r="K7" s="21"/>
      <c r="L7" s="21"/>
      <c r="M7" s="21"/>
      <c r="N7" s="21"/>
    </row>
    <row r="8" spans="1:15" ht="24" customHeight="1" x14ac:dyDescent="0.2">
      <c r="A8" s="7" t="s">
        <v>11</v>
      </c>
      <c r="B8" s="7" t="s">
        <v>12</v>
      </c>
      <c r="C8" s="116" t="s">
        <v>203</v>
      </c>
      <c r="D8" s="117"/>
      <c r="E8" s="117"/>
      <c r="F8" s="117"/>
      <c r="G8" s="117"/>
      <c r="H8" s="117"/>
      <c r="I8" s="117"/>
      <c r="J8" s="117"/>
      <c r="K8" s="117"/>
      <c r="L8" s="117"/>
      <c r="M8" s="117"/>
      <c r="N8" s="123"/>
      <c r="O8" s="19" t="str">
        <f>IF(C8="","入力してください","")</f>
        <v/>
      </c>
    </row>
    <row r="9" spans="1:15" ht="7.5" customHeight="1" x14ac:dyDescent="0.2">
      <c r="E9" s="8"/>
      <c r="F9" s="21"/>
      <c r="G9" s="21"/>
      <c r="H9" s="21"/>
      <c r="I9" s="21"/>
      <c r="J9" s="21"/>
      <c r="K9" s="21"/>
      <c r="L9" s="21"/>
      <c r="M9" s="21"/>
      <c r="N9" s="21"/>
    </row>
    <row r="10" spans="1:15" ht="24" customHeight="1" x14ac:dyDescent="0.2">
      <c r="A10" s="7" t="s">
        <v>13</v>
      </c>
      <c r="B10" s="7" t="s">
        <v>14</v>
      </c>
      <c r="E10" s="116" t="s">
        <v>15</v>
      </c>
      <c r="F10" s="117"/>
      <c r="G10" s="117"/>
      <c r="H10" s="117"/>
      <c r="I10" s="117"/>
      <c r="J10" s="117"/>
      <c r="K10" s="117"/>
      <c r="L10" s="117"/>
      <c r="M10" s="117"/>
      <c r="N10" s="123"/>
      <c r="O10" s="19" t="str">
        <f>IF(E10="","入力してください","")</f>
        <v/>
      </c>
    </row>
    <row r="11" spans="1:15" ht="7.5" customHeight="1" x14ac:dyDescent="0.2">
      <c r="B11" s="8"/>
      <c r="C11" s="8"/>
      <c r="D11" s="8"/>
      <c r="E11" s="8"/>
      <c r="F11" s="21"/>
      <c r="G11" s="21"/>
      <c r="H11" s="21"/>
      <c r="I11" s="21"/>
      <c r="J11" s="21"/>
      <c r="K11" s="21"/>
      <c r="L11" s="21"/>
      <c r="M11" s="21"/>
      <c r="N11" s="21"/>
    </row>
    <row r="12" spans="1:15" ht="24" customHeight="1" x14ac:dyDescent="0.2">
      <c r="A12" s="7" t="s">
        <v>16</v>
      </c>
      <c r="B12" s="8" t="s">
        <v>17</v>
      </c>
      <c r="C12" s="8"/>
      <c r="D12" s="8"/>
      <c r="E12" s="108" t="s">
        <v>18</v>
      </c>
      <c r="F12" s="110"/>
      <c r="G12" s="7" t="s">
        <v>19</v>
      </c>
      <c r="H12" s="7" t="s">
        <v>20</v>
      </c>
      <c r="N12" s="85" t="s">
        <v>21</v>
      </c>
      <c r="O12" s="19" t="str">
        <f>IF(E12="","入力してください","")</f>
        <v/>
      </c>
    </row>
    <row r="13" spans="1:15" ht="7.5" customHeight="1" x14ac:dyDescent="0.2">
      <c r="B13" s="8"/>
      <c r="C13" s="8"/>
      <c r="D13" s="8"/>
      <c r="E13" s="8"/>
      <c r="F13" s="21"/>
      <c r="G13" s="21"/>
      <c r="H13" s="21"/>
      <c r="I13" s="21"/>
      <c r="J13" s="21"/>
      <c r="K13" s="21"/>
      <c r="L13" s="21"/>
      <c r="M13" s="21"/>
      <c r="N13" s="21"/>
    </row>
    <row r="14" spans="1:15" ht="24" customHeight="1" x14ac:dyDescent="0.2">
      <c r="A14" s="7" t="s">
        <v>22</v>
      </c>
      <c r="B14" s="7" t="s">
        <v>23</v>
      </c>
      <c r="C14" s="124" t="s">
        <v>24</v>
      </c>
      <c r="D14" s="125"/>
      <c r="E14" s="120">
        <v>105</v>
      </c>
      <c r="F14" s="121"/>
      <c r="G14" s="9" t="s">
        <v>25</v>
      </c>
      <c r="I14" s="124" t="s">
        <v>26</v>
      </c>
      <c r="J14" s="125"/>
      <c r="K14" s="120">
        <v>181</v>
      </c>
      <c r="L14" s="297"/>
      <c r="M14" s="121"/>
      <c r="N14" s="10" t="s">
        <v>25</v>
      </c>
      <c r="O14" s="19" t="str">
        <f>IF(OR(E14="",K14=""),"入力してください","")</f>
        <v/>
      </c>
    </row>
    <row r="15" spans="1:15" ht="7.5" customHeight="1" x14ac:dyDescent="0.2">
      <c r="M15" s="10"/>
      <c r="N15" s="10"/>
    </row>
    <row r="16" spans="1:15" ht="24" customHeight="1" x14ac:dyDescent="0.2">
      <c r="A16" s="7" t="s">
        <v>27</v>
      </c>
      <c r="B16" s="7" t="s">
        <v>28</v>
      </c>
      <c r="K16" s="108">
        <v>26</v>
      </c>
      <c r="L16" s="109"/>
      <c r="M16" s="110"/>
      <c r="N16" s="10" t="s">
        <v>25</v>
      </c>
      <c r="O16" s="19" t="str">
        <f>IF(K16="","入力してください","")</f>
        <v/>
      </c>
    </row>
    <row r="17" spans="1:15" ht="7.5" customHeight="1" x14ac:dyDescent="0.2">
      <c r="M17" s="10"/>
      <c r="N17" s="10"/>
    </row>
    <row r="18" spans="1:15" ht="24" customHeight="1" x14ac:dyDescent="0.2">
      <c r="A18" s="7" t="s">
        <v>29</v>
      </c>
      <c r="B18" s="7" t="s">
        <v>30</v>
      </c>
      <c r="E18" s="120">
        <v>495</v>
      </c>
      <c r="F18" s="121"/>
      <c r="G18" s="11" t="s">
        <v>31</v>
      </c>
      <c r="K18" s="122"/>
      <c r="L18" s="122"/>
      <c r="M18" s="122"/>
      <c r="N18" s="122"/>
      <c r="O18" s="19" t="str">
        <f>IF(E18="","入力してください","")</f>
        <v/>
      </c>
    </row>
    <row r="19" spans="1:15" ht="7.5" customHeight="1" x14ac:dyDescent="0.2">
      <c r="E19" s="3"/>
      <c r="L19" s="17"/>
      <c r="M19" s="17"/>
      <c r="N19" s="10"/>
    </row>
    <row r="20" spans="1:15" ht="24" customHeight="1" x14ac:dyDescent="0.2">
      <c r="A20" s="7" t="s">
        <v>32</v>
      </c>
      <c r="B20" s="7" t="s">
        <v>33</v>
      </c>
      <c r="E20" s="3"/>
      <c r="H20" s="7" t="s">
        <v>34</v>
      </c>
      <c r="J20" s="111">
        <v>1903</v>
      </c>
      <c r="K20" s="112"/>
      <c r="L20" s="113"/>
      <c r="M20" s="17" t="s">
        <v>25</v>
      </c>
      <c r="N20" s="10"/>
      <c r="O20" s="19" t="str">
        <f>IF(J20="","入力してください","")</f>
        <v/>
      </c>
    </row>
    <row r="21" spans="1:15" ht="7.5" customHeight="1" x14ac:dyDescent="0.2">
      <c r="E21" s="3"/>
      <c r="L21" s="17"/>
      <c r="M21" s="17"/>
      <c r="N21" s="10"/>
    </row>
    <row r="22" spans="1:15" ht="24" customHeight="1" x14ac:dyDescent="0.2">
      <c r="B22" s="17" t="s">
        <v>35</v>
      </c>
      <c r="C22" s="120">
        <v>417</v>
      </c>
      <c r="D22" s="121"/>
      <c r="E22" s="3" t="s">
        <v>25</v>
      </c>
      <c r="G22" s="114" t="s">
        <v>36</v>
      </c>
      <c r="H22" s="114"/>
      <c r="I22" s="120">
        <v>495</v>
      </c>
      <c r="J22" s="121"/>
      <c r="K22" s="7" t="s">
        <v>25</v>
      </c>
      <c r="M22" s="17"/>
      <c r="N22" s="10"/>
    </row>
    <row r="23" spans="1:15" ht="7.5" customHeight="1" x14ac:dyDescent="0.2">
      <c r="B23" s="17"/>
      <c r="C23" s="4"/>
      <c r="D23" s="4"/>
      <c r="E23" s="3"/>
      <c r="G23" s="17"/>
      <c r="H23" s="17"/>
      <c r="I23" s="4"/>
      <c r="J23" s="4"/>
      <c r="M23" s="17"/>
      <c r="N23" s="10"/>
    </row>
    <row r="24" spans="1:15" ht="24" customHeight="1" x14ac:dyDescent="0.2">
      <c r="B24" s="17" t="s">
        <v>37</v>
      </c>
      <c r="C24" s="120">
        <v>518</v>
      </c>
      <c r="D24" s="121"/>
      <c r="E24" s="3" t="s">
        <v>25</v>
      </c>
      <c r="G24" s="114" t="s">
        <v>38</v>
      </c>
      <c r="H24" s="114"/>
      <c r="I24" s="120">
        <v>473</v>
      </c>
      <c r="J24" s="121"/>
      <c r="K24" s="7" t="s">
        <v>25</v>
      </c>
      <c r="M24" s="17"/>
      <c r="N24" s="10"/>
    </row>
    <row r="25" spans="1:15" ht="7.5" customHeight="1" x14ac:dyDescent="0.2">
      <c r="B25" s="17"/>
      <c r="C25" s="4"/>
      <c r="D25" s="4"/>
      <c r="E25" s="3"/>
      <c r="G25" s="17"/>
      <c r="H25" s="17"/>
      <c r="I25" s="4"/>
      <c r="J25" s="4"/>
      <c r="M25" s="17"/>
      <c r="N25" s="10"/>
    </row>
    <row r="26" spans="1:15" ht="24" customHeight="1" x14ac:dyDescent="0.2">
      <c r="B26" s="17" t="s">
        <v>39</v>
      </c>
      <c r="C26" s="120">
        <v>0</v>
      </c>
      <c r="D26" s="121"/>
      <c r="E26" s="3" t="s">
        <v>25</v>
      </c>
      <c r="G26" s="114" t="s">
        <v>40</v>
      </c>
      <c r="H26" s="114"/>
      <c r="I26" s="120">
        <v>0</v>
      </c>
      <c r="J26" s="121"/>
      <c r="K26" s="7" t="s">
        <v>25</v>
      </c>
      <c r="M26" s="17"/>
      <c r="N26" s="10"/>
    </row>
    <row r="27" spans="1:15" ht="7.5" customHeight="1" x14ac:dyDescent="0.2">
      <c r="M27" s="12"/>
      <c r="N27" s="12"/>
    </row>
    <row r="28" spans="1:15" ht="24" customHeight="1" x14ac:dyDescent="0.2">
      <c r="A28" s="7" t="s">
        <v>41</v>
      </c>
      <c r="B28" s="7" t="s">
        <v>42</v>
      </c>
      <c r="G28" s="21"/>
      <c r="H28" s="21"/>
      <c r="I28" s="21"/>
      <c r="J28" s="13"/>
      <c r="K28" s="13"/>
      <c r="L28" s="13"/>
      <c r="M28" s="13"/>
      <c r="N28" s="13"/>
    </row>
    <row r="29" spans="1:15" s="7" customFormat="1" ht="24" customHeight="1" x14ac:dyDescent="0.2">
      <c r="B29" s="115" t="s">
        <v>43</v>
      </c>
      <c r="C29" s="115"/>
      <c r="D29" s="116" t="s">
        <v>44</v>
      </c>
      <c r="E29" s="117"/>
      <c r="F29" s="117"/>
      <c r="G29" s="118" t="s">
        <v>45</v>
      </c>
      <c r="H29" s="115"/>
      <c r="I29" s="119"/>
      <c r="J29" s="116" t="s">
        <v>46</v>
      </c>
      <c r="K29" s="117"/>
      <c r="L29" s="117"/>
      <c r="M29" s="117"/>
      <c r="N29" s="123"/>
      <c r="O29" s="19" t="str">
        <f>IF(OR(D29="",J29=""),"入力してください","")</f>
        <v/>
      </c>
    </row>
    <row r="30" spans="1:15" ht="7.5" customHeight="1" x14ac:dyDescent="0.2">
      <c r="M30" s="12"/>
      <c r="N30" s="12"/>
    </row>
    <row r="31" spans="1:15" ht="24" customHeight="1" x14ac:dyDescent="0.2">
      <c r="A31" s="7" t="s">
        <v>47</v>
      </c>
      <c r="B31" s="7" t="s">
        <v>48</v>
      </c>
      <c r="G31" s="13"/>
      <c r="H31" s="13"/>
      <c r="I31" s="13"/>
      <c r="J31" s="13"/>
      <c r="K31" s="13"/>
      <c r="L31" s="13"/>
      <c r="M31" s="13"/>
      <c r="N31" s="13"/>
    </row>
    <row r="32" spans="1:15" ht="24" customHeight="1" x14ac:dyDescent="0.2">
      <c r="B32" s="116" t="s">
        <v>49</v>
      </c>
      <c r="C32" s="117"/>
      <c r="D32" s="117"/>
      <c r="E32" s="117"/>
      <c r="F32" s="117"/>
      <c r="G32" s="117"/>
      <c r="H32" s="117"/>
      <c r="I32" s="117"/>
      <c r="J32" s="117"/>
      <c r="K32" s="117"/>
      <c r="L32" s="117"/>
      <c r="M32" s="117"/>
      <c r="N32" s="123"/>
      <c r="O32" s="19" t="str">
        <f>IF(B32="","入力してください","")</f>
        <v/>
      </c>
    </row>
    <row r="33" spans="1:15" ht="7.5" customHeight="1" x14ac:dyDescent="0.2">
      <c r="B33" s="5"/>
      <c r="C33" s="5"/>
      <c r="D33" s="5"/>
      <c r="E33" s="5"/>
      <c r="F33" s="5"/>
      <c r="G33" s="5"/>
      <c r="H33" s="5"/>
      <c r="I33" s="5"/>
      <c r="J33" s="5"/>
      <c r="K33" s="5"/>
      <c r="L33" s="5"/>
      <c r="M33" s="5"/>
      <c r="N33" s="5"/>
    </row>
    <row r="34" spans="1:15" s="7" customFormat="1" ht="24" customHeight="1" x14ac:dyDescent="0.2">
      <c r="B34" s="115" t="s">
        <v>43</v>
      </c>
      <c r="C34" s="115"/>
      <c r="D34" s="116" t="s">
        <v>50</v>
      </c>
      <c r="E34" s="117"/>
      <c r="F34" s="117"/>
      <c r="G34" s="118" t="s">
        <v>45</v>
      </c>
      <c r="H34" s="115"/>
      <c r="I34" s="119"/>
      <c r="J34" s="116" t="s">
        <v>51</v>
      </c>
      <c r="K34" s="117"/>
      <c r="L34" s="117"/>
      <c r="M34" s="117"/>
      <c r="N34" s="123"/>
      <c r="O34" s="19" t="str">
        <f>IF(OR(D34="",J34=""),"入力してください","")</f>
        <v/>
      </c>
    </row>
    <row r="35" spans="1:15" ht="7.5" customHeight="1" x14ac:dyDescent="0.2">
      <c r="F35" s="21"/>
      <c r="G35" s="21"/>
      <c r="H35" s="21"/>
      <c r="I35" s="21"/>
      <c r="J35" s="21"/>
      <c r="K35" s="21"/>
      <c r="L35" s="21"/>
      <c r="M35" s="21"/>
      <c r="N35" s="21"/>
    </row>
    <row r="36" spans="1:15" ht="24" customHeight="1" x14ac:dyDescent="0.2">
      <c r="A36" s="7" t="s">
        <v>52</v>
      </c>
      <c r="B36" s="7" t="s">
        <v>53</v>
      </c>
      <c r="M36" s="12"/>
      <c r="N36" s="12"/>
    </row>
    <row r="37" spans="1:15" ht="24" customHeight="1" x14ac:dyDescent="0.2">
      <c r="B37" s="116" t="s">
        <v>54</v>
      </c>
      <c r="C37" s="117"/>
      <c r="D37" s="117"/>
      <c r="E37" s="117"/>
      <c r="F37" s="117"/>
      <c r="G37" s="117"/>
      <c r="H37" s="117"/>
      <c r="I37" s="117"/>
      <c r="J37" s="117"/>
      <c r="K37" s="117"/>
      <c r="L37" s="117"/>
      <c r="M37" s="117"/>
      <c r="N37" s="123"/>
      <c r="O37" s="19" t="str">
        <f>IF(B37="","入力してください","")</f>
        <v/>
      </c>
    </row>
    <row r="38" spans="1:15" ht="7.5" customHeight="1" x14ac:dyDescent="0.2">
      <c r="F38" s="21"/>
      <c r="G38" s="21"/>
      <c r="H38" s="21"/>
      <c r="I38" s="21"/>
      <c r="J38" s="21"/>
      <c r="K38" s="21"/>
      <c r="L38" s="21"/>
      <c r="M38" s="21"/>
      <c r="N38" s="21"/>
    </row>
    <row r="39" spans="1:15" s="7" customFormat="1" ht="24" customHeight="1" x14ac:dyDescent="0.2">
      <c r="B39" s="115" t="s">
        <v>43</v>
      </c>
      <c r="C39" s="115"/>
      <c r="D39" s="116" t="s">
        <v>55</v>
      </c>
      <c r="E39" s="117"/>
      <c r="F39" s="117"/>
      <c r="G39" s="118" t="s">
        <v>45</v>
      </c>
      <c r="H39" s="115"/>
      <c r="I39" s="119"/>
      <c r="J39" s="116" t="s">
        <v>56</v>
      </c>
      <c r="K39" s="117"/>
      <c r="L39" s="117"/>
      <c r="M39" s="117"/>
      <c r="N39" s="123"/>
      <c r="O39" s="19" t="str">
        <f>IF(OR(D39="",J39=""),"入力してください","")</f>
        <v/>
      </c>
    </row>
    <row r="40" spans="1:15" ht="7.5" customHeight="1" x14ac:dyDescent="0.2">
      <c r="F40" s="21"/>
      <c r="G40" s="21"/>
      <c r="H40" s="21"/>
      <c r="I40" s="21"/>
      <c r="J40" s="21"/>
      <c r="K40" s="21"/>
      <c r="L40" s="21"/>
      <c r="M40" s="21"/>
      <c r="N40" s="21"/>
    </row>
    <row r="41" spans="1:15" ht="24" customHeight="1" x14ac:dyDescent="0.2">
      <c r="A41" s="7" t="s">
        <v>57</v>
      </c>
      <c r="B41" s="7" t="s">
        <v>58</v>
      </c>
      <c r="E41" s="52"/>
      <c r="F41" s="116" t="s">
        <v>59</v>
      </c>
      <c r="G41" s="117"/>
      <c r="H41" s="117"/>
      <c r="I41" s="117"/>
      <c r="J41" s="117"/>
      <c r="K41" s="117"/>
      <c r="L41" s="117"/>
      <c r="M41" s="117"/>
      <c r="N41" s="123"/>
      <c r="O41" s="19" t="str">
        <f>IF(F41="","入力してください","")</f>
        <v/>
      </c>
    </row>
    <row r="42" spans="1:15" ht="7.5" customHeight="1" x14ac:dyDescent="0.2">
      <c r="F42" s="21"/>
      <c r="G42" s="21"/>
      <c r="H42" s="21"/>
      <c r="I42" s="21"/>
      <c r="J42" s="21"/>
      <c r="K42" s="21"/>
      <c r="L42" s="21"/>
      <c r="M42" s="21"/>
      <c r="N42" s="21"/>
    </row>
    <row r="43" spans="1:15" ht="24" customHeight="1" x14ac:dyDescent="0.2">
      <c r="A43" s="7" t="s">
        <v>60</v>
      </c>
    </row>
    <row r="44" spans="1:15" ht="24" customHeight="1" x14ac:dyDescent="0.2">
      <c r="B44" s="18" t="s">
        <v>61</v>
      </c>
      <c r="C44" s="133" t="s">
        <v>62</v>
      </c>
      <c r="D44" s="134"/>
      <c r="E44" s="134"/>
      <c r="F44" s="134"/>
      <c r="G44" s="134"/>
      <c r="H44" s="134"/>
      <c r="I44" s="15" t="s">
        <v>63</v>
      </c>
      <c r="J44" s="16"/>
      <c r="K44" s="116" t="s">
        <v>64</v>
      </c>
      <c r="L44" s="117"/>
      <c r="M44" s="117"/>
      <c r="N44" s="123"/>
      <c r="O44" s="19" t="str">
        <f>IF(OR(C44="",K44=""),"入力してください","")</f>
        <v/>
      </c>
    </row>
    <row r="45" spans="1:15" ht="24" customHeight="1" x14ac:dyDescent="0.2">
      <c r="B45" s="14" t="s">
        <v>65</v>
      </c>
      <c r="C45" s="127" t="s">
        <v>66</v>
      </c>
      <c r="D45" s="128"/>
      <c r="E45" s="128"/>
      <c r="F45" s="128"/>
      <c r="G45" s="128"/>
      <c r="H45" s="129"/>
      <c r="I45" s="15" t="s">
        <v>67</v>
      </c>
      <c r="J45" s="16"/>
      <c r="K45" s="130" t="s">
        <v>68</v>
      </c>
      <c r="L45" s="131"/>
      <c r="M45" s="131"/>
      <c r="N45" s="132"/>
      <c r="O45" s="19"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00000000-0002-0000-0000-000001000000}">
      <formula1>"有,無"</formula1>
    </dataValidation>
    <dataValidation type="list" allowBlank="1" showInputMessage="1" showErrorMessage="1" sqref="F41:N41" xr:uid="{00000000-0002-0000-0000-000002000000}">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
  <sheetViews>
    <sheetView showZeros="0" view="pageBreakPreview" zoomScale="90" zoomScaleNormal="150" zoomScaleSheetLayoutView="90" workbookViewId="0">
      <selection activeCell="B6" sqref="B6:Z11"/>
    </sheetView>
  </sheetViews>
  <sheetFormatPr defaultColWidth="9" defaultRowHeight="18.75" customHeight="1" x14ac:dyDescent="0.2"/>
  <cols>
    <col min="1" max="1" width="2.44140625" style="6" customWidth="1"/>
    <col min="2" max="2" width="27.6640625" style="6" customWidth="1"/>
    <col min="3" max="13" width="3.33203125" style="6" customWidth="1"/>
    <col min="14" max="14" width="8.88671875" style="6" customWidth="1"/>
    <col min="15" max="15" width="18.88671875" style="6" customWidth="1"/>
    <col min="16" max="19" width="3.33203125" style="6" customWidth="1"/>
    <col min="20" max="20" width="3.44140625" style="6" customWidth="1"/>
    <col min="21" max="26" width="3.33203125" style="6" customWidth="1"/>
    <col min="27" max="16384" width="9" style="6"/>
  </cols>
  <sheetData>
    <row r="1" spans="1:26" ht="15" customHeight="1" x14ac:dyDescent="0.2">
      <c r="W1" s="156" t="s">
        <v>69</v>
      </c>
      <c r="X1" s="156"/>
      <c r="Y1" s="156"/>
      <c r="Z1" s="156"/>
    </row>
    <row r="2" spans="1:26" ht="18" customHeight="1" x14ac:dyDescent="0.2">
      <c r="A2" s="195" t="s">
        <v>70</v>
      </c>
      <c r="B2" s="195"/>
      <c r="C2" s="195"/>
      <c r="D2" s="195"/>
      <c r="E2" s="195"/>
      <c r="F2" s="195"/>
      <c r="G2" s="195"/>
      <c r="H2" s="195"/>
      <c r="I2" s="195"/>
      <c r="J2" s="195"/>
      <c r="K2" s="195"/>
      <c r="L2" s="195"/>
      <c r="M2" s="195"/>
      <c r="N2" s="195"/>
      <c r="O2" s="195"/>
      <c r="P2" s="195"/>
      <c r="Q2" s="195"/>
      <c r="R2" s="195"/>
      <c r="S2" s="195"/>
      <c r="T2" s="195"/>
      <c r="U2" s="195"/>
      <c r="V2" s="195"/>
      <c r="W2" s="195"/>
      <c r="X2" s="195"/>
      <c r="Y2" s="195"/>
      <c r="Z2" s="195"/>
    </row>
    <row r="3" spans="1:26" ht="15" customHeight="1" x14ac:dyDescent="0.2">
      <c r="B3" s="17"/>
      <c r="C3" s="17"/>
      <c r="D3" s="17"/>
      <c r="E3" s="17"/>
      <c r="F3" s="17"/>
      <c r="G3" s="17"/>
      <c r="H3" s="17"/>
      <c r="I3" s="17"/>
      <c r="J3" s="17"/>
      <c r="K3" s="17"/>
      <c r="L3" s="17"/>
      <c r="M3" s="17"/>
      <c r="N3" s="17"/>
      <c r="O3" s="17"/>
      <c r="P3" s="17"/>
      <c r="Q3" s="17"/>
      <c r="R3" s="17"/>
      <c r="S3" s="17"/>
      <c r="T3" s="17"/>
      <c r="U3" s="17"/>
      <c r="V3" s="17"/>
      <c r="W3" s="17"/>
      <c r="X3" s="17"/>
      <c r="Y3" s="17"/>
      <c r="Z3" s="17"/>
    </row>
    <row r="4" spans="1:26" ht="18" customHeight="1" x14ac:dyDescent="0.2">
      <c r="A4" s="6" t="s">
        <v>71</v>
      </c>
      <c r="B4" s="17"/>
      <c r="C4" s="17"/>
      <c r="D4" s="17"/>
      <c r="E4" s="17"/>
      <c r="F4" s="17"/>
      <c r="G4" s="17"/>
      <c r="H4" s="7" t="s">
        <v>72</v>
      </c>
      <c r="I4" s="17"/>
      <c r="J4" s="17"/>
      <c r="K4" s="17"/>
      <c r="L4" s="17"/>
      <c r="M4" s="17"/>
      <c r="N4" s="17"/>
      <c r="O4" s="108" t="s">
        <v>73</v>
      </c>
      <c r="P4" s="109"/>
      <c r="Q4" s="109"/>
      <c r="R4" s="109"/>
      <c r="S4" s="109"/>
      <c r="T4" s="109"/>
      <c r="U4" s="109"/>
      <c r="V4" s="109"/>
      <c r="W4" s="109"/>
      <c r="X4" s="109"/>
      <c r="Y4" s="109"/>
      <c r="Z4" s="110"/>
    </row>
    <row r="5" spans="1:26" ht="6" customHeight="1" x14ac:dyDescent="0.2">
      <c r="B5" s="17"/>
      <c r="C5" s="17"/>
      <c r="D5" s="17"/>
      <c r="E5" s="17"/>
      <c r="F5" s="17"/>
      <c r="G5" s="17"/>
      <c r="H5" s="17"/>
      <c r="I5" s="17"/>
      <c r="J5" s="17"/>
      <c r="K5" s="17"/>
      <c r="L5" s="17"/>
      <c r="M5" s="17"/>
      <c r="N5" s="17"/>
      <c r="O5" s="8"/>
      <c r="P5" s="17"/>
      <c r="Q5" s="17"/>
      <c r="R5" s="17"/>
      <c r="S5" s="17"/>
      <c r="T5" s="17"/>
      <c r="U5" s="17"/>
      <c r="V5" s="17"/>
      <c r="W5" s="17"/>
      <c r="X5" s="17"/>
      <c r="Y5" s="17"/>
      <c r="Z5" s="17"/>
    </row>
    <row r="6" spans="1:26" ht="19.5" customHeight="1" x14ac:dyDescent="0.2">
      <c r="B6" s="196" t="s">
        <v>216</v>
      </c>
      <c r="C6" s="197"/>
      <c r="D6" s="197"/>
      <c r="E6" s="197"/>
      <c r="F6" s="197"/>
      <c r="G6" s="197"/>
      <c r="H6" s="197"/>
      <c r="I6" s="197"/>
      <c r="J6" s="197"/>
      <c r="K6" s="197"/>
      <c r="L6" s="197"/>
      <c r="M6" s="197"/>
      <c r="N6" s="197"/>
      <c r="O6" s="197"/>
      <c r="P6" s="197"/>
      <c r="Q6" s="197"/>
      <c r="R6" s="197"/>
      <c r="S6" s="197"/>
      <c r="T6" s="197"/>
      <c r="U6" s="197"/>
      <c r="V6" s="197"/>
      <c r="W6" s="197"/>
      <c r="X6" s="197"/>
      <c r="Y6" s="197"/>
      <c r="Z6" s="198"/>
    </row>
    <row r="7" spans="1:26" ht="19.5" customHeight="1" x14ac:dyDescent="0.2">
      <c r="B7" s="199"/>
      <c r="C7" s="200"/>
      <c r="D7" s="200"/>
      <c r="E7" s="200"/>
      <c r="F7" s="200"/>
      <c r="G7" s="200"/>
      <c r="H7" s="200"/>
      <c r="I7" s="200"/>
      <c r="J7" s="200"/>
      <c r="K7" s="200"/>
      <c r="L7" s="200"/>
      <c r="M7" s="200"/>
      <c r="N7" s="200"/>
      <c r="O7" s="200"/>
      <c r="P7" s="200"/>
      <c r="Q7" s="200"/>
      <c r="R7" s="200"/>
      <c r="S7" s="200"/>
      <c r="T7" s="200"/>
      <c r="U7" s="200"/>
      <c r="V7" s="200"/>
      <c r="W7" s="200"/>
      <c r="X7" s="200"/>
      <c r="Y7" s="200"/>
      <c r="Z7" s="201"/>
    </row>
    <row r="8" spans="1:26" ht="19.5" customHeight="1" x14ac:dyDescent="0.2">
      <c r="B8" s="199"/>
      <c r="C8" s="200"/>
      <c r="D8" s="200"/>
      <c r="E8" s="200"/>
      <c r="F8" s="200"/>
      <c r="G8" s="200"/>
      <c r="H8" s="200"/>
      <c r="I8" s="200"/>
      <c r="J8" s="200"/>
      <c r="K8" s="200"/>
      <c r="L8" s="200"/>
      <c r="M8" s="200"/>
      <c r="N8" s="200"/>
      <c r="O8" s="200"/>
      <c r="P8" s="200"/>
      <c r="Q8" s="200"/>
      <c r="R8" s="200"/>
      <c r="S8" s="200"/>
      <c r="T8" s="200"/>
      <c r="U8" s="200"/>
      <c r="V8" s="200"/>
      <c r="W8" s="200"/>
      <c r="X8" s="200"/>
      <c r="Y8" s="200"/>
      <c r="Z8" s="201"/>
    </row>
    <row r="9" spans="1:26" ht="19.5" customHeight="1" x14ac:dyDescent="0.2">
      <c r="B9" s="199"/>
      <c r="C9" s="200"/>
      <c r="D9" s="200"/>
      <c r="E9" s="200"/>
      <c r="F9" s="200"/>
      <c r="G9" s="200"/>
      <c r="H9" s="200"/>
      <c r="I9" s="200"/>
      <c r="J9" s="200"/>
      <c r="K9" s="200"/>
      <c r="L9" s="200"/>
      <c r="M9" s="200"/>
      <c r="N9" s="200"/>
      <c r="O9" s="200"/>
      <c r="P9" s="200"/>
      <c r="Q9" s="200"/>
      <c r="R9" s="200"/>
      <c r="S9" s="200"/>
      <c r="T9" s="200"/>
      <c r="U9" s="200"/>
      <c r="V9" s="200"/>
      <c r="W9" s="200"/>
      <c r="X9" s="200"/>
      <c r="Y9" s="200"/>
      <c r="Z9" s="201"/>
    </row>
    <row r="10" spans="1:26" ht="19.5" customHeight="1" x14ac:dyDescent="0.2">
      <c r="B10" s="199"/>
      <c r="C10" s="200"/>
      <c r="D10" s="200"/>
      <c r="E10" s="200"/>
      <c r="F10" s="200"/>
      <c r="G10" s="200"/>
      <c r="H10" s="200"/>
      <c r="I10" s="200"/>
      <c r="J10" s="200"/>
      <c r="K10" s="200"/>
      <c r="L10" s="200"/>
      <c r="M10" s="200"/>
      <c r="N10" s="200"/>
      <c r="O10" s="200"/>
      <c r="P10" s="200"/>
      <c r="Q10" s="200"/>
      <c r="R10" s="200"/>
      <c r="S10" s="200"/>
      <c r="T10" s="200"/>
      <c r="U10" s="200"/>
      <c r="V10" s="200"/>
      <c r="W10" s="200"/>
      <c r="X10" s="200"/>
      <c r="Y10" s="200"/>
      <c r="Z10" s="201"/>
    </row>
    <row r="11" spans="1:26" ht="19.5" customHeight="1" x14ac:dyDescent="0.2">
      <c r="B11" s="202"/>
      <c r="C11" s="203"/>
      <c r="D11" s="203"/>
      <c r="E11" s="203"/>
      <c r="F11" s="203"/>
      <c r="G11" s="203"/>
      <c r="H11" s="203"/>
      <c r="I11" s="203"/>
      <c r="J11" s="203"/>
      <c r="K11" s="203"/>
      <c r="L11" s="203"/>
      <c r="M11" s="203"/>
      <c r="N11" s="203"/>
      <c r="O11" s="203"/>
      <c r="P11" s="203"/>
      <c r="Q11" s="203"/>
      <c r="R11" s="203"/>
      <c r="S11" s="203"/>
      <c r="T11" s="203"/>
      <c r="U11" s="203"/>
      <c r="V11" s="203"/>
      <c r="W11" s="203"/>
      <c r="X11" s="203"/>
      <c r="Y11" s="203"/>
      <c r="Z11" s="204"/>
    </row>
    <row r="12" spans="1:26" ht="7.5" customHeight="1" x14ac:dyDescent="0.2">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spans="1:26" ht="18" customHeight="1" x14ac:dyDescent="0.2">
      <c r="A13" s="194" t="s">
        <v>74</v>
      </c>
      <c r="B13" s="194"/>
      <c r="C13" s="194"/>
      <c r="D13" s="194"/>
      <c r="E13" s="194"/>
      <c r="F13" s="194"/>
      <c r="G13" s="194"/>
      <c r="H13" s="194"/>
      <c r="I13" s="194"/>
      <c r="J13" s="194"/>
      <c r="K13" s="194"/>
      <c r="L13" s="194"/>
      <c r="M13" s="194"/>
      <c r="N13" s="194"/>
      <c r="O13" s="194"/>
      <c r="P13" s="194"/>
      <c r="Q13" s="194"/>
      <c r="R13" s="194"/>
      <c r="S13" s="194"/>
      <c r="T13" s="194"/>
      <c r="U13" s="194"/>
      <c r="V13" s="194"/>
      <c r="W13" s="194"/>
      <c r="X13" s="194"/>
      <c r="Y13" s="194"/>
      <c r="Z13" s="194"/>
    </row>
    <row r="14" spans="1:26" ht="18" customHeight="1" x14ac:dyDescent="0.2">
      <c r="A14" s="194"/>
      <c r="B14" s="194"/>
      <c r="C14" s="194"/>
      <c r="D14" s="194"/>
      <c r="E14" s="194"/>
      <c r="F14" s="194"/>
      <c r="G14" s="194"/>
      <c r="H14" s="194"/>
      <c r="I14" s="194"/>
      <c r="J14" s="194"/>
      <c r="K14" s="194"/>
      <c r="L14" s="194"/>
      <c r="M14" s="194"/>
      <c r="N14" s="194"/>
      <c r="O14" s="194"/>
      <c r="P14" s="194"/>
      <c r="Q14" s="194"/>
      <c r="R14" s="194"/>
      <c r="S14" s="194"/>
      <c r="T14" s="194"/>
      <c r="U14" s="194"/>
      <c r="V14" s="194"/>
      <c r="W14" s="194"/>
      <c r="X14" s="194"/>
      <c r="Y14" s="194"/>
      <c r="Z14" s="194"/>
    </row>
    <row r="15" spans="1:26" ht="18" customHeight="1" x14ac:dyDescent="0.2">
      <c r="A15" s="7"/>
      <c r="B15" s="108" t="s">
        <v>75</v>
      </c>
      <c r="C15" s="109"/>
      <c r="D15" s="109"/>
      <c r="E15" s="109"/>
      <c r="F15" s="110"/>
      <c r="G15" s="18" t="s">
        <v>76</v>
      </c>
      <c r="H15" s="81" t="s">
        <v>77</v>
      </c>
      <c r="I15" s="109" t="s">
        <v>78</v>
      </c>
      <c r="J15" s="109"/>
      <c r="K15" s="109"/>
      <c r="L15" s="53" t="s">
        <v>79</v>
      </c>
      <c r="M15" s="53" t="s">
        <v>80</v>
      </c>
      <c r="N15" s="108" t="s">
        <v>75</v>
      </c>
      <c r="O15" s="109"/>
      <c r="P15" s="109"/>
      <c r="Q15" s="109"/>
      <c r="R15" s="109"/>
      <c r="S15" s="110"/>
      <c r="T15" s="18" t="s">
        <v>76</v>
      </c>
      <c r="U15" s="81" t="s">
        <v>77</v>
      </c>
      <c r="V15" s="109" t="s">
        <v>78</v>
      </c>
      <c r="W15" s="109"/>
      <c r="X15" s="109"/>
      <c r="Y15" s="53" t="s">
        <v>79</v>
      </c>
      <c r="Z15" s="53" t="s">
        <v>80</v>
      </c>
    </row>
    <row r="16" spans="1:26" ht="18" customHeight="1" x14ac:dyDescent="0.2">
      <c r="A16" s="7"/>
      <c r="B16" s="157" t="s">
        <v>81</v>
      </c>
      <c r="C16" s="158" t="s">
        <v>82</v>
      </c>
      <c r="D16" s="158" t="s">
        <v>82</v>
      </c>
      <c r="E16" s="158" t="s">
        <v>82</v>
      </c>
      <c r="F16" s="159" t="s">
        <v>82</v>
      </c>
      <c r="G16" s="82">
        <v>1</v>
      </c>
      <c r="H16" s="82" t="s">
        <v>83</v>
      </c>
      <c r="I16" s="163" t="s">
        <v>84</v>
      </c>
      <c r="J16" s="164"/>
      <c r="K16" s="165"/>
      <c r="L16" s="82" t="s">
        <v>83</v>
      </c>
      <c r="M16" s="82" t="s">
        <v>83</v>
      </c>
      <c r="N16" s="141"/>
      <c r="O16" s="142"/>
      <c r="P16" s="142"/>
      <c r="Q16" s="142"/>
      <c r="R16" s="142"/>
      <c r="S16" s="143"/>
      <c r="T16" s="82"/>
      <c r="U16" s="82"/>
      <c r="V16" s="163"/>
      <c r="W16" s="164"/>
      <c r="X16" s="165"/>
      <c r="Y16" s="82"/>
      <c r="Z16" s="82"/>
    </row>
    <row r="17" spans="1:26" ht="18" customHeight="1" x14ac:dyDescent="0.2">
      <c r="A17" s="7"/>
      <c r="B17" s="205" t="s">
        <v>82</v>
      </c>
      <c r="C17" s="206" t="s">
        <v>82</v>
      </c>
      <c r="D17" s="206" t="s">
        <v>82</v>
      </c>
      <c r="E17" s="206" t="s">
        <v>82</v>
      </c>
      <c r="F17" s="207" t="s">
        <v>82</v>
      </c>
      <c r="G17" s="83">
        <v>1</v>
      </c>
      <c r="H17" s="83"/>
      <c r="I17" s="138" t="s">
        <v>84</v>
      </c>
      <c r="J17" s="139"/>
      <c r="K17" s="140"/>
      <c r="L17" s="83" t="s">
        <v>83</v>
      </c>
      <c r="M17" s="83"/>
      <c r="N17" s="135"/>
      <c r="O17" s="136"/>
      <c r="P17" s="136"/>
      <c r="Q17" s="136"/>
      <c r="R17" s="136"/>
      <c r="S17" s="137"/>
      <c r="T17" s="83"/>
      <c r="U17" s="83"/>
      <c r="V17" s="138"/>
      <c r="W17" s="139"/>
      <c r="X17" s="140"/>
      <c r="Y17" s="83"/>
      <c r="Z17" s="83"/>
    </row>
    <row r="18" spans="1:26" ht="18" customHeight="1" x14ac:dyDescent="0.2">
      <c r="A18" s="7"/>
      <c r="B18" s="150" t="s">
        <v>85</v>
      </c>
      <c r="C18" s="151" t="s">
        <v>85</v>
      </c>
      <c r="D18" s="151" t="s">
        <v>85</v>
      </c>
      <c r="E18" s="151" t="s">
        <v>85</v>
      </c>
      <c r="F18" s="152" t="s">
        <v>85</v>
      </c>
      <c r="G18" s="83">
        <v>2</v>
      </c>
      <c r="H18" s="83"/>
      <c r="I18" s="138" t="s">
        <v>84</v>
      </c>
      <c r="J18" s="139"/>
      <c r="K18" s="140"/>
      <c r="L18" s="83" t="s">
        <v>83</v>
      </c>
      <c r="M18" s="83" t="s">
        <v>83</v>
      </c>
      <c r="N18" s="135"/>
      <c r="O18" s="136"/>
      <c r="P18" s="136"/>
      <c r="Q18" s="136"/>
      <c r="R18" s="136"/>
      <c r="S18" s="137"/>
      <c r="T18" s="83"/>
      <c r="U18" s="83"/>
      <c r="V18" s="138"/>
      <c r="W18" s="139"/>
      <c r="X18" s="140"/>
      <c r="Y18" s="83"/>
      <c r="Z18" s="83"/>
    </row>
    <row r="19" spans="1:26" ht="18" customHeight="1" x14ac:dyDescent="0.2">
      <c r="A19" s="7"/>
      <c r="B19" s="150"/>
      <c r="C19" s="151"/>
      <c r="D19" s="151"/>
      <c r="E19" s="151"/>
      <c r="F19" s="152"/>
      <c r="G19" s="83"/>
      <c r="H19" s="83"/>
      <c r="I19" s="138"/>
      <c r="J19" s="139"/>
      <c r="K19" s="140"/>
      <c r="L19" s="83"/>
      <c r="M19" s="83"/>
      <c r="N19" s="135"/>
      <c r="O19" s="136"/>
      <c r="P19" s="136"/>
      <c r="Q19" s="136"/>
      <c r="R19" s="136"/>
      <c r="S19" s="137"/>
      <c r="T19" s="83"/>
      <c r="U19" s="83"/>
      <c r="V19" s="138"/>
      <c r="W19" s="139"/>
      <c r="X19" s="140"/>
      <c r="Y19" s="83"/>
      <c r="Z19" s="83"/>
    </row>
    <row r="20" spans="1:26" ht="18" customHeight="1" x14ac:dyDescent="0.2">
      <c r="A20" s="7"/>
      <c r="B20" s="150"/>
      <c r="C20" s="151"/>
      <c r="D20" s="151"/>
      <c r="E20" s="151"/>
      <c r="F20" s="152"/>
      <c r="G20" s="83"/>
      <c r="H20" s="83"/>
      <c r="I20" s="138"/>
      <c r="J20" s="139"/>
      <c r="K20" s="140"/>
      <c r="L20" s="83"/>
      <c r="M20" s="83"/>
      <c r="N20" s="135"/>
      <c r="O20" s="136"/>
      <c r="P20" s="136"/>
      <c r="Q20" s="136"/>
      <c r="R20" s="136"/>
      <c r="S20" s="137"/>
      <c r="T20" s="83"/>
      <c r="U20" s="83"/>
      <c r="V20" s="138"/>
      <c r="W20" s="139"/>
      <c r="X20" s="140"/>
      <c r="Y20" s="83"/>
      <c r="Z20" s="83"/>
    </row>
    <row r="21" spans="1:26" ht="18" customHeight="1" x14ac:dyDescent="0.2">
      <c r="A21" s="17"/>
      <c r="B21" s="150"/>
      <c r="C21" s="151"/>
      <c r="D21" s="151"/>
      <c r="E21" s="151"/>
      <c r="F21" s="152"/>
      <c r="G21" s="83"/>
      <c r="H21" s="83"/>
      <c r="I21" s="138"/>
      <c r="J21" s="139"/>
      <c r="K21" s="140"/>
      <c r="L21" s="83"/>
      <c r="M21" s="83"/>
      <c r="N21" s="135"/>
      <c r="O21" s="136"/>
      <c r="P21" s="136"/>
      <c r="Q21" s="136"/>
      <c r="R21" s="136"/>
      <c r="S21" s="137"/>
      <c r="T21" s="83"/>
      <c r="U21" s="83"/>
      <c r="V21" s="138"/>
      <c r="W21" s="139"/>
      <c r="X21" s="140"/>
      <c r="Y21" s="83"/>
      <c r="Z21" s="83"/>
    </row>
    <row r="22" spans="1:26" ht="18" customHeight="1" x14ac:dyDescent="0.2">
      <c r="A22" s="17"/>
      <c r="B22" s="153"/>
      <c r="C22" s="154"/>
      <c r="D22" s="154"/>
      <c r="E22" s="154"/>
      <c r="F22" s="155"/>
      <c r="G22" s="84"/>
      <c r="H22" s="84"/>
      <c r="I22" s="147"/>
      <c r="J22" s="148"/>
      <c r="K22" s="149"/>
      <c r="L22" s="89"/>
      <c r="M22" s="89"/>
      <c r="N22" s="144"/>
      <c r="O22" s="145"/>
      <c r="P22" s="145"/>
      <c r="Q22" s="145"/>
      <c r="R22" s="145"/>
      <c r="S22" s="146"/>
      <c r="T22" s="84"/>
      <c r="U22" s="84"/>
      <c r="V22" s="147"/>
      <c r="W22" s="148"/>
      <c r="X22" s="149"/>
      <c r="Y22" s="89"/>
      <c r="Z22" s="89"/>
    </row>
    <row r="23" spans="1:26" ht="7.5" customHeight="1" x14ac:dyDescent="0.2">
      <c r="A23" s="17"/>
      <c r="B23" s="21"/>
      <c r="C23" s="21"/>
      <c r="D23" s="17"/>
      <c r="E23" s="17"/>
      <c r="F23" s="17"/>
      <c r="G23" s="17"/>
      <c r="H23" s="17"/>
      <c r="I23" s="17"/>
      <c r="J23" s="17"/>
      <c r="K23" s="17"/>
      <c r="L23" s="21"/>
      <c r="M23" s="21"/>
      <c r="N23" s="21"/>
      <c r="O23" s="21"/>
      <c r="P23" s="21"/>
      <c r="Q23" s="21"/>
      <c r="R23" s="21"/>
      <c r="S23" s="21"/>
      <c r="T23" s="21"/>
      <c r="U23" s="21"/>
      <c r="V23" s="21"/>
      <c r="W23" s="21"/>
      <c r="X23" s="21"/>
      <c r="Y23" s="21"/>
      <c r="Z23" s="17"/>
    </row>
    <row r="24" spans="1:26" ht="18" customHeight="1" x14ac:dyDescent="0.2">
      <c r="A24" s="194" t="s">
        <v>86</v>
      </c>
      <c r="B24" s="194"/>
      <c r="C24" s="194"/>
      <c r="D24" s="194"/>
      <c r="E24" s="194"/>
      <c r="F24" s="194"/>
      <c r="G24" s="194"/>
      <c r="H24" s="194"/>
      <c r="I24" s="194"/>
      <c r="J24" s="194"/>
      <c r="K24" s="194"/>
      <c r="L24" s="194"/>
      <c r="M24" s="194"/>
      <c r="N24" s="194"/>
      <c r="O24" s="194"/>
      <c r="P24" s="194"/>
      <c r="Q24" s="194"/>
      <c r="R24" s="194"/>
      <c r="S24" s="194"/>
      <c r="T24" s="194"/>
      <c r="U24" s="194"/>
      <c r="V24" s="194"/>
      <c r="W24" s="194"/>
      <c r="X24" s="194"/>
      <c r="Y24" s="194"/>
      <c r="Z24" s="194"/>
    </row>
    <row r="25" spans="1:26" ht="18" customHeight="1" x14ac:dyDescent="0.2">
      <c r="A25" s="194"/>
      <c r="B25" s="194"/>
      <c r="C25" s="194"/>
      <c r="D25" s="194"/>
      <c r="E25" s="194"/>
      <c r="F25" s="194"/>
      <c r="G25" s="194"/>
      <c r="H25" s="194"/>
      <c r="I25" s="194"/>
      <c r="J25" s="194"/>
      <c r="K25" s="194"/>
      <c r="L25" s="194"/>
      <c r="M25" s="194"/>
      <c r="N25" s="194"/>
      <c r="O25" s="194"/>
      <c r="P25" s="194"/>
      <c r="Q25" s="194"/>
      <c r="R25" s="194"/>
      <c r="S25" s="194"/>
      <c r="T25" s="194"/>
      <c r="U25" s="194"/>
      <c r="V25" s="194"/>
      <c r="W25" s="194"/>
      <c r="X25" s="194"/>
      <c r="Y25" s="194"/>
      <c r="Z25" s="194"/>
    </row>
    <row r="26" spans="1:26" ht="18" customHeight="1" x14ac:dyDescent="0.2">
      <c r="A26" s="7"/>
      <c r="B26" s="108" t="s">
        <v>75</v>
      </c>
      <c r="C26" s="109"/>
      <c r="D26" s="109"/>
      <c r="E26" s="109"/>
      <c r="F26" s="110"/>
      <c r="G26" s="18" t="s">
        <v>76</v>
      </c>
      <c r="H26" s="81" t="s">
        <v>77</v>
      </c>
      <c r="I26" s="109" t="s">
        <v>78</v>
      </c>
      <c r="J26" s="109"/>
      <c r="K26" s="109"/>
      <c r="L26" s="53" t="s">
        <v>87</v>
      </c>
      <c r="M26" s="53" t="s">
        <v>88</v>
      </c>
      <c r="N26" s="108" t="s">
        <v>75</v>
      </c>
      <c r="O26" s="109"/>
      <c r="P26" s="109"/>
      <c r="Q26" s="109"/>
      <c r="R26" s="109"/>
      <c r="S26" s="110"/>
      <c r="T26" s="18" t="s">
        <v>76</v>
      </c>
      <c r="U26" s="81" t="s">
        <v>77</v>
      </c>
      <c r="V26" s="109" t="s">
        <v>78</v>
      </c>
      <c r="W26" s="109"/>
      <c r="X26" s="109"/>
      <c r="Y26" s="53" t="s">
        <v>87</v>
      </c>
      <c r="Z26" s="53" t="s">
        <v>88</v>
      </c>
    </row>
    <row r="27" spans="1:26" ht="18" customHeight="1" x14ac:dyDescent="0.2">
      <c r="A27" s="7"/>
      <c r="B27" s="214" t="s">
        <v>89</v>
      </c>
      <c r="C27" s="215"/>
      <c r="D27" s="215"/>
      <c r="E27" s="215"/>
      <c r="F27" s="216"/>
      <c r="G27" s="106">
        <v>1</v>
      </c>
      <c r="H27" s="106" t="s">
        <v>83</v>
      </c>
      <c r="I27" s="208" t="s">
        <v>84</v>
      </c>
      <c r="J27" s="209"/>
      <c r="K27" s="210"/>
      <c r="L27" s="106" t="s">
        <v>83</v>
      </c>
      <c r="M27" s="82" t="s">
        <v>83</v>
      </c>
      <c r="N27" s="141"/>
      <c r="O27" s="142"/>
      <c r="P27" s="142"/>
      <c r="Q27" s="142"/>
      <c r="R27" s="142"/>
      <c r="S27" s="143"/>
      <c r="T27" s="82"/>
      <c r="U27" s="82"/>
      <c r="V27" s="163"/>
      <c r="W27" s="164"/>
      <c r="X27" s="165"/>
      <c r="Y27" s="82"/>
      <c r="Z27" s="82"/>
    </row>
    <row r="28" spans="1:26" ht="18" customHeight="1" x14ac:dyDescent="0.2">
      <c r="A28" s="7"/>
      <c r="B28" s="217" t="s">
        <v>90</v>
      </c>
      <c r="C28" s="218"/>
      <c r="D28" s="218"/>
      <c r="E28" s="218"/>
      <c r="F28" s="219"/>
      <c r="G28" s="107">
        <v>1</v>
      </c>
      <c r="H28" s="107" t="s">
        <v>83</v>
      </c>
      <c r="I28" s="211" t="s">
        <v>84</v>
      </c>
      <c r="J28" s="212"/>
      <c r="K28" s="213"/>
      <c r="L28" s="107" t="s">
        <v>83</v>
      </c>
      <c r="M28" s="83"/>
      <c r="N28" s="135"/>
      <c r="O28" s="136"/>
      <c r="P28" s="136"/>
      <c r="Q28" s="136"/>
      <c r="R28" s="136"/>
      <c r="S28" s="137"/>
      <c r="T28" s="83"/>
      <c r="U28" s="83"/>
      <c r="V28" s="138"/>
      <c r="W28" s="139"/>
      <c r="X28" s="140"/>
      <c r="Y28" s="83"/>
      <c r="Z28" s="83"/>
    </row>
    <row r="29" spans="1:26" ht="18" customHeight="1" x14ac:dyDescent="0.2">
      <c r="A29" s="7"/>
      <c r="B29" s="150" t="s">
        <v>91</v>
      </c>
      <c r="C29" s="151"/>
      <c r="D29" s="151"/>
      <c r="E29" s="151"/>
      <c r="F29" s="152"/>
      <c r="G29" s="83">
        <v>1</v>
      </c>
      <c r="H29" s="83" t="s">
        <v>83</v>
      </c>
      <c r="I29" s="138" t="s">
        <v>84</v>
      </c>
      <c r="J29" s="139"/>
      <c r="K29" s="140"/>
      <c r="L29" s="83"/>
      <c r="M29" s="83" t="s">
        <v>83</v>
      </c>
      <c r="N29" s="135"/>
      <c r="O29" s="136"/>
      <c r="P29" s="136"/>
      <c r="Q29" s="136"/>
      <c r="R29" s="136"/>
      <c r="S29" s="137"/>
      <c r="T29" s="83"/>
      <c r="U29" s="83"/>
      <c r="V29" s="138"/>
      <c r="W29" s="139"/>
      <c r="X29" s="140"/>
      <c r="Y29" s="83"/>
      <c r="Z29" s="83"/>
    </row>
    <row r="30" spans="1:26" ht="18" customHeight="1" x14ac:dyDescent="0.2">
      <c r="A30" s="7"/>
      <c r="B30" s="150" t="s">
        <v>92</v>
      </c>
      <c r="C30" s="151"/>
      <c r="D30" s="151"/>
      <c r="E30" s="151"/>
      <c r="F30" s="152"/>
      <c r="G30" s="83">
        <v>2</v>
      </c>
      <c r="H30" s="83"/>
      <c r="I30" s="138" t="s">
        <v>84</v>
      </c>
      <c r="J30" s="139"/>
      <c r="K30" s="140"/>
      <c r="L30" s="83" t="s">
        <v>83</v>
      </c>
      <c r="M30" s="83" t="s">
        <v>83</v>
      </c>
      <c r="N30" s="135"/>
      <c r="O30" s="136"/>
      <c r="P30" s="136"/>
      <c r="Q30" s="136"/>
      <c r="R30" s="136"/>
      <c r="S30" s="137"/>
      <c r="T30" s="83"/>
      <c r="U30" s="83"/>
      <c r="V30" s="138"/>
      <c r="W30" s="139"/>
      <c r="X30" s="140"/>
      <c r="Y30" s="83"/>
      <c r="Z30" s="83"/>
    </row>
    <row r="31" spans="1:26" ht="18" customHeight="1" x14ac:dyDescent="0.2">
      <c r="A31" s="7"/>
      <c r="B31" s="150"/>
      <c r="C31" s="151"/>
      <c r="D31" s="151"/>
      <c r="E31" s="151"/>
      <c r="F31" s="152"/>
      <c r="G31" s="83"/>
      <c r="H31" s="83"/>
      <c r="I31" s="138"/>
      <c r="J31" s="139"/>
      <c r="K31" s="140"/>
      <c r="L31" s="83"/>
      <c r="M31" s="83"/>
      <c r="N31" s="135"/>
      <c r="O31" s="136"/>
      <c r="P31" s="136"/>
      <c r="Q31" s="136"/>
      <c r="R31" s="136"/>
      <c r="S31" s="137"/>
      <c r="T31" s="83"/>
      <c r="U31" s="83"/>
      <c r="V31" s="138"/>
      <c r="W31" s="139"/>
      <c r="X31" s="140"/>
      <c r="Y31" s="83"/>
      <c r="Z31" s="83"/>
    </row>
    <row r="32" spans="1:26" ht="18" customHeight="1" x14ac:dyDescent="0.2">
      <c r="A32" s="7"/>
      <c r="B32" s="150"/>
      <c r="C32" s="151"/>
      <c r="D32" s="151"/>
      <c r="E32" s="151"/>
      <c r="F32" s="152"/>
      <c r="G32" s="83"/>
      <c r="H32" s="83"/>
      <c r="I32" s="138"/>
      <c r="J32" s="139"/>
      <c r="K32" s="140"/>
      <c r="L32" s="83"/>
      <c r="M32" s="83"/>
      <c r="N32" s="135"/>
      <c r="O32" s="136"/>
      <c r="P32" s="136"/>
      <c r="Q32" s="136"/>
      <c r="R32" s="136"/>
      <c r="S32" s="137"/>
      <c r="T32" s="83"/>
      <c r="U32" s="83"/>
      <c r="V32" s="138"/>
      <c r="W32" s="139"/>
      <c r="X32" s="140"/>
      <c r="Y32" s="83"/>
      <c r="Z32" s="83"/>
    </row>
    <row r="33" spans="1:26" ht="18" customHeight="1" x14ac:dyDescent="0.2">
      <c r="A33" s="7"/>
      <c r="B33" s="153"/>
      <c r="C33" s="154"/>
      <c r="D33" s="154"/>
      <c r="E33" s="154"/>
      <c r="F33" s="155"/>
      <c r="G33" s="84"/>
      <c r="H33" s="84"/>
      <c r="I33" s="147"/>
      <c r="J33" s="148"/>
      <c r="K33" s="149"/>
      <c r="L33" s="89"/>
      <c r="M33" s="89"/>
      <c r="N33" s="144"/>
      <c r="O33" s="145"/>
      <c r="P33" s="145"/>
      <c r="Q33" s="145"/>
      <c r="R33" s="145"/>
      <c r="S33" s="146"/>
      <c r="T33" s="84"/>
      <c r="U33" s="84"/>
      <c r="V33" s="147"/>
      <c r="W33" s="148"/>
      <c r="X33" s="149"/>
      <c r="Y33" s="89"/>
      <c r="Z33" s="89"/>
    </row>
    <row r="34" spans="1:26" ht="7.5" customHeight="1" x14ac:dyDescent="0.2">
      <c r="A34" s="17"/>
      <c r="B34" s="21"/>
      <c r="C34" s="21"/>
      <c r="D34" s="17"/>
      <c r="E34" s="17"/>
      <c r="F34" s="17"/>
      <c r="G34" s="17"/>
      <c r="H34" s="17"/>
      <c r="I34" s="17"/>
      <c r="J34" s="17"/>
      <c r="K34" s="17"/>
      <c r="L34" s="21"/>
      <c r="M34" s="21"/>
      <c r="N34" s="21"/>
      <c r="O34" s="21"/>
      <c r="P34" s="21"/>
      <c r="Q34" s="21"/>
      <c r="R34" s="21"/>
      <c r="S34" s="21"/>
      <c r="T34" s="21"/>
      <c r="U34" s="21"/>
      <c r="V34" s="21"/>
      <c r="W34" s="21"/>
      <c r="X34" s="21"/>
      <c r="Y34" s="21"/>
      <c r="Z34" s="17"/>
    </row>
    <row r="35" spans="1:26" ht="18" customHeight="1" x14ac:dyDescent="0.2">
      <c r="A35" s="194" t="s">
        <v>93</v>
      </c>
      <c r="B35" s="194"/>
      <c r="C35" s="194"/>
      <c r="D35" s="194"/>
      <c r="E35" s="194"/>
      <c r="F35" s="194"/>
      <c r="G35" s="194"/>
      <c r="H35" s="194"/>
      <c r="I35" s="194"/>
      <c r="J35" s="194"/>
      <c r="K35" s="194"/>
      <c r="L35" s="194"/>
      <c r="M35" s="194"/>
      <c r="N35" s="194"/>
      <c r="O35" s="194"/>
      <c r="P35" s="194"/>
      <c r="Q35" s="194"/>
      <c r="R35" s="194"/>
      <c r="S35" s="194"/>
      <c r="T35" s="194"/>
      <c r="U35" s="194"/>
      <c r="V35" s="194"/>
      <c r="W35" s="194"/>
      <c r="X35" s="194"/>
      <c r="Y35" s="194"/>
      <c r="Z35" s="194"/>
    </row>
    <row r="36" spans="1:26" ht="18" customHeight="1" x14ac:dyDescent="0.2">
      <c r="A36" s="194"/>
      <c r="B36" s="194"/>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row>
    <row r="37" spans="1:26" ht="18" customHeight="1" x14ac:dyDescent="0.2">
      <c r="A37" s="7"/>
      <c r="B37" s="108" t="s">
        <v>75</v>
      </c>
      <c r="C37" s="109"/>
      <c r="D37" s="109"/>
      <c r="E37" s="109"/>
      <c r="F37" s="110"/>
      <c r="G37" s="18" t="s">
        <v>76</v>
      </c>
      <c r="H37" s="81" t="s">
        <v>77</v>
      </c>
      <c r="I37" s="108" t="s">
        <v>78</v>
      </c>
      <c r="J37" s="109"/>
      <c r="K37" s="110"/>
      <c r="L37" s="53" t="s">
        <v>94</v>
      </c>
      <c r="M37" s="53" t="s">
        <v>95</v>
      </c>
      <c r="N37" s="108" t="s">
        <v>75</v>
      </c>
      <c r="O37" s="109"/>
      <c r="P37" s="109"/>
      <c r="Q37" s="109"/>
      <c r="R37" s="109"/>
      <c r="S37" s="110"/>
      <c r="T37" s="18" t="s">
        <v>76</v>
      </c>
      <c r="U37" s="81" t="s">
        <v>77</v>
      </c>
      <c r="V37" s="108" t="s">
        <v>78</v>
      </c>
      <c r="W37" s="109"/>
      <c r="X37" s="110"/>
      <c r="Y37" s="53" t="s">
        <v>94</v>
      </c>
      <c r="Z37" s="53" t="s">
        <v>95</v>
      </c>
    </row>
    <row r="38" spans="1:26" ht="18" customHeight="1" x14ac:dyDescent="0.2">
      <c r="A38" s="17"/>
      <c r="B38" s="157" t="s">
        <v>89</v>
      </c>
      <c r="C38" s="158"/>
      <c r="D38" s="158"/>
      <c r="E38" s="158"/>
      <c r="F38" s="159"/>
      <c r="G38" s="82">
        <v>1</v>
      </c>
      <c r="H38" s="82" t="s">
        <v>83</v>
      </c>
      <c r="I38" s="163" t="s">
        <v>84</v>
      </c>
      <c r="J38" s="164"/>
      <c r="K38" s="165"/>
      <c r="L38" s="82" t="s">
        <v>83</v>
      </c>
      <c r="M38" s="82" t="s">
        <v>83</v>
      </c>
      <c r="N38" s="141"/>
      <c r="O38" s="142"/>
      <c r="P38" s="142"/>
      <c r="Q38" s="142"/>
      <c r="R38" s="142"/>
      <c r="S38" s="143"/>
      <c r="T38" s="82"/>
      <c r="U38" s="82"/>
      <c r="V38" s="163"/>
      <c r="W38" s="164"/>
      <c r="X38" s="165"/>
      <c r="Y38" s="82"/>
      <c r="Z38" s="82"/>
    </row>
    <row r="39" spans="1:26" ht="18" customHeight="1" x14ac:dyDescent="0.2">
      <c r="A39" s="17"/>
      <c r="B39" s="150" t="s">
        <v>92</v>
      </c>
      <c r="C39" s="151"/>
      <c r="D39" s="151"/>
      <c r="E39" s="151"/>
      <c r="F39" s="152"/>
      <c r="G39" s="83">
        <v>2</v>
      </c>
      <c r="H39" s="83"/>
      <c r="I39" s="138" t="s">
        <v>84</v>
      </c>
      <c r="J39" s="139"/>
      <c r="K39" s="140"/>
      <c r="L39" s="83" t="s">
        <v>83</v>
      </c>
      <c r="M39" s="83" t="s">
        <v>83</v>
      </c>
      <c r="N39" s="135"/>
      <c r="O39" s="136"/>
      <c r="P39" s="136"/>
      <c r="Q39" s="136"/>
      <c r="R39" s="136"/>
      <c r="S39" s="137"/>
      <c r="T39" s="83"/>
      <c r="U39" s="83"/>
      <c r="V39" s="138"/>
      <c r="W39" s="139"/>
      <c r="X39" s="140"/>
      <c r="Y39" s="83"/>
      <c r="Z39" s="83"/>
    </row>
    <row r="40" spans="1:26" ht="18" customHeight="1" x14ac:dyDescent="0.2">
      <c r="A40" s="17"/>
      <c r="B40" s="150"/>
      <c r="C40" s="151"/>
      <c r="D40" s="151"/>
      <c r="E40" s="151"/>
      <c r="F40" s="152"/>
      <c r="G40" s="83"/>
      <c r="H40" s="83"/>
      <c r="I40" s="138"/>
      <c r="J40" s="139"/>
      <c r="K40" s="140"/>
      <c r="L40" s="83"/>
      <c r="M40" s="83"/>
      <c r="N40" s="135"/>
      <c r="O40" s="136"/>
      <c r="P40" s="136"/>
      <c r="Q40" s="136"/>
      <c r="R40" s="136"/>
      <c r="S40" s="137"/>
      <c r="T40" s="83"/>
      <c r="U40" s="83"/>
      <c r="V40" s="138"/>
      <c r="W40" s="139"/>
      <c r="X40" s="140"/>
      <c r="Y40" s="83"/>
      <c r="Z40" s="83"/>
    </row>
    <row r="41" spans="1:26" ht="18" customHeight="1" x14ac:dyDescent="0.2">
      <c r="A41" s="17"/>
      <c r="B41" s="150"/>
      <c r="C41" s="151"/>
      <c r="D41" s="151"/>
      <c r="E41" s="151"/>
      <c r="F41" s="152"/>
      <c r="G41" s="83"/>
      <c r="H41" s="83"/>
      <c r="I41" s="138"/>
      <c r="J41" s="139"/>
      <c r="K41" s="140"/>
      <c r="L41" s="83"/>
      <c r="M41" s="83"/>
      <c r="N41" s="135"/>
      <c r="O41" s="136"/>
      <c r="P41" s="136"/>
      <c r="Q41" s="136"/>
      <c r="R41" s="136"/>
      <c r="S41" s="137"/>
      <c r="T41" s="83"/>
      <c r="U41" s="83"/>
      <c r="V41" s="138"/>
      <c r="W41" s="139"/>
      <c r="X41" s="140"/>
      <c r="Y41" s="83"/>
      <c r="Z41" s="83"/>
    </row>
    <row r="42" spans="1:26" ht="18" customHeight="1" x14ac:dyDescent="0.2">
      <c r="A42" s="17"/>
      <c r="B42" s="150"/>
      <c r="C42" s="151"/>
      <c r="D42" s="151"/>
      <c r="E42" s="151"/>
      <c r="F42" s="152"/>
      <c r="G42" s="83"/>
      <c r="H42" s="83"/>
      <c r="I42" s="138"/>
      <c r="J42" s="139"/>
      <c r="K42" s="140"/>
      <c r="L42" s="83"/>
      <c r="M42" s="83"/>
      <c r="N42" s="135"/>
      <c r="O42" s="136"/>
      <c r="P42" s="136"/>
      <c r="Q42" s="136"/>
      <c r="R42" s="136"/>
      <c r="S42" s="137"/>
      <c r="T42" s="83"/>
      <c r="U42" s="83"/>
      <c r="V42" s="138"/>
      <c r="W42" s="139"/>
      <c r="X42" s="140"/>
      <c r="Y42" s="83"/>
      <c r="Z42" s="83"/>
    </row>
    <row r="43" spans="1:26" ht="18" customHeight="1" x14ac:dyDescent="0.2">
      <c r="A43" s="17"/>
      <c r="B43" s="150"/>
      <c r="C43" s="151"/>
      <c r="D43" s="151"/>
      <c r="E43" s="151"/>
      <c r="F43" s="152"/>
      <c r="G43" s="83"/>
      <c r="H43" s="83"/>
      <c r="I43" s="138"/>
      <c r="J43" s="139"/>
      <c r="K43" s="140"/>
      <c r="L43" s="83"/>
      <c r="M43" s="83"/>
      <c r="N43" s="135"/>
      <c r="O43" s="136"/>
      <c r="P43" s="136"/>
      <c r="Q43" s="136"/>
      <c r="R43" s="136"/>
      <c r="S43" s="137"/>
      <c r="T43" s="83"/>
      <c r="U43" s="83"/>
      <c r="V43" s="138"/>
      <c r="W43" s="139"/>
      <c r="X43" s="140"/>
      <c r="Y43" s="83"/>
      <c r="Z43" s="83"/>
    </row>
    <row r="44" spans="1:26" ht="18" customHeight="1" x14ac:dyDescent="0.2">
      <c r="A44" s="17"/>
      <c r="B44" s="153"/>
      <c r="C44" s="154"/>
      <c r="D44" s="154"/>
      <c r="E44" s="154"/>
      <c r="F44" s="155"/>
      <c r="G44" s="84"/>
      <c r="H44" s="84"/>
      <c r="I44" s="147"/>
      <c r="J44" s="148"/>
      <c r="K44" s="149"/>
      <c r="L44" s="89"/>
      <c r="M44" s="89"/>
      <c r="N44" s="144"/>
      <c r="O44" s="145"/>
      <c r="P44" s="145"/>
      <c r="Q44" s="145"/>
      <c r="R44" s="145"/>
      <c r="S44" s="146"/>
      <c r="T44" s="84"/>
      <c r="U44" s="84"/>
      <c r="V44" s="147"/>
      <c r="W44" s="148"/>
      <c r="X44" s="149"/>
      <c r="Y44" s="89"/>
      <c r="Z44" s="89"/>
    </row>
    <row r="45" spans="1:26" ht="7.5" customHeight="1" x14ac:dyDescent="0.2">
      <c r="B45" s="54"/>
      <c r="C45" s="54"/>
      <c r="D45" s="54"/>
      <c r="E45" s="54"/>
      <c r="F45" s="54"/>
      <c r="G45" s="54"/>
      <c r="H45" s="54"/>
      <c r="I45" s="54"/>
      <c r="J45" s="54"/>
      <c r="K45" s="54"/>
      <c r="L45" s="54"/>
      <c r="M45" s="54"/>
      <c r="N45" s="54"/>
      <c r="O45" s="54"/>
      <c r="P45" s="54"/>
      <c r="Q45" s="54"/>
      <c r="R45" s="54"/>
      <c r="S45" s="54"/>
      <c r="T45" s="54"/>
      <c r="U45" s="54"/>
      <c r="V45" s="54"/>
      <c r="W45" s="54"/>
      <c r="X45" s="54"/>
      <c r="Y45" s="54"/>
    </row>
    <row r="46" spans="1:26" ht="18" customHeight="1" x14ac:dyDescent="0.2">
      <c r="A46" s="194" t="s">
        <v>96</v>
      </c>
      <c r="B46" s="194"/>
      <c r="C46" s="194"/>
      <c r="D46" s="194"/>
      <c r="E46" s="194"/>
      <c r="F46" s="194"/>
      <c r="G46" s="194"/>
      <c r="H46" s="194"/>
      <c r="I46" s="194"/>
      <c r="J46" s="194"/>
      <c r="K46" s="194"/>
      <c r="L46" s="194"/>
      <c r="M46" s="194"/>
      <c r="N46" s="194"/>
      <c r="O46" s="194"/>
      <c r="P46" s="194"/>
      <c r="Q46" s="194"/>
      <c r="R46" s="194"/>
      <c r="S46" s="194"/>
      <c r="T46" s="194"/>
      <c r="U46" s="194"/>
      <c r="V46" s="194"/>
      <c r="W46" s="194"/>
      <c r="X46" s="194"/>
      <c r="Y46" s="194"/>
      <c r="Z46" s="194"/>
    </row>
    <row r="47" spans="1:26" ht="18" customHeight="1" x14ac:dyDescent="0.2">
      <c r="A47" s="194"/>
      <c r="B47" s="194"/>
      <c r="C47" s="194"/>
      <c r="D47" s="194"/>
      <c r="E47" s="194"/>
      <c r="F47" s="194"/>
      <c r="G47" s="194"/>
      <c r="H47" s="194"/>
      <c r="I47" s="194"/>
      <c r="J47" s="194"/>
      <c r="K47" s="194"/>
      <c r="L47" s="194"/>
      <c r="M47" s="194"/>
      <c r="N47" s="194"/>
      <c r="O47" s="194"/>
      <c r="P47" s="194"/>
      <c r="Q47" s="194"/>
      <c r="R47" s="194"/>
      <c r="S47" s="194"/>
      <c r="T47" s="194"/>
      <c r="U47" s="194"/>
      <c r="V47" s="194"/>
      <c r="W47" s="194"/>
      <c r="X47" s="194"/>
      <c r="Y47" s="194"/>
      <c r="Z47" s="194"/>
    </row>
    <row r="48" spans="1:26" ht="18" customHeight="1" x14ac:dyDescent="0.2">
      <c r="A48" s="7"/>
      <c r="B48" s="108" t="s">
        <v>75</v>
      </c>
      <c r="C48" s="109"/>
      <c r="D48" s="109"/>
      <c r="E48" s="109"/>
      <c r="F48" s="110"/>
      <c r="G48" s="18" t="s">
        <v>76</v>
      </c>
      <c r="H48" s="81" t="s">
        <v>77</v>
      </c>
      <c r="I48" s="108" t="s">
        <v>78</v>
      </c>
      <c r="J48" s="109"/>
      <c r="K48" s="110"/>
      <c r="L48" s="53" t="s">
        <v>97</v>
      </c>
      <c r="M48" s="53" t="s">
        <v>98</v>
      </c>
      <c r="N48" s="108" t="s">
        <v>75</v>
      </c>
      <c r="O48" s="109"/>
      <c r="P48" s="109"/>
      <c r="Q48" s="109"/>
      <c r="R48" s="109"/>
      <c r="S48" s="110"/>
      <c r="T48" s="18" t="s">
        <v>76</v>
      </c>
      <c r="U48" s="81" t="s">
        <v>77</v>
      </c>
      <c r="V48" s="108" t="s">
        <v>78</v>
      </c>
      <c r="W48" s="109"/>
      <c r="X48" s="110"/>
      <c r="Y48" s="53" t="s">
        <v>97</v>
      </c>
      <c r="Z48" s="53" t="s">
        <v>98</v>
      </c>
    </row>
    <row r="49" spans="1:26" ht="18" customHeight="1" x14ac:dyDescent="0.2">
      <c r="A49" s="17"/>
      <c r="B49" s="157" t="s">
        <v>89</v>
      </c>
      <c r="C49" s="158"/>
      <c r="D49" s="158"/>
      <c r="E49" s="158"/>
      <c r="F49" s="159"/>
      <c r="G49" s="82">
        <v>1</v>
      </c>
      <c r="H49" s="82" t="s">
        <v>83</v>
      </c>
      <c r="I49" s="163" t="s">
        <v>84</v>
      </c>
      <c r="J49" s="164"/>
      <c r="K49" s="165"/>
      <c r="L49" s="82" t="s">
        <v>83</v>
      </c>
      <c r="M49" s="82" t="s">
        <v>83</v>
      </c>
      <c r="N49" s="141"/>
      <c r="O49" s="142"/>
      <c r="P49" s="142"/>
      <c r="Q49" s="142"/>
      <c r="R49" s="142"/>
      <c r="S49" s="143"/>
      <c r="T49" s="82"/>
      <c r="U49" s="82"/>
      <c r="V49" s="163"/>
      <c r="W49" s="164"/>
      <c r="X49" s="165"/>
      <c r="Y49" s="82"/>
      <c r="Z49" s="82"/>
    </row>
    <row r="50" spans="1:26" ht="18" customHeight="1" x14ac:dyDescent="0.2">
      <c r="A50" s="17"/>
      <c r="B50" s="150" t="s">
        <v>99</v>
      </c>
      <c r="C50" s="151"/>
      <c r="D50" s="151"/>
      <c r="E50" s="151"/>
      <c r="F50" s="152"/>
      <c r="G50" s="83">
        <v>1</v>
      </c>
      <c r="H50" s="83" t="s">
        <v>83</v>
      </c>
      <c r="I50" s="138" t="s">
        <v>84</v>
      </c>
      <c r="J50" s="139"/>
      <c r="K50" s="140"/>
      <c r="L50" s="83"/>
      <c r="M50" s="83" t="s">
        <v>83</v>
      </c>
      <c r="N50" s="135"/>
      <c r="O50" s="136"/>
      <c r="P50" s="136"/>
      <c r="Q50" s="136"/>
      <c r="R50" s="136"/>
      <c r="S50" s="137"/>
      <c r="T50" s="83"/>
      <c r="U50" s="83"/>
      <c r="V50" s="138"/>
      <c r="W50" s="139"/>
      <c r="X50" s="140"/>
      <c r="Y50" s="83"/>
      <c r="Z50" s="83"/>
    </row>
    <row r="51" spans="1:26" ht="18" customHeight="1" x14ac:dyDescent="0.2">
      <c r="A51" s="17"/>
      <c r="B51" s="150" t="s">
        <v>100</v>
      </c>
      <c r="C51" s="151"/>
      <c r="D51" s="151"/>
      <c r="E51" s="151"/>
      <c r="F51" s="152"/>
      <c r="G51" s="83">
        <v>1</v>
      </c>
      <c r="H51" s="83"/>
      <c r="I51" s="138" t="s">
        <v>84</v>
      </c>
      <c r="J51" s="139"/>
      <c r="K51" s="140"/>
      <c r="L51" s="83"/>
      <c r="M51" s="83" t="s">
        <v>83</v>
      </c>
      <c r="N51" s="135"/>
      <c r="O51" s="136"/>
      <c r="P51" s="136"/>
      <c r="Q51" s="136"/>
      <c r="R51" s="136"/>
      <c r="S51" s="137"/>
      <c r="T51" s="83"/>
      <c r="U51" s="83"/>
      <c r="V51" s="138"/>
      <c r="W51" s="139"/>
      <c r="X51" s="140"/>
      <c r="Y51" s="83"/>
      <c r="Z51" s="83"/>
    </row>
    <row r="52" spans="1:26" ht="18" customHeight="1" x14ac:dyDescent="0.2">
      <c r="A52" s="17"/>
      <c r="B52" s="150" t="s">
        <v>92</v>
      </c>
      <c r="C52" s="151"/>
      <c r="D52" s="151"/>
      <c r="E52" s="151"/>
      <c r="F52" s="152"/>
      <c r="G52" s="83">
        <v>2</v>
      </c>
      <c r="H52" s="83"/>
      <c r="I52" s="138" t="s">
        <v>84</v>
      </c>
      <c r="J52" s="139"/>
      <c r="K52" s="140"/>
      <c r="L52" s="83" t="s">
        <v>83</v>
      </c>
      <c r="M52" s="83"/>
      <c r="N52" s="135"/>
      <c r="O52" s="136"/>
      <c r="P52" s="136"/>
      <c r="Q52" s="136"/>
      <c r="R52" s="136"/>
      <c r="S52" s="137"/>
      <c r="T52" s="83"/>
      <c r="U52" s="83"/>
      <c r="V52" s="138"/>
      <c r="W52" s="139"/>
      <c r="X52" s="140"/>
      <c r="Y52" s="83"/>
      <c r="Z52" s="83"/>
    </row>
    <row r="53" spans="1:26" ht="18" customHeight="1" x14ac:dyDescent="0.2">
      <c r="A53" s="17"/>
      <c r="B53" s="150"/>
      <c r="C53" s="151"/>
      <c r="D53" s="151"/>
      <c r="E53" s="151"/>
      <c r="F53" s="152"/>
      <c r="G53" s="83"/>
      <c r="H53" s="83"/>
      <c r="I53" s="138"/>
      <c r="J53" s="139"/>
      <c r="K53" s="140"/>
      <c r="L53" s="83"/>
      <c r="M53" s="83"/>
      <c r="N53" s="135"/>
      <c r="O53" s="136"/>
      <c r="P53" s="136"/>
      <c r="Q53" s="136"/>
      <c r="R53" s="136"/>
      <c r="S53" s="137"/>
      <c r="T53" s="83"/>
      <c r="U53" s="83"/>
      <c r="V53" s="138"/>
      <c r="W53" s="139"/>
      <c r="X53" s="140"/>
      <c r="Y53" s="83"/>
      <c r="Z53" s="83"/>
    </row>
    <row r="54" spans="1:26" ht="18" customHeight="1" x14ac:dyDescent="0.2">
      <c r="A54" s="17"/>
      <c r="B54" s="150"/>
      <c r="C54" s="151"/>
      <c r="D54" s="151"/>
      <c r="E54" s="151"/>
      <c r="F54" s="152"/>
      <c r="G54" s="83"/>
      <c r="H54" s="83"/>
      <c r="I54" s="138"/>
      <c r="J54" s="139"/>
      <c r="K54" s="140"/>
      <c r="L54" s="83"/>
      <c r="M54" s="83"/>
      <c r="N54" s="135"/>
      <c r="O54" s="136"/>
      <c r="P54" s="136"/>
      <c r="Q54" s="136"/>
      <c r="R54" s="136"/>
      <c r="S54" s="137"/>
      <c r="T54" s="83"/>
      <c r="U54" s="83"/>
      <c r="V54" s="138"/>
      <c r="W54" s="139"/>
      <c r="X54" s="140"/>
      <c r="Y54" s="83"/>
      <c r="Z54" s="83"/>
    </row>
    <row r="55" spans="1:26" ht="18" customHeight="1" x14ac:dyDescent="0.2">
      <c r="A55" s="17"/>
      <c r="B55" s="153"/>
      <c r="C55" s="154"/>
      <c r="D55" s="154"/>
      <c r="E55" s="154"/>
      <c r="F55" s="155"/>
      <c r="G55" s="84"/>
      <c r="H55" s="84"/>
      <c r="I55" s="147"/>
      <c r="J55" s="148"/>
      <c r="K55" s="149"/>
      <c r="L55" s="89"/>
      <c r="M55" s="89"/>
      <c r="N55" s="144"/>
      <c r="O55" s="145"/>
      <c r="P55" s="145"/>
      <c r="Q55" s="145"/>
      <c r="R55" s="145"/>
      <c r="S55" s="146"/>
      <c r="T55" s="84"/>
      <c r="U55" s="84"/>
      <c r="V55" s="147"/>
      <c r="W55" s="148"/>
      <c r="X55" s="149"/>
      <c r="Y55" s="89"/>
      <c r="Z55" s="89"/>
    </row>
    <row r="56" spans="1:26" ht="7.5" customHeight="1" x14ac:dyDescent="0.2">
      <c r="B56" s="54"/>
      <c r="C56" s="54"/>
      <c r="D56" s="54"/>
      <c r="E56" s="54"/>
      <c r="F56" s="54"/>
      <c r="G56" s="54"/>
      <c r="H56" s="54"/>
      <c r="I56" s="54"/>
      <c r="J56" s="54"/>
      <c r="K56" s="54"/>
      <c r="L56" s="54"/>
      <c r="M56" s="54"/>
      <c r="N56" s="54"/>
      <c r="O56" s="54"/>
      <c r="P56" s="54"/>
      <c r="Q56" s="54"/>
      <c r="R56" s="54"/>
      <c r="S56" s="54"/>
      <c r="T56" s="54"/>
      <c r="U56" s="54"/>
      <c r="V56" s="54"/>
      <c r="W56" s="54"/>
      <c r="X56" s="54"/>
      <c r="Y56" s="54"/>
    </row>
    <row r="57" spans="1:26" ht="18" customHeight="1" x14ac:dyDescent="0.2">
      <c r="A57" s="194" t="s">
        <v>101</v>
      </c>
      <c r="B57" s="194"/>
      <c r="C57" s="194"/>
      <c r="D57" s="194"/>
      <c r="E57" s="194"/>
      <c r="F57" s="194"/>
      <c r="G57" s="194"/>
      <c r="H57" s="194"/>
      <c r="I57" s="194"/>
      <c r="J57" s="194"/>
      <c r="K57" s="194"/>
      <c r="L57" s="194"/>
      <c r="M57" s="194"/>
      <c r="N57" s="194"/>
      <c r="O57" s="194"/>
      <c r="P57" s="194"/>
      <c r="Q57" s="194"/>
      <c r="R57" s="194"/>
      <c r="S57" s="194"/>
      <c r="T57" s="194"/>
      <c r="U57" s="194"/>
      <c r="V57" s="194"/>
      <c r="W57" s="194"/>
      <c r="X57" s="194"/>
      <c r="Y57" s="194"/>
      <c r="Z57" s="194"/>
    </row>
    <row r="58" spans="1:26" ht="18" customHeight="1" x14ac:dyDescent="0.2">
      <c r="A58" s="194"/>
      <c r="B58" s="194"/>
      <c r="C58" s="194"/>
      <c r="D58" s="194"/>
      <c r="E58" s="194"/>
      <c r="F58" s="194"/>
      <c r="G58" s="194"/>
      <c r="H58" s="194"/>
      <c r="I58" s="194"/>
      <c r="J58" s="194"/>
      <c r="K58" s="194"/>
      <c r="L58" s="194"/>
      <c r="M58" s="194"/>
      <c r="N58" s="194"/>
      <c r="O58" s="194"/>
      <c r="P58" s="194"/>
      <c r="Q58" s="194"/>
      <c r="R58" s="194"/>
      <c r="S58" s="194"/>
      <c r="T58" s="194"/>
      <c r="U58" s="194"/>
      <c r="V58" s="194"/>
      <c r="W58" s="194"/>
      <c r="X58" s="194"/>
      <c r="Y58" s="194"/>
      <c r="Z58" s="194"/>
    </row>
    <row r="59" spans="1:26" ht="18" customHeight="1" x14ac:dyDescent="0.2">
      <c r="A59" s="7"/>
      <c r="B59" s="108" t="s">
        <v>75</v>
      </c>
      <c r="C59" s="109"/>
      <c r="D59" s="109"/>
      <c r="E59" s="110"/>
      <c r="F59" s="18" t="s">
        <v>76</v>
      </c>
      <c r="G59" s="81" t="s">
        <v>77</v>
      </c>
      <c r="H59" s="15" t="s">
        <v>78</v>
      </c>
      <c r="I59" s="78"/>
      <c r="J59" s="16"/>
      <c r="K59" s="53" t="s">
        <v>102</v>
      </c>
      <c r="L59" s="53" t="s">
        <v>103</v>
      </c>
      <c r="M59" s="53" t="s">
        <v>104</v>
      </c>
      <c r="N59" s="108" t="s">
        <v>75</v>
      </c>
      <c r="O59" s="109"/>
      <c r="P59" s="109"/>
      <c r="Q59" s="109"/>
      <c r="R59" s="110"/>
      <c r="S59" s="18" t="s">
        <v>76</v>
      </c>
      <c r="T59" s="81" t="s">
        <v>77</v>
      </c>
      <c r="U59" s="15" t="s">
        <v>78</v>
      </c>
      <c r="V59" s="78"/>
      <c r="W59" s="16"/>
      <c r="X59" s="53" t="s">
        <v>102</v>
      </c>
      <c r="Y59" s="53" t="s">
        <v>103</v>
      </c>
      <c r="Z59" s="53" t="s">
        <v>104</v>
      </c>
    </row>
    <row r="60" spans="1:26" ht="18" customHeight="1" x14ac:dyDescent="0.2">
      <c r="A60" s="17"/>
      <c r="B60" s="141" t="s">
        <v>105</v>
      </c>
      <c r="C60" s="142"/>
      <c r="D60" s="142"/>
      <c r="E60" s="143"/>
      <c r="F60" s="82">
        <v>1</v>
      </c>
      <c r="G60" s="82" t="s">
        <v>83</v>
      </c>
      <c r="H60" s="163" t="s">
        <v>84</v>
      </c>
      <c r="I60" s="164" t="s">
        <v>84</v>
      </c>
      <c r="J60" s="165"/>
      <c r="K60" s="82" t="s">
        <v>83</v>
      </c>
      <c r="L60" s="82" t="s">
        <v>83</v>
      </c>
      <c r="M60" s="82" t="s">
        <v>83</v>
      </c>
      <c r="N60" s="141"/>
      <c r="O60" s="142"/>
      <c r="P60" s="142"/>
      <c r="Q60" s="142"/>
      <c r="R60" s="143"/>
      <c r="S60" s="82"/>
      <c r="T60" s="82"/>
      <c r="U60" s="163"/>
      <c r="V60" s="164"/>
      <c r="W60" s="165"/>
      <c r="X60" s="88"/>
      <c r="Y60" s="82"/>
      <c r="Z60" s="82"/>
    </row>
    <row r="61" spans="1:26" ht="18" customHeight="1" x14ac:dyDescent="0.2">
      <c r="A61" s="17"/>
      <c r="B61" s="135" t="s">
        <v>99</v>
      </c>
      <c r="C61" s="136"/>
      <c r="D61" s="136"/>
      <c r="E61" s="137"/>
      <c r="F61" s="83">
        <v>1</v>
      </c>
      <c r="G61" s="83" t="s">
        <v>83</v>
      </c>
      <c r="H61" s="138" t="s">
        <v>84</v>
      </c>
      <c r="I61" s="139"/>
      <c r="J61" s="140"/>
      <c r="K61" s="83" t="s">
        <v>83</v>
      </c>
      <c r="L61" s="83"/>
      <c r="M61" s="83"/>
      <c r="N61" s="135"/>
      <c r="O61" s="136"/>
      <c r="P61" s="136"/>
      <c r="Q61" s="136"/>
      <c r="R61" s="137"/>
      <c r="S61" s="83"/>
      <c r="T61" s="83"/>
      <c r="U61" s="138"/>
      <c r="V61" s="139"/>
      <c r="W61" s="140"/>
      <c r="X61" s="86"/>
      <c r="Y61" s="83"/>
      <c r="Z61" s="83"/>
    </row>
    <row r="62" spans="1:26" ht="18" customHeight="1" x14ac:dyDescent="0.2">
      <c r="A62" s="17"/>
      <c r="B62" s="135" t="s">
        <v>90</v>
      </c>
      <c r="C62" s="136"/>
      <c r="D62" s="136"/>
      <c r="E62" s="137"/>
      <c r="F62" s="83">
        <v>1</v>
      </c>
      <c r="G62" s="83" t="s">
        <v>83</v>
      </c>
      <c r="H62" s="138" t="s">
        <v>84</v>
      </c>
      <c r="I62" s="139"/>
      <c r="J62" s="140"/>
      <c r="K62" s="83" t="s">
        <v>83</v>
      </c>
      <c r="L62" s="83"/>
      <c r="M62" s="83"/>
      <c r="N62" s="135"/>
      <c r="O62" s="136"/>
      <c r="P62" s="136"/>
      <c r="Q62" s="136"/>
      <c r="R62" s="137"/>
      <c r="S62" s="83"/>
      <c r="T62" s="83"/>
      <c r="U62" s="138"/>
      <c r="V62" s="139"/>
      <c r="W62" s="140"/>
      <c r="X62" s="86"/>
      <c r="Y62" s="83"/>
      <c r="Z62" s="83"/>
    </row>
    <row r="63" spans="1:26" ht="18" customHeight="1" x14ac:dyDescent="0.2">
      <c r="A63" s="17"/>
      <c r="B63" s="135" t="s">
        <v>91</v>
      </c>
      <c r="C63" s="136"/>
      <c r="D63" s="136"/>
      <c r="E63" s="137"/>
      <c r="F63" s="83">
        <v>1</v>
      </c>
      <c r="G63" s="83" t="s">
        <v>83</v>
      </c>
      <c r="H63" s="138" t="s">
        <v>84</v>
      </c>
      <c r="I63" s="139"/>
      <c r="J63" s="140"/>
      <c r="K63" s="83" t="s">
        <v>83</v>
      </c>
      <c r="L63" s="83"/>
      <c r="M63" s="83"/>
      <c r="N63" s="135"/>
      <c r="O63" s="136"/>
      <c r="P63" s="136"/>
      <c r="Q63" s="136"/>
      <c r="R63" s="137"/>
      <c r="S63" s="83"/>
      <c r="T63" s="83"/>
      <c r="U63" s="138"/>
      <c r="V63" s="139"/>
      <c r="W63" s="140"/>
      <c r="X63" s="86"/>
      <c r="Y63" s="83"/>
      <c r="Z63" s="83"/>
    </row>
    <row r="64" spans="1:26" ht="18" customHeight="1" x14ac:dyDescent="0.2">
      <c r="A64" s="17"/>
      <c r="B64" s="135" t="s">
        <v>92</v>
      </c>
      <c r="C64" s="136"/>
      <c r="D64" s="136"/>
      <c r="E64" s="137"/>
      <c r="F64" s="83">
        <v>2</v>
      </c>
      <c r="G64" s="83"/>
      <c r="H64" s="138" t="s">
        <v>84</v>
      </c>
      <c r="I64" s="139"/>
      <c r="J64" s="140"/>
      <c r="K64" s="93" t="s">
        <v>83</v>
      </c>
      <c r="L64" s="93" t="s">
        <v>83</v>
      </c>
      <c r="M64" s="93" t="s">
        <v>83</v>
      </c>
      <c r="N64" s="135"/>
      <c r="O64" s="136"/>
      <c r="P64" s="136"/>
      <c r="Q64" s="136"/>
      <c r="R64" s="137"/>
      <c r="S64" s="83"/>
      <c r="T64" s="83"/>
      <c r="U64" s="138"/>
      <c r="V64" s="139"/>
      <c r="W64" s="140"/>
      <c r="X64" s="86"/>
      <c r="Y64" s="83"/>
      <c r="Z64" s="83"/>
    </row>
    <row r="65" spans="1:26" ht="18" customHeight="1" x14ac:dyDescent="0.2">
      <c r="A65" s="17"/>
      <c r="B65" s="135" t="s">
        <v>200</v>
      </c>
      <c r="C65" s="136"/>
      <c r="D65" s="136"/>
      <c r="E65" s="137"/>
      <c r="F65" s="83">
        <v>1</v>
      </c>
      <c r="G65" s="83"/>
      <c r="H65" s="138" t="s">
        <v>84</v>
      </c>
      <c r="I65" s="139"/>
      <c r="J65" s="140"/>
      <c r="K65" s="105"/>
      <c r="L65" s="83" t="s">
        <v>83</v>
      </c>
      <c r="M65" s="83" t="s">
        <v>83</v>
      </c>
      <c r="N65" s="135"/>
      <c r="O65" s="136"/>
      <c r="P65" s="136"/>
      <c r="Q65" s="136"/>
      <c r="R65" s="137"/>
      <c r="S65" s="83"/>
      <c r="T65" s="83"/>
      <c r="U65" s="138"/>
      <c r="V65" s="139"/>
      <c r="W65" s="140"/>
      <c r="X65" s="86"/>
      <c r="Y65" s="83"/>
      <c r="Z65" s="83"/>
    </row>
    <row r="66" spans="1:26" ht="18" customHeight="1" x14ac:dyDescent="0.2">
      <c r="A66" s="17"/>
      <c r="B66" s="144"/>
      <c r="C66" s="145"/>
      <c r="D66" s="145"/>
      <c r="E66" s="146"/>
      <c r="F66" s="84"/>
      <c r="G66" s="84"/>
      <c r="H66" s="147"/>
      <c r="I66" s="148"/>
      <c r="J66" s="149"/>
      <c r="K66" s="87"/>
      <c r="L66" s="89"/>
      <c r="M66" s="89"/>
      <c r="N66" s="144"/>
      <c r="O66" s="145"/>
      <c r="P66" s="145"/>
      <c r="Q66" s="145"/>
      <c r="R66" s="146"/>
      <c r="S66" s="84"/>
      <c r="T66" s="84"/>
      <c r="U66" s="147"/>
      <c r="V66" s="148"/>
      <c r="W66" s="149"/>
      <c r="X66" s="87"/>
      <c r="Y66" s="89"/>
      <c r="Z66" s="89"/>
    </row>
    <row r="67" spans="1:26" ht="7.5" customHeight="1" x14ac:dyDescent="0.2">
      <c r="B67" s="54"/>
      <c r="C67" s="54"/>
      <c r="D67" s="54"/>
      <c r="E67" s="54"/>
      <c r="F67" s="54"/>
      <c r="G67" s="54"/>
      <c r="H67" s="54"/>
      <c r="I67" s="54"/>
      <c r="J67" s="54"/>
      <c r="K67" s="54"/>
      <c r="L67" s="54"/>
      <c r="M67" s="54"/>
      <c r="N67" s="54"/>
      <c r="O67" s="54"/>
      <c r="P67" s="54"/>
      <c r="Q67" s="54"/>
      <c r="R67" s="54"/>
      <c r="S67" s="54"/>
      <c r="T67" s="54"/>
      <c r="U67" s="54"/>
      <c r="V67" s="54"/>
      <c r="W67" s="54"/>
      <c r="X67" s="54"/>
      <c r="Y67" s="54"/>
    </row>
    <row r="68" spans="1:26" ht="18" customHeight="1" x14ac:dyDescent="0.2">
      <c r="A68" s="7" t="s">
        <v>106</v>
      </c>
      <c r="B68" s="7"/>
      <c r="C68" s="7"/>
      <c r="D68" s="7"/>
      <c r="E68" s="7"/>
      <c r="F68" s="7"/>
      <c r="G68" s="7"/>
      <c r="H68" s="7"/>
      <c r="I68" s="7"/>
      <c r="J68" s="7"/>
      <c r="K68" s="7"/>
      <c r="L68" s="17"/>
      <c r="M68" s="17"/>
      <c r="N68" s="17"/>
      <c r="O68" s="17"/>
      <c r="P68" s="17"/>
      <c r="Q68" s="17"/>
      <c r="R68" s="17"/>
      <c r="S68" s="17"/>
      <c r="T68" s="17"/>
      <c r="U68" s="17"/>
      <c r="V68" s="17"/>
      <c r="W68" s="17"/>
      <c r="X68" s="17"/>
      <c r="Y68" s="17"/>
      <c r="Z68" s="17"/>
    </row>
    <row r="69" spans="1:26" ht="18" customHeight="1" x14ac:dyDescent="0.2">
      <c r="A69" s="7"/>
      <c r="B69" s="108" t="s">
        <v>75</v>
      </c>
      <c r="C69" s="109"/>
      <c r="D69" s="109"/>
      <c r="E69" s="109"/>
      <c r="F69" s="110"/>
      <c r="G69" s="108" t="s">
        <v>107</v>
      </c>
      <c r="H69" s="109"/>
      <c r="I69" s="109"/>
      <c r="J69" s="109"/>
      <c r="K69" s="109"/>
      <c r="L69" s="109"/>
      <c r="M69" s="110"/>
      <c r="N69" s="160" t="s">
        <v>75</v>
      </c>
      <c r="O69" s="161"/>
      <c r="P69" s="161"/>
      <c r="Q69" s="161"/>
      <c r="R69" s="161"/>
      <c r="S69" s="162"/>
      <c r="T69" s="108" t="s">
        <v>107</v>
      </c>
      <c r="U69" s="109"/>
      <c r="V69" s="109"/>
      <c r="W69" s="109"/>
      <c r="X69" s="109"/>
      <c r="Y69" s="109"/>
      <c r="Z69" s="110"/>
    </row>
    <row r="70" spans="1:26" ht="18" customHeight="1" x14ac:dyDescent="0.2">
      <c r="A70" s="17"/>
      <c r="B70" s="141" t="s">
        <v>92</v>
      </c>
      <c r="C70" s="142"/>
      <c r="D70" s="142"/>
      <c r="E70" s="142"/>
      <c r="F70" s="143"/>
      <c r="G70" s="220" t="s">
        <v>108</v>
      </c>
      <c r="H70" s="221"/>
      <c r="I70" s="221"/>
      <c r="J70" s="221"/>
      <c r="K70" s="221"/>
      <c r="L70" s="221"/>
      <c r="M70" s="222"/>
      <c r="N70" s="141"/>
      <c r="O70" s="142"/>
      <c r="P70" s="142"/>
      <c r="Q70" s="142"/>
      <c r="R70" s="142"/>
      <c r="S70" s="143"/>
      <c r="T70" s="220"/>
      <c r="U70" s="221"/>
      <c r="V70" s="221"/>
      <c r="W70" s="221"/>
      <c r="X70" s="221"/>
      <c r="Y70" s="221"/>
      <c r="Z70" s="222"/>
    </row>
    <row r="71" spans="1:26" ht="18" customHeight="1" x14ac:dyDescent="0.2">
      <c r="A71" s="17"/>
      <c r="B71" s="135" t="s">
        <v>109</v>
      </c>
      <c r="C71" s="136"/>
      <c r="D71" s="136"/>
      <c r="E71" s="136"/>
      <c r="F71" s="137"/>
      <c r="G71" s="181" t="s">
        <v>110</v>
      </c>
      <c r="H71" s="182"/>
      <c r="I71" s="182"/>
      <c r="J71" s="182"/>
      <c r="K71" s="182"/>
      <c r="L71" s="182"/>
      <c r="M71" s="183"/>
      <c r="N71" s="135"/>
      <c r="O71" s="136"/>
      <c r="P71" s="136"/>
      <c r="Q71" s="136"/>
      <c r="R71" s="136"/>
      <c r="S71" s="137"/>
      <c r="T71" s="181"/>
      <c r="U71" s="182"/>
      <c r="V71" s="182"/>
      <c r="W71" s="182"/>
      <c r="X71" s="182"/>
      <c r="Y71" s="182"/>
      <c r="Z71" s="183"/>
    </row>
    <row r="72" spans="1:26" ht="18" customHeight="1" x14ac:dyDescent="0.2">
      <c r="A72" s="17"/>
      <c r="B72" s="135" t="s">
        <v>109</v>
      </c>
      <c r="C72" s="136"/>
      <c r="D72" s="136"/>
      <c r="E72" s="136"/>
      <c r="F72" s="137"/>
      <c r="G72" s="181" t="s">
        <v>111</v>
      </c>
      <c r="H72" s="182"/>
      <c r="I72" s="182"/>
      <c r="J72" s="182"/>
      <c r="K72" s="182"/>
      <c r="L72" s="182"/>
      <c r="M72" s="183"/>
      <c r="N72" s="135"/>
      <c r="O72" s="136"/>
      <c r="P72" s="136"/>
      <c r="Q72" s="136"/>
      <c r="R72" s="136"/>
      <c r="S72" s="137"/>
      <c r="T72" s="181"/>
      <c r="U72" s="182"/>
      <c r="V72" s="182"/>
      <c r="W72" s="182"/>
      <c r="X72" s="182"/>
      <c r="Y72" s="182"/>
      <c r="Z72" s="183"/>
    </row>
    <row r="73" spans="1:26" ht="18" customHeight="1" x14ac:dyDescent="0.2">
      <c r="A73" s="17"/>
      <c r="B73" s="135" t="s">
        <v>92</v>
      </c>
      <c r="C73" s="136"/>
      <c r="D73" s="136"/>
      <c r="E73" s="136"/>
      <c r="F73" s="137"/>
      <c r="G73" s="181" t="s">
        <v>112</v>
      </c>
      <c r="H73" s="182"/>
      <c r="I73" s="182"/>
      <c r="J73" s="182"/>
      <c r="K73" s="182"/>
      <c r="L73" s="182"/>
      <c r="M73" s="183"/>
      <c r="N73" s="135"/>
      <c r="O73" s="136"/>
      <c r="P73" s="136"/>
      <c r="Q73" s="136"/>
      <c r="R73" s="136"/>
      <c r="S73" s="137"/>
      <c r="T73" s="181"/>
      <c r="U73" s="182"/>
      <c r="V73" s="182"/>
      <c r="W73" s="182"/>
      <c r="X73" s="182"/>
      <c r="Y73" s="182"/>
      <c r="Z73" s="183"/>
    </row>
    <row r="74" spans="1:26" ht="18" customHeight="1" x14ac:dyDescent="0.2">
      <c r="A74" s="17"/>
      <c r="B74" s="135" t="s">
        <v>92</v>
      </c>
      <c r="C74" s="136"/>
      <c r="D74" s="136"/>
      <c r="E74" s="136"/>
      <c r="F74" s="137"/>
      <c r="G74" s="181" t="s">
        <v>113</v>
      </c>
      <c r="H74" s="182"/>
      <c r="I74" s="182"/>
      <c r="J74" s="182"/>
      <c r="K74" s="182"/>
      <c r="L74" s="182"/>
      <c r="M74" s="183"/>
      <c r="N74" s="135"/>
      <c r="O74" s="136"/>
      <c r="P74" s="136"/>
      <c r="Q74" s="136"/>
      <c r="R74" s="136"/>
      <c r="S74" s="137"/>
      <c r="T74" s="181"/>
      <c r="U74" s="182"/>
      <c r="V74" s="182"/>
      <c r="W74" s="182"/>
      <c r="X74" s="182"/>
      <c r="Y74" s="182"/>
      <c r="Z74" s="183"/>
    </row>
    <row r="75" spans="1:26" ht="18" customHeight="1" x14ac:dyDescent="0.2">
      <c r="A75" s="17"/>
      <c r="B75" s="135"/>
      <c r="C75" s="136"/>
      <c r="D75" s="136"/>
      <c r="E75" s="136"/>
      <c r="F75" s="137"/>
      <c r="G75" s="181"/>
      <c r="H75" s="182"/>
      <c r="I75" s="182"/>
      <c r="J75" s="182"/>
      <c r="K75" s="182"/>
      <c r="L75" s="182"/>
      <c r="M75" s="183"/>
      <c r="N75" s="135"/>
      <c r="O75" s="136"/>
      <c r="P75" s="136"/>
      <c r="Q75" s="136"/>
      <c r="R75" s="136"/>
      <c r="S75" s="137"/>
      <c r="T75" s="181"/>
      <c r="U75" s="182"/>
      <c r="V75" s="182"/>
      <c r="W75" s="182"/>
      <c r="X75" s="182"/>
      <c r="Y75" s="182"/>
      <c r="Z75" s="183"/>
    </row>
    <row r="76" spans="1:26" ht="18" customHeight="1" x14ac:dyDescent="0.2">
      <c r="A76" s="17"/>
      <c r="B76" s="144"/>
      <c r="C76" s="145"/>
      <c r="D76" s="145"/>
      <c r="E76" s="145"/>
      <c r="F76" s="146"/>
      <c r="G76" s="178"/>
      <c r="H76" s="179"/>
      <c r="I76" s="179"/>
      <c r="J76" s="179"/>
      <c r="K76" s="179"/>
      <c r="L76" s="179"/>
      <c r="M76" s="180"/>
      <c r="N76" s="144"/>
      <c r="O76" s="145"/>
      <c r="P76" s="145"/>
      <c r="Q76" s="145"/>
      <c r="R76" s="145"/>
      <c r="S76" s="146"/>
      <c r="T76" s="178"/>
      <c r="U76" s="179"/>
      <c r="V76" s="179"/>
      <c r="W76" s="179"/>
      <c r="X76" s="179"/>
      <c r="Y76" s="179"/>
      <c r="Z76" s="180"/>
    </row>
    <row r="77" spans="1:26" ht="18" customHeight="1" x14ac:dyDescent="0.2">
      <c r="A77" s="17"/>
      <c r="B77" s="21"/>
      <c r="C77" s="21"/>
      <c r="D77" s="21"/>
      <c r="E77" s="21"/>
      <c r="F77" s="21"/>
      <c r="G77" s="5"/>
      <c r="H77" s="5"/>
      <c r="I77" s="5"/>
      <c r="J77" s="5"/>
      <c r="K77" s="5"/>
      <c r="L77" s="5"/>
      <c r="M77" s="5"/>
      <c r="N77" s="21"/>
      <c r="O77" s="21"/>
      <c r="P77" s="21"/>
      <c r="Q77" s="21"/>
      <c r="R77" s="21"/>
      <c r="S77" s="21"/>
      <c r="T77" s="5"/>
      <c r="U77" s="5"/>
      <c r="V77" s="5"/>
      <c r="W77" s="5"/>
      <c r="X77" s="5"/>
      <c r="Y77" s="5"/>
      <c r="Z77" s="5"/>
    </row>
    <row r="78" spans="1:26" ht="18.75" customHeight="1" x14ac:dyDescent="0.2">
      <c r="A78" s="6" t="s">
        <v>114</v>
      </c>
    </row>
    <row r="79" spans="1:26" ht="18.75" customHeight="1" x14ac:dyDescent="0.2">
      <c r="B79" s="55" t="s">
        <v>115</v>
      </c>
      <c r="C79" s="56"/>
      <c r="D79" s="241" t="s">
        <v>116</v>
      </c>
      <c r="E79" s="241"/>
      <c r="F79" s="241"/>
      <c r="G79" s="241"/>
      <c r="H79" s="241"/>
      <c r="I79" s="241"/>
      <c r="J79" s="241"/>
      <c r="K79" s="241"/>
      <c r="L79" s="241"/>
      <c r="M79" s="241"/>
      <c r="N79" s="241"/>
      <c r="O79" s="241"/>
      <c r="P79" s="241"/>
      <c r="Q79" s="241"/>
      <c r="R79" s="241"/>
      <c r="S79" s="241"/>
      <c r="T79" s="241"/>
      <c r="U79" s="241"/>
      <c r="V79" s="241"/>
      <c r="W79" s="241"/>
      <c r="X79" s="241"/>
      <c r="Y79" s="241"/>
      <c r="Z79" s="242"/>
    </row>
    <row r="80" spans="1:26" ht="91.5" customHeight="1" x14ac:dyDescent="0.2">
      <c r="B80" s="228" t="s">
        <v>117</v>
      </c>
      <c r="C80" s="62" t="s">
        <v>79</v>
      </c>
      <c r="D80" s="235" t="s">
        <v>118</v>
      </c>
      <c r="E80" s="236"/>
      <c r="F80" s="236"/>
      <c r="G80" s="236"/>
      <c r="H80" s="236"/>
      <c r="I80" s="236"/>
      <c r="J80" s="236"/>
      <c r="K80" s="236"/>
      <c r="L80" s="236"/>
      <c r="M80" s="236"/>
      <c r="N80" s="236"/>
      <c r="O80" s="236"/>
      <c r="P80" s="236"/>
      <c r="Q80" s="236"/>
      <c r="R80" s="236"/>
      <c r="S80" s="236"/>
      <c r="T80" s="236"/>
      <c r="U80" s="236"/>
      <c r="V80" s="236"/>
      <c r="W80" s="236"/>
      <c r="X80" s="236"/>
      <c r="Y80" s="236"/>
      <c r="Z80" s="237"/>
    </row>
    <row r="81" spans="1:26" ht="78" customHeight="1" x14ac:dyDescent="0.2">
      <c r="B81" s="229"/>
      <c r="C81" s="79" t="s">
        <v>119</v>
      </c>
      <c r="D81" s="184" t="s">
        <v>120</v>
      </c>
      <c r="E81" s="185"/>
      <c r="F81" s="185"/>
      <c r="G81" s="185"/>
      <c r="H81" s="185"/>
      <c r="I81" s="185"/>
      <c r="J81" s="185"/>
      <c r="K81" s="185"/>
      <c r="L81" s="185"/>
      <c r="M81" s="185"/>
      <c r="N81" s="185"/>
      <c r="O81" s="185"/>
      <c r="P81" s="185"/>
      <c r="Q81" s="185"/>
      <c r="R81" s="185"/>
      <c r="S81" s="185"/>
      <c r="T81" s="185"/>
      <c r="U81" s="185"/>
      <c r="V81" s="185"/>
      <c r="W81" s="185"/>
      <c r="X81" s="185"/>
      <c r="Y81" s="185"/>
      <c r="Z81" s="186"/>
    </row>
    <row r="82" spans="1:26" ht="86.4" customHeight="1" x14ac:dyDescent="0.2">
      <c r="B82" s="226" t="s">
        <v>121</v>
      </c>
      <c r="C82" s="57" t="s">
        <v>87</v>
      </c>
      <c r="D82" s="187" t="s">
        <v>199</v>
      </c>
      <c r="E82" s="188"/>
      <c r="F82" s="188"/>
      <c r="G82" s="188"/>
      <c r="H82" s="188"/>
      <c r="I82" s="188"/>
      <c r="J82" s="188"/>
      <c r="K82" s="188"/>
      <c r="L82" s="188"/>
      <c r="M82" s="188"/>
      <c r="N82" s="188"/>
      <c r="O82" s="188"/>
      <c r="P82" s="188"/>
      <c r="Q82" s="188"/>
      <c r="R82" s="188"/>
      <c r="S82" s="188"/>
      <c r="T82" s="188"/>
      <c r="U82" s="188"/>
      <c r="V82" s="188"/>
      <c r="W82" s="188"/>
      <c r="X82" s="188"/>
      <c r="Y82" s="188"/>
      <c r="Z82" s="189"/>
    </row>
    <row r="83" spans="1:26" ht="86.1" customHeight="1" x14ac:dyDescent="0.2">
      <c r="B83" s="227"/>
      <c r="C83" s="80" t="s">
        <v>88</v>
      </c>
      <c r="D83" s="193" t="s">
        <v>204</v>
      </c>
      <c r="E83" s="154"/>
      <c r="F83" s="154"/>
      <c r="G83" s="154"/>
      <c r="H83" s="154"/>
      <c r="I83" s="154"/>
      <c r="J83" s="154"/>
      <c r="K83" s="154"/>
      <c r="L83" s="154"/>
      <c r="M83" s="154"/>
      <c r="N83" s="154"/>
      <c r="O83" s="154"/>
      <c r="P83" s="154"/>
      <c r="Q83" s="154"/>
      <c r="R83" s="154"/>
      <c r="S83" s="154"/>
      <c r="T83" s="154"/>
      <c r="U83" s="154"/>
      <c r="V83" s="154"/>
      <c r="W83" s="154"/>
      <c r="X83" s="154"/>
      <c r="Y83" s="154"/>
      <c r="Z83" s="155"/>
    </row>
    <row r="84" spans="1:26" ht="110.1" customHeight="1" x14ac:dyDescent="0.2">
      <c r="B84" s="226" t="s">
        <v>122</v>
      </c>
      <c r="C84" s="57" t="s">
        <v>94</v>
      </c>
      <c r="D84" s="187" t="s">
        <v>205</v>
      </c>
      <c r="E84" s="188"/>
      <c r="F84" s="188"/>
      <c r="G84" s="188"/>
      <c r="H84" s="188"/>
      <c r="I84" s="188"/>
      <c r="J84" s="188"/>
      <c r="K84" s="188"/>
      <c r="L84" s="188"/>
      <c r="M84" s="188"/>
      <c r="N84" s="188"/>
      <c r="O84" s="188"/>
      <c r="P84" s="188"/>
      <c r="Q84" s="188"/>
      <c r="R84" s="188"/>
      <c r="S84" s="188"/>
      <c r="T84" s="188"/>
      <c r="U84" s="188"/>
      <c r="V84" s="188"/>
      <c r="W84" s="188"/>
      <c r="X84" s="188"/>
      <c r="Y84" s="188"/>
      <c r="Z84" s="189"/>
    </row>
    <row r="85" spans="1:26" ht="75.599999999999994" customHeight="1" x14ac:dyDescent="0.2">
      <c r="B85" s="227"/>
      <c r="C85" s="59" t="s">
        <v>95</v>
      </c>
      <c r="D85" s="190" t="s">
        <v>123</v>
      </c>
      <c r="E85" s="191"/>
      <c r="F85" s="191"/>
      <c r="G85" s="191"/>
      <c r="H85" s="191"/>
      <c r="I85" s="191"/>
      <c r="J85" s="191"/>
      <c r="K85" s="191"/>
      <c r="L85" s="191"/>
      <c r="M85" s="191"/>
      <c r="N85" s="191"/>
      <c r="O85" s="191"/>
      <c r="P85" s="191"/>
      <c r="Q85" s="191"/>
      <c r="R85" s="191"/>
      <c r="S85" s="191"/>
      <c r="T85" s="191"/>
      <c r="U85" s="191"/>
      <c r="V85" s="191"/>
      <c r="W85" s="191"/>
      <c r="X85" s="191"/>
      <c r="Y85" s="191"/>
      <c r="Z85" s="192"/>
    </row>
    <row r="86" spans="1:26" ht="155.1" customHeight="1" x14ac:dyDescent="0.2">
      <c r="B86" s="228" t="s">
        <v>124</v>
      </c>
      <c r="C86" s="62" t="s">
        <v>97</v>
      </c>
      <c r="D86" s="235" t="s">
        <v>206</v>
      </c>
      <c r="E86" s="236"/>
      <c r="F86" s="236"/>
      <c r="G86" s="236"/>
      <c r="H86" s="236"/>
      <c r="I86" s="236"/>
      <c r="J86" s="236"/>
      <c r="K86" s="236"/>
      <c r="L86" s="236"/>
      <c r="M86" s="236"/>
      <c r="N86" s="236"/>
      <c r="O86" s="236"/>
      <c r="P86" s="236"/>
      <c r="Q86" s="236"/>
      <c r="R86" s="236"/>
      <c r="S86" s="236"/>
      <c r="T86" s="236"/>
      <c r="U86" s="236"/>
      <c r="V86" s="236"/>
      <c r="W86" s="236"/>
      <c r="X86" s="236"/>
      <c r="Y86" s="236"/>
      <c r="Z86" s="237"/>
    </row>
    <row r="87" spans="1:26" ht="66" customHeight="1" x14ac:dyDescent="0.2">
      <c r="B87" s="234"/>
      <c r="C87" s="58" t="s">
        <v>98</v>
      </c>
      <c r="D87" s="238" t="s">
        <v>125</v>
      </c>
      <c r="E87" s="239"/>
      <c r="F87" s="239"/>
      <c r="G87" s="239"/>
      <c r="H87" s="239"/>
      <c r="I87" s="239"/>
      <c r="J87" s="239"/>
      <c r="K87" s="239"/>
      <c r="L87" s="239"/>
      <c r="M87" s="239"/>
      <c r="N87" s="239"/>
      <c r="O87" s="239"/>
      <c r="P87" s="239"/>
      <c r="Q87" s="239"/>
      <c r="R87" s="239"/>
      <c r="S87" s="239"/>
      <c r="T87" s="239"/>
      <c r="U87" s="239"/>
      <c r="V87" s="239"/>
      <c r="W87" s="239"/>
      <c r="X87" s="239"/>
      <c r="Y87" s="239"/>
      <c r="Z87" s="240"/>
    </row>
    <row r="88" spans="1:26" ht="202.5" customHeight="1" x14ac:dyDescent="0.2">
      <c r="B88" s="229" t="s">
        <v>126</v>
      </c>
      <c r="C88" s="57" t="s">
        <v>102</v>
      </c>
      <c r="D88" s="230" t="s">
        <v>198</v>
      </c>
      <c r="E88" s="231"/>
      <c r="F88" s="231"/>
      <c r="G88" s="231"/>
      <c r="H88" s="231"/>
      <c r="I88" s="231"/>
      <c r="J88" s="231"/>
      <c r="K88" s="231"/>
      <c r="L88" s="231"/>
      <c r="M88" s="231"/>
      <c r="N88" s="231"/>
      <c r="O88" s="231"/>
      <c r="P88" s="231"/>
      <c r="Q88" s="231"/>
      <c r="R88" s="231"/>
      <c r="S88" s="231"/>
      <c r="T88" s="231"/>
      <c r="U88" s="231"/>
      <c r="V88" s="231"/>
      <c r="W88" s="231"/>
      <c r="X88" s="231"/>
      <c r="Y88" s="231"/>
      <c r="Z88" s="232"/>
    </row>
    <row r="89" spans="1:26" ht="145.5" customHeight="1" x14ac:dyDescent="0.2">
      <c r="B89" s="229"/>
      <c r="C89" s="58" t="s">
        <v>103</v>
      </c>
      <c r="D89" s="223" t="s">
        <v>127</v>
      </c>
      <c r="E89" s="224"/>
      <c r="F89" s="224"/>
      <c r="G89" s="224"/>
      <c r="H89" s="224"/>
      <c r="I89" s="224"/>
      <c r="J89" s="224"/>
      <c r="K89" s="224"/>
      <c r="L89" s="224"/>
      <c r="M89" s="224"/>
      <c r="N89" s="224"/>
      <c r="O89" s="224"/>
      <c r="P89" s="224"/>
      <c r="Q89" s="224"/>
      <c r="R89" s="224"/>
      <c r="S89" s="224"/>
      <c r="T89" s="224"/>
      <c r="U89" s="224"/>
      <c r="V89" s="224"/>
      <c r="W89" s="224"/>
      <c r="X89" s="224"/>
      <c r="Y89" s="224"/>
      <c r="Z89" s="225"/>
    </row>
    <row r="90" spans="1:26" ht="66" customHeight="1" x14ac:dyDescent="0.2">
      <c r="B90" s="227"/>
      <c r="C90" s="59" t="s">
        <v>104</v>
      </c>
      <c r="D90" s="233" t="s">
        <v>128</v>
      </c>
      <c r="E90" s="173"/>
      <c r="F90" s="173"/>
      <c r="G90" s="173"/>
      <c r="H90" s="173"/>
      <c r="I90" s="173"/>
      <c r="J90" s="173"/>
      <c r="K90" s="173"/>
      <c r="L90" s="173"/>
      <c r="M90" s="173"/>
      <c r="N90" s="173"/>
      <c r="O90" s="173"/>
      <c r="P90" s="173"/>
      <c r="Q90" s="173"/>
      <c r="R90" s="173"/>
      <c r="S90" s="173"/>
      <c r="T90" s="173"/>
      <c r="U90" s="173"/>
      <c r="V90" s="173"/>
      <c r="W90" s="173"/>
      <c r="X90" s="173"/>
      <c r="Y90" s="173"/>
      <c r="Z90" s="174"/>
    </row>
    <row r="91" spans="1:26" ht="6" customHeight="1" x14ac:dyDescent="0.2"/>
    <row r="92" spans="1:26" ht="18.75" customHeight="1" x14ac:dyDescent="0.2">
      <c r="A92" s="6" t="s">
        <v>129</v>
      </c>
    </row>
    <row r="93" spans="1:26" ht="35.4" customHeight="1" x14ac:dyDescent="0.2">
      <c r="B93" s="166" t="s">
        <v>130</v>
      </c>
      <c r="C93" s="167"/>
      <c r="D93" s="167"/>
      <c r="E93" s="167"/>
      <c r="F93" s="167"/>
      <c r="G93" s="167"/>
      <c r="H93" s="167"/>
      <c r="I93" s="167"/>
      <c r="J93" s="167"/>
      <c r="K93" s="167"/>
      <c r="L93" s="167"/>
      <c r="M93" s="167"/>
      <c r="N93" s="167"/>
      <c r="O93" s="167"/>
      <c r="P93" s="167"/>
      <c r="Q93" s="167"/>
      <c r="R93" s="167"/>
      <c r="S93" s="167"/>
      <c r="T93" s="167"/>
      <c r="U93" s="167"/>
      <c r="V93" s="167"/>
      <c r="W93" s="167"/>
      <c r="X93" s="167"/>
      <c r="Y93" s="167"/>
      <c r="Z93" s="168"/>
    </row>
    <row r="94" spans="1:26" ht="35.4" customHeight="1" x14ac:dyDescent="0.2">
      <c r="B94" s="169"/>
      <c r="C94" s="170"/>
      <c r="D94" s="170"/>
      <c r="E94" s="170"/>
      <c r="F94" s="170"/>
      <c r="G94" s="170"/>
      <c r="H94" s="170"/>
      <c r="I94" s="170"/>
      <c r="J94" s="170"/>
      <c r="K94" s="170"/>
      <c r="L94" s="170"/>
      <c r="M94" s="170"/>
      <c r="N94" s="170"/>
      <c r="O94" s="170"/>
      <c r="P94" s="170"/>
      <c r="Q94" s="170"/>
      <c r="R94" s="170"/>
      <c r="S94" s="170"/>
      <c r="T94" s="170"/>
      <c r="U94" s="170"/>
      <c r="V94" s="170"/>
      <c r="W94" s="170"/>
      <c r="X94" s="170"/>
      <c r="Y94" s="170"/>
      <c r="Z94" s="171"/>
    </row>
    <row r="95" spans="1:26" ht="35.4" customHeight="1" x14ac:dyDescent="0.2">
      <c r="B95" s="172"/>
      <c r="C95" s="173"/>
      <c r="D95" s="173"/>
      <c r="E95" s="173"/>
      <c r="F95" s="173"/>
      <c r="G95" s="173"/>
      <c r="H95" s="173"/>
      <c r="I95" s="173"/>
      <c r="J95" s="173"/>
      <c r="K95" s="173"/>
      <c r="L95" s="173"/>
      <c r="M95" s="173"/>
      <c r="N95" s="173"/>
      <c r="O95" s="173"/>
      <c r="P95" s="173"/>
      <c r="Q95" s="173"/>
      <c r="R95" s="173"/>
      <c r="S95" s="173"/>
      <c r="T95" s="173"/>
      <c r="U95" s="173"/>
      <c r="V95" s="173"/>
      <c r="W95" s="173"/>
      <c r="X95" s="173"/>
      <c r="Y95" s="173"/>
      <c r="Z95" s="174"/>
    </row>
    <row r="96" spans="1:26" ht="6" customHeight="1" x14ac:dyDescent="0.2"/>
    <row r="97" spans="1:26" ht="15" customHeight="1" x14ac:dyDescent="0.2">
      <c r="A97" s="6" t="s">
        <v>131</v>
      </c>
    </row>
    <row r="98" spans="1:26" ht="15" customHeight="1" x14ac:dyDescent="0.2">
      <c r="B98" s="175" t="s">
        <v>132</v>
      </c>
      <c r="C98" s="176"/>
      <c r="D98" s="176"/>
      <c r="E98" s="176"/>
      <c r="F98" s="176"/>
      <c r="G98" s="176"/>
      <c r="H98" s="176"/>
      <c r="I98" s="176"/>
      <c r="J98" s="176"/>
      <c r="K98" s="176"/>
      <c r="L98" s="176"/>
      <c r="M98" s="176"/>
      <c r="N98" s="176"/>
      <c r="O98" s="176"/>
      <c r="P98" s="176"/>
      <c r="Q98" s="176"/>
      <c r="R98" s="176"/>
      <c r="S98" s="176"/>
      <c r="T98" s="176"/>
      <c r="U98" s="176"/>
      <c r="V98" s="176"/>
      <c r="W98" s="176"/>
      <c r="X98" s="176"/>
      <c r="Y98" s="176"/>
      <c r="Z98" s="177"/>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31:K31"/>
    <mergeCell ref="I29:K29"/>
    <mergeCell ref="V29:X29"/>
    <mergeCell ref="V30:X30"/>
    <mergeCell ref="I40:K40"/>
    <mergeCell ref="I41:K41"/>
    <mergeCell ref="V40:X40"/>
    <mergeCell ref="A35:Z36"/>
    <mergeCell ref="V41:X41"/>
    <mergeCell ref="V31:X31"/>
    <mergeCell ref="I32:K32"/>
    <mergeCell ref="I33:K33"/>
    <mergeCell ref="H62:J62"/>
    <mergeCell ref="H64:J64"/>
    <mergeCell ref="U62:W62"/>
    <mergeCell ref="U63:W63"/>
    <mergeCell ref="V48:X48"/>
    <mergeCell ref="I49:K49"/>
    <mergeCell ref="V49:X49"/>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B17:F17"/>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3:J63"/>
    <mergeCell ref="B93:Z95"/>
    <mergeCell ref="B98:Z98"/>
    <mergeCell ref="T76:Z76"/>
    <mergeCell ref="B71:F71"/>
    <mergeCell ref="G71:M71"/>
    <mergeCell ref="N71:S71"/>
    <mergeCell ref="T71:Z71"/>
    <mergeCell ref="B74:F74"/>
    <mergeCell ref="G74:M74"/>
    <mergeCell ref="N74:S74"/>
    <mergeCell ref="T74:Z74"/>
    <mergeCell ref="B72:F72"/>
    <mergeCell ref="B60:E60"/>
    <mergeCell ref="B63:E63"/>
    <mergeCell ref="B62:E62"/>
    <mergeCell ref="B64:E64"/>
    <mergeCell ref="B65:E65"/>
    <mergeCell ref="B66:E66"/>
    <mergeCell ref="D81:Z81"/>
    <mergeCell ref="W1:Z1"/>
    <mergeCell ref="B15:F15"/>
    <mergeCell ref="B16:F16"/>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31:F31"/>
    <mergeCell ref="B29:F29"/>
    <mergeCell ref="B32:F32"/>
    <mergeCell ref="B33:F33"/>
    <mergeCell ref="N26:S26"/>
    <mergeCell ref="N27:S27"/>
    <mergeCell ref="N28:S28"/>
    <mergeCell ref="N29:S29"/>
    <mergeCell ref="N30:S30"/>
    <mergeCell ref="N31:S31"/>
    <mergeCell ref="N32:S32"/>
    <mergeCell ref="N33:S33"/>
    <mergeCell ref="B30:F30"/>
    <mergeCell ref="I30:K30"/>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I51:K51"/>
    <mergeCell ref="B61:E61"/>
    <mergeCell ref="H61:J61"/>
    <mergeCell ref="N60:R60"/>
    <mergeCell ref="N61:R61"/>
    <mergeCell ref="N62:R62"/>
    <mergeCell ref="N63:R63"/>
    <mergeCell ref="N64:R64"/>
    <mergeCell ref="N65:R65"/>
    <mergeCell ref="N66:R66"/>
    <mergeCell ref="H65:J65"/>
    <mergeCell ref="H66:J66"/>
  </mergeCells>
  <phoneticPr fontId="1"/>
  <dataValidations count="4">
    <dataValidation type="list" allowBlank="1" showInputMessage="1" showErrorMessage="1" sqref="Y16:Z22 L16:M22 Y27:Z33 H38:H44 Y38:Z44 L49:M55 Y49:Z55 Y60:Z66 H16:H22 U16:U22 U27:U33 T60:T66 U38:U44 H49:H55 U49:U55 L38:M44 H27:H33 L27:M33 K64 L64:M66 K60:M63 G60:G66" xr:uid="{00000000-0002-0000-0100-000000000000}">
      <formula1>"○"</formula1>
    </dataValidation>
    <dataValidation type="list" allowBlank="1" showInputMessage="1" showErrorMessage="1" sqref="Z23 Z34 D34:K34 D23:K23 V16:V22 I16:I22 V27:V33 I38:I44 V38:V44 V49:V55 I49:I55 U60:U66 I27:I33 H60:H66" xr:uid="{00000000-0002-0000-0100-000001000000}">
      <formula1>"全学開講,一部開講"</formula1>
    </dataValidation>
    <dataValidation type="list" allowBlank="1" showInputMessage="1" showErrorMessage="1" sqref="O4" xr:uid="{00000000-0002-0000-01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1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0"/>
  <sheetViews>
    <sheetView view="pageBreakPreview" zoomScaleNormal="100" zoomScaleSheetLayoutView="100" workbookViewId="0">
      <selection activeCell="P25" sqref="P25"/>
    </sheetView>
  </sheetViews>
  <sheetFormatPr defaultColWidth="9" defaultRowHeight="18.75" customHeight="1" x14ac:dyDescent="0.2"/>
  <cols>
    <col min="1" max="1" width="2.6640625" style="1" customWidth="1"/>
    <col min="2" max="2" width="27" style="1" customWidth="1"/>
    <col min="3" max="17" width="6.109375" style="1" customWidth="1"/>
    <col min="18" max="18" width="6.6640625" style="1" customWidth="1"/>
    <col min="19" max="16384" width="9" style="1"/>
  </cols>
  <sheetData>
    <row r="1" spans="1:20" ht="18" customHeight="1" x14ac:dyDescent="0.2">
      <c r="F1" s="243" t="s">
        <v>133</v>
      </c>
      <c r="G1" s="243"/>
      <c r="H1" s="243"/>
      <c r="I1" s="243"/>
      <c r="J1" s="243"/>
      <c r="K1" s="243"/>
      <c r="L1" s="243"/>
      <c r="M1" s="243"/>
      <c r="N1" s="243"/>
      <c r="O1" s="243"/>
      <c r="P1" s="243"/>
      <c r="Q1" s="243"/>
      <c r="R1" s="243"/>
    </row>
    <row r="2" spans="1:20" ht="18" customHeight="1" x14ac:dyDescent="0.2">
      <c r="A2" s="244" t="s">
        <v>134</v>
      </c>
      <c r="B2" s="244"/>
      <c r="C2" s="244"/>
      <c r="D2" s="244"/>
      <c r="E2" s="244"/>
      <c r="F2" s="244"/>
      <c r="G2" s="244"/>
      <c r="H2" s="244"/>
      <c r="I2" s="244"/>
      <c r="J2" s="244"/>
      <c r="K2" s="244"/>
      <c r="L2" s="244"/>
      <c r="M2" s="244"/>
      <c r="N2" s="244"/>
      <c r="O2" s="244"/>
      <c r="P2" s="244"/>
      <c r="Q2" s="244"/>
      <c r="R2" s="244"/>
      <c r="S2" s="2"/>
    </row>
    <row r="3" spans="1:20" ht="7.5" customHeight="1" x14ac:dyDescent="0.2">
      <c r="A3" s="22"/>
      <c r="B3" s="22"/>
      <c r="C3" s="22"/>
      <c r="D3" s="22"/>
      <c r="E3" s="22"/>
      <c r="F3" s="22"/>
      <c r="G3" s="22"/>
      <c r="H3" s="22"/>
      <c r="I3" s="22"/>
      <c r="J3" s="22"/>
      <c r="K3" s="22"/>
      <c r="L3" s="22"/>
      <c r="M3" s="22"/>
      <c r="N3" s="22"/>
      <c r="O3" s="22"/>
      <c r="P3" s="22"/>
      <c r="Q3" s="22"/>
      <c r="R3" s="22"/>
    </row>
    <row r="4" spans="1:20" ht="18" customHeight="1" x14ac:dyDescent="0.2">
      <c r="A4" s="2" t="s">
        <v>135</v>
      </c>
      <c r="B4" s="2"/>
      <c r="C4" s="245" t="str">
        <f>'様式１　大学等概要'!E12</f>
        <v>令和3</v>
      </c>
      <c r="D4" s="246"/>
      <c r="E4" s="22" t="s">
        <v>19</v>
      </c>
      <c r="F4" s="22"/>
      <c r="G4" s="22"/>
      <c r="H4" s="22"/>
      <c r="I4" s="22"/>
      <c r="J4" s="63"/>
      <c r="K4" s="22"/>
      <c r="L4" s="22"/>
      <c r="M4" s="27"/>
      <c r="N4" s="27"/>
      <c r="O4" s="27"/>
      <c r="P4" s="27"/>
      <c r="Q4" s="27"/>
      <c r="R4" s="27"/>
    </row>
    <row r="5" spans="1:20" ht="6" customHeight="1" x14ac:dyDescent="0.2">
      <c r="A5" s="22"/>
      <c r="B5" s="22"/>
      <c r="C5" s="22"/>
      <c r="D5" s="22"/>
      <c r="E5" s="22"/>
      <c r="F5" s="22"/>
      <c r="G5" s="22"/>
      <c r="H5" s="22"/>
      <c r="I5" s="22"/>
      <c r="J5" s="22"/>
      <c r="K5" s="22"/>
      <c r="L5" s="22"/>
      <c r="M5" s="22"/>
      <c r="N5" s="22"/>
      <c r="O5" s="22"/>
      <c r="P5" s="22"/>
      <c r="Q5" s="22"/>
      <c r="R5" s="22"/>
    </row>
    <row r="6" spans="1:20" ht="18" customHeight="1" x14ac:dyDescent="0.2">
      <c r="A6" s="2" t="s">
        <v>136</v>
      </c>
      <c r="B6" s="22"/>
      <c r="C6" s="22"/>
      <c r="D6" s="22"/>
      <c r="E6" s="22"/>
      <c r="F6" s="22"/>
      <c r="G6" s="22"/>
      <c r="H6" s="22"/>
      <c r="I6" s="22"/>
      <c r="J6" s="22"/>
      <c r="K6" s="22"/>
      <c r="L6" s="22"/>
      <c r="M6" s="22"/>
      <c r="N6" s="22"/>
      <c r="O6" s="22"/>
      <c r="P6" s="22"/>
      <c r="Q6" s="22"/>
      <c r="R6" s="22"/>
    </row>
    <row r="7" spans="1:20" ht="6" customHeight="1" x14ac:dyDescent="0.2">
      <c r="A7" s="2"/>
      <c r="B7" s="22"/>
      <c r="C7" s="22"/>
      <c r="D7" s="22"/>
      <c r="E7" s="22"/>
      <c r="F7" s="22"/>
      <c r="G7" s="22"/>
      <c r="H7" s="22"/>
      <c r="I7" s="22"/>
      <c r="J7" s="22"/>
      <c r="K7" s="22"/>
      <c r="L7" s="22"/>
      <c r="M7" s="22"/>
      <c r="N7" s="22"/>
      <c r="O7" s="22"/>
      <c r="P7" s="22"/>
      <c r="Q7" s="22"/>
      <c r="R7" s="22"/>
    </row>
    <row r="8" spans="1:20" ht="18" customHeight="1" x14ac:dyDescent="0.2">
      <c r="B8" s="247" t="s">
        <v>137</v>
      </c>
      <c r="C8" s="249" t="s">
        <v>138</v>
      </c>
      <c r="D8" s="251" t="s">
        <v>139</v>
      </c>
      <c r="E8" s="253" t="s">
        <v>140</v>
      </c>
      <c r="F8" s="253"/>
      <c r="G8" s="253" t="s">
        <v>141</v>
      </c>
      <c r="H8" s="253"/>
      <c r="I8" s="253" t="s">
        <v>142</v>
      </c>
      <c r="J8" s="253"/>
      <c r="K8" s="254" t="s">
        <v>143</v>
      </c>
      <c r="L8" s="255"/>
      <c r="M8" s="254" t="s">
        <v>144</v>
      </c>
      <c r="N8" s="255"/>
      <c r="O8" s="254" t="s">
        <v>145</v>
      </c>
      <c r="P8" s="255"/>
      <c r="Q8" s="256" t="s">
        <v>146</v>
      </c>
      <c r="R8" s="258" t="s">
        <v>147</v>
      </c>
      <c r="T8" s="20"/>
    </row>
    <row r="9" spans="1:20" ht="18" customHeight="1" x14ac:dyDescent="0.2">
      <c r="A9" s="2"/>
      <c r="B9" s="248"/>
      <c r="C9" s="250"/>
      <c r="D9" s="252"/>
      <c r="E9" s="23" t="s">
        <v>148</v>
      </c>
      <c r="F9" s="24" t="s">
        <v>149</v>
      </c>
      <c r="G9" s="25" t="s">
        <v>148</v>
      </c>
      <c r="H9" s="26" t="s">
        <v>149</v>
      </c>
      <c r="I9" s="23" t="s">
        <v>148</v>
      </c>
      <c r="J9" s="24" t="s">
        <v>149</v>
      </c>
      <c r="K9" s="25" t="s">
        <v>148</v>
      </c>
      <c r="L9" s="26" t="s">
        <v>149</v>
      </c>
      <c r="M9" s="23" t="s">
        <v>148</v>
      </c>
      <c r="N9" s="24" t="s">
        <v>149</v>
      </c>
      <c r="O9" s="25" t="s">
        <v>148</v>
      </c>
      <c r="P9" s="26" t="s">
        <v>149</v>
      </c>
      <c r="Q9" s="257"/>
      <c r="R9" s="259"/>
      <c r="T9" s="20"/>
    </row>
    <row r="10" spans="1:20" ht="18" customHeight="1" x14ac:dyDescent="0.2">
      <c r="A10" s="27"/>
      <c r="B10" s="64" t="s">
        <v>150</v>
      </c>
      <c r="C10" s="27">
        <v>325</v>
      </c>
      <c r="D10" s="28">
        <v>1338</v>
      </c>
      <c r="E10" s="29">
        <v>284</v>
      </c>
      <c r="F10" s="30">
        <v>270</v>
      </c>
      <c r="G10" s="31">
        <v>0</v>
      </c>
      <c r="H10" s="32">
        <v>0</v>
      </c>
      <c r="I10" s="29">
        <v>0</v>
      </c>
      <c r="J10" s="30">
        <v>0</v>
      </c>
      <c r="K10" s="31">
        <v>0</v>
      </c>
      <c r="L10" s="32">
        <v>0</v>
      </c>
      <c r="M10" s="29">
        <v>0</v>
      </c>
      <c r="N10" s="30">
        <v>0</v>
      </c>
      <c r="O10" s="31">
        <v>0</v>
      </c>
      <c r="P10" s="32">
        <v>0</v>
      </c>
      <c r="Q10" s="33">
        <f>E10+G10+I10+K10+M10+O10</f>
        <v>284</v>
      </c>
      <c r="R10" s="34">
        <f>Q10/D10</f>
        <v>0.21225710014947682</v>
      </c>
    </row>
    <row r="11" spans="1:20" ht="18" customHeight="1" x14ac:dyDescent="0.2">
      <c r="A11" s="27"/>
      <c r="B11" s="65" t="s">
        <v>151</v>
      </c>
      <c r="C11" s="43">
        <v>90</v>
      </c>
      <c r="D11" s="36">
        <v>330</v>
      </c>
      <c r="E11" s="37">
        <v>82</v>
      </c>
      <c r="F11" s="38">
        <v>72</v>
      </c>
      <c r="G11" s="39">
        <v>0</v>
      </c>
      <c r="H11" s="40">
        <v>0</v>
      </c>
      <c r="I11" s="37">
        <v>0</v>
      </c>
      <c r="J11" s="38">
        <v>0</v>
      </c>
      <c r="K11" s="39">
        <v>0</v>
      </c>
      <c r="L11" s="40">
        <v>0</v>
      </c>
      <c r="M11" s="37">
        <v>0</v>
      </c>
      <c r="N11" s="38">
        <v>0</v>
      </c>
      <c r="O11" s="39">
        <v>0</v>
      </c>
      <c r="P11" s="40">
        <v>0</v>
      </c>
      <c r="Q11" s="41">
        <f t="shared" ref="Q11:Q29" si="0">E11+G11+I11+K11+M11+O11</f>
        <v>82</v>
      </c>
      <c r="R11" s="42">
        <f t="shared" ref="R11:R12" si="1">Q11/D11</f>
        <v>0.24848484848484848</v>
      </c>
    </row>
    <row r="12" spans="1:20" ht="18" customHeight="1" x14ac:dyDescent="0.2">
      <c r="A12" s="27"/>
      <c r="B12" s="65" t="s">
        <v>152</v>
      </c>
      <c r="C12" s="43">
        <v>80</v>
      </c>
      <c r="D12" s="36">
        <v>320</v>
      </c>
      <c r="E12" s="37">
        <v>42</v>
      </c>
      <c r="F12" s="38">
        <v>39</v>
      </c>
      <c r="G12" s="39">
        <v>0</v>
      </c>
      <c r="H12" s="40">
        <v>0</v>
      </c>
      <c r="I12" s="37">
        <v>0</v>
      </c>
      <c r="J12" s="38">
        <v>0</v>
      </c>
      <c r="K12" s="39">
        <v>0</v>
      </c>
      <c r="L12" s="40">
        <v>0</v>
      </c>
      <c r="M12" s="37">
        <v>0</v>
      </c>
      <c r="N12" s="38">
        <v>0</v>
      </c>
      <c r="O12" s="39">
        <v>0</v>
      </c>
      <c r="P12" s="40">
        <v>0</v>
      </c>
      <c r="Q12" s="41">
        <f t="shared" si="0"/>
        <v>42</v>
      </c>
      <c r="R12" s="42">
        <f t="shared" si="1"/>
        <v>0.13125000000000001</v>
      </c>
    </row>
    <row r="13" spans="1:20" ht="18" customHeight="1" x14ac:dyDescent="0.2">
      <c r="A13" s="27"/>
      <c r="B13" s="65"/>
      <c r="C13" s="43"/>
      <c r="D13" s="36"/>
      <c r="E13" s="37"/>
      <c r="F13" s="38"/>
      <c r="G13" s="39"/>
      <c r="H13" s="40"/>
      <c r="I13" s="37"/>
      <c r="J13" s="38"/>
      <c r="K13" s="39"/>
      <c r="L13" s="40"/>
      <c r="M13" s="37"/>
      <c r="N13" s="38"/>
      <c r="O13" s="39"/>
      <c r="P13" s="40"/>
      <c r="Q13" s="41">
        <f t="shared" si="0"/>
        <v>0</v>
      </c>
      <c r="R13" s="42"/>
    </row>
    <row r="14" spans="1:20" ht="18" customHeight="1" x14ac:dyDescent="0.2">
      <c r="A14" s="27"/>
      <c r="B14" s="65"/>
      <c r="C14" s="43"/>
      <c r="D14" s="36"/>
      <c r="E14" s="37"/>
      <c r="F14" s="38"/>
      <c r="G14" s="39"/>
      <c r="H14" s="40"/>
      <c r="I14" s="37"/>
      <c r="J14" s="38"/>
      <c r="K14" s="39"/>
      <c r="L14" s="40"/>
      <c r="M14" s="37"/>
      <c r="N14" s="38"/>
      <c r="O14" s="39"/>
      <c r="P14" s="40"/>
      <c r="Q14" s="41">
        <f t="shared" si="0"/>
        <v>0</v>
      </c>
      <c r="R14" s="42"/>
    </row>
    <row r="15" spans="1:20" ht="18" customHeight="1" x14ac:dyDescent="0.2">
      <c r="A15" s="27"/>
      <c r="B15" s="65"/>
      <c r="C15" s="43"/>
      <c r="D15" s="36"/>
      <c r="E15" s="37"/>
      <c r="F15" s="38"/>
      <c r="G15" s="39"/>
      <c r="H15" s="40"/>
      <c r="I15" s="37"/>
      <c r="J15" s="38"/>
      <c r="K15" s="39"/>
      <c r="L15" s="40"/>
      <c r="M15" s="37"/>
      <c r="N15" s="38"/>
      <c r="O15" s="39"/>
      <c r="P15" s="40"/>
      <c r="Q15" s="41">
        <f t="shared" si="0"/>
        <v>0</v>
      </c>
      <c r="R15" s="42"/>
    </row>
    <row r="16" spans="1:20" ht="18" customHeight="1" x14ac:dyDescent="0.2">
      <c r="A16" s="27"/>
      <c r="B16" s="65"/>
      <c r="C16" s="43"/>
      <c r="D16" s="36"/>
      <c r="E16" s="37"/>
      <c r="F16" s="38"/>
      <c r="G16" s="39"/>
      <c r="H16" s="40"/>
      <c r="I16" s="37"/>
      <c r="J16" s="38"/>
      <c r="K16" s="39"/>
      <c r="L16" s="40"/>
      <c r="M16" s="37"/>
      <c r="N16" s="38"/>
      <c r="O16" s="39"/>
      <c r="P16" s="40"/>
      <c r="Q16" s="41">
        <f t="shared" si="0"/>
        <v>0</v>
      </c>
      <c r="R16" s="42"/>
    </row>
    <row r="17" spans="1:18" ht="18" customHeight="1" x14ac:dyDescent="0.2">
      <c r="A17" s="27"/>
      <c r="B17" s="65"/>
      <c r="C17" s="43"/>
      <c r="D17" s="36"/>
      <c r="E17" s="37"/>
      <c r="F17" s="38"/>
      <c r="G17" s="39"/>
      <c r="H17" s="40"/>
      <c r="I17" s="37"/>
      <c r="J17" s="38"/>
      <c r="K17" s="39"/>
      <c r="L17" s="40"/>
      <c r="M17" s="37"/>
      <c r="N17" s="38"/>
      <c r="O17" s="39"/>
      <c r="P17" s="40"/>
      <c r="Q17" s="41">
        <f t="shared" si="0"/>
        <v>0</v>
      </c>
      <c r="R17" s="42"/>
    </row>
    <row r="18" spans="1:18" ht="18" customHeight="1" x14ac:dyDescent="0.2">
      <c r="A18" s="27"/>
      <c r="B18" s="65"/>
      <c r="C18" s="43"/>
      <c r="D18" s="36"/>
      <c r="E18" s="37"/>
      <c r="F18" s="38"/>
      <c r="G18" s="39"/>
      <c r="H18" s="40"/>
      <c r="I18" s="37"/>
      <c r="J18" s="38"/>
      <c r="K18" s="39"/>
      <c r="L18" s="40"/>
      <c r="M18" s="37"/>
      <c r="N18" s="38"/>
      <c r="O18" s="39"/>
      <c r="P18" s="40"/>
      <c r="Q18" s="41">
        <f>E18+G18+I18+K18+M18+O18</f>
        <v>0</v>
      </c>
      <c r="R18" s="42"/>
    </row>
    <row r="19" spans="1:18" ht="18" customHeight="1" x14ac:dyDescent="0.2">
      <c r="A19" s="27"/>
      <c r="B19" s="65"/>
      <c r="C19" s="43"/>
      <c r="D19" s="36"/>
      <c r="E19" s="37"/>
      <c r="F19" s="38"/>
      <c r="G19" s="39"/>
      <c r="H19" s="40"/>
      <c r="I19" s="37"/>
      <c r="J19" s="38"/>
      <c r="K19" s="39"/>
      <c r="L19" s="40"/>
      <c r="M19" s="37"/>
      <c r="N19" s="38"/>
      <c r="O19" s="39"/>
      <c r="P19" s="40"/>
      <c r="Q19" s="41">
        <f t="shared" si="0"/>
        <v>0</v>
      </c>
      <c r="R19" s="42"/>
    </row>
    <row r="20" spans="1:18" ht="18" customHeight="1" x14ac:dyDescent="0.2">
      <c r="A20" s="27"/>
      <c r="B20" s="65"/>
      <c r="C20" s="43"/>
      <c r="D20" s="36"/>
      <c r="E20" s="37"/>
      <c r="F20" s="38"/>
      <c r="G20" s="39"/>
      <c r="H20" s="40"/>
      <c r="I20" s="37"/>
      <c r="J20" s="38"/>
      <c r="K20" s="39"/>
      <c r="L20" s="40"/>
      <c r="M20" s="37"/>
      <c r="N20" s="38"/>
      <c r="O20" s="39"/>
      <c r="P20" s="40"/>
      <c r="Q20" s="41">
        <f t="shared" si="0"/>
        <v>0</v>
      </c>
      <c r="R20" s="42"/>
    </row>
    <row r="21" spans="1:18" ht="18" customHeight="1" x14ac:dyDescent="0.2">
      <c r="A21" s="27"/>
      <c r="B21" s="65"/>
      <c r="C21" s="43"/>
      <c r="D21" s="36"/>
      <c r="E21" s="37"/>
      <c r="F21" s="38"/>
      <c r="G21" s="39"/>
      <c r="H21" s="40"/>
      <c r="I21" s="37"/>
      <c r="J21" s="38"/>
      <c r="K21" s="39"/>
      <c r="L21" s="40"/>
      <c r="M21" s="37"/>
      <c r="N21" s="38"/>
      <c r="O21" s="39"/>
      <c r="P21" s="40"/>
      <c r="Q21" s="41">
        <f t="shared" si="0"/>
        <v>0</v>
      </c>
      <c r="R21" s="42"/>
    </row>
    <row r="22" spans="1:18" ht="18" customHeight="1" x14ac:dyDescent="0.2">
      <c r="A22" s="27"/>
      <c r="B22" s="65"/>
      <c r="C22" s="43"/>
      <c r="D22" s="36"/>
      <c r="E22" s="37"/>
      <c r="F22" s="38"/>
      <c r="G22" s="39"/>
      <c r="H22" s="40"/>
      <c r="I22" s="37"/>
      <c r="J22" s="38"/>
      <c r="K22" s="39"/>
      <c r="L22" s="40"/>
      <c r="M22" s="37"/>
      <c r="N22" s="38"/>
      <c r="O22" s="39"/>
      <c r="P22" s="40"/>
      <c r="Q22" s="41">
        <f t="shared" si="0"/>
        <v>0</v>
      </c>
      <c r="R22" s="42"/>
    </row>
    <row r="23" spans="1:18" ht="18" customHeight="1" x14ac:dyDescent="0.2">
      <c r="A23" s="27"/>
      <c r="B23" s="65"/>
      <c r="C23" s="43"/>
      <c r="D23" s="36"/>
      <c r="E23" s="37"/>
      <c r="F23" s="38"/>
      <c r="G23" s="39"/>
      <c r="H23" s="40"/>
      <c r="I23" s="37"/>
      <c r="J23" s="38"/>
      <c r="K23" s="39"/>
      <c r="L23" s="40"/>
      <c r="M23" s="37"/>
      <c r="N23" s="38"/>
      <c r="O23" s="39"/>
      <c r="P23" s="40"/>
      <c r="Q23" s="41">
        <f t="shared" si="0"/>
        <v>0</v>
      </c>
      <c r="R23" s="42"/>
    </row>
    <row r="24" spans="1:18" ht="18" customHeight="1" x14ac:dyDescent="0.2">
      <c r="A24" s="27"/>
      <c r="B24" s="65"/>
      <c r="C24" s="43"/>
      <c r="D24" s="36"/>
      <c r="E24" s="37"/>
      <c r="F24" s="38"/>
      <c r="G24" s="39"/>
      <c r="H24" s="40"/>
      <c r="I24" s="37"/>
      <c r="J24" s="38"/>
      <c r="K24" s="39"/>
      <c r="L24" s="40"/>
      <c r="M24" s="37"/>
      <c r="N24" s="38"/>
      <c r="O24" s="39"/>
      <c r="P24" s="40"/>
      <c r="Q24" s="41">
        <f t="shared" si="0"/>
        <v>0</v>
      </c>
      <c r="R24" s="42"/>
    </row>
    <row r="25" spans="1:18" ht="18" customHeight="1" x14ac:dyDescent="0.2">
      <c r="A25" s="27"/>
      <c r="B25" s="65"/>
      <c r="C25" s="43"/>
      <c r="D25" s="36"/>
      <c r="E25" s="37"/>
      <c r="F25" s="38"/>
      <c r="G25" s="39"/>
      <c r="H25" s="40"/>
      <c r="I25" s="37"/>
      <c r="J25" s="38"/>
      <c r="K25" s="39"/>
      <c r="L25" s="40"/>
      <c r="M25" s="37"/>
      <c r="N25" s="38"/>
      <c r="O25" s="39"/>
      <c r="P25" s="40"/>
      <c r="Q25" s="41">
        <f t="shared" si="0"/>
        <v>0</v>
      </c>
      <c r="R25" s="42"/>
    </row>
    <row r="26" spans="1:18" ht="18" customHeight="1" x14ac:dyDescent="0.2">
      <c r="A26" s="27"/>
      <c r="B26" s="65"/>
      <c r="C26" s="43"/>
      <c r="D26" s="36"/>
      <c r="E26" s="37"/>
      <c r="F26" s="38"/>
      <c r="G26" s="39"/>
      <c r="H26" s="40"/>
      <c r="I26" s="37"/>
      <c r="J26" s="38"/>
      <c r="K26" s="39"/>
      <c r="L26" s="40"/>
      <c r="M26" s="37"/>
      <c r="N26" s="38"/>
      <c r="O26" s="39"/>
      <c r="P26" s="40"/>
      <c r="Q26" s="41">
        <f t="shared" si="0"/>
        <v>0</v>
      </c>
      <c r="R26" s="42"/>
    </row>
    <row r="27" spans="1:18" ht="18" customHeight="1" x14ac:dyDescent="0.2">
      <c r="A27" s="27"/>
      <c r="B27" s="65"/>
      <c r="C27" s="35"/>
      <c r="D27" s="36"/>
      <c r="E27" s="37"/>
      <c r="F27" s="38"/>
      <c r="G27" s="39"/>
      <c r="H27" s="40"/>
      <c r="I27" s="37"/>
      <c r="J27" s="38"/>
      <c r="K27" s="39"/>
      <c r="L27" s="40"/>
      <c r="M27" s="37"/>
      <c r="N27" s="38"/>
      <c r="O27" s="39"/>
      <c r="P27" s="40"/>
      <c r="Q27" s="41">
        <f t="shared" si="0"/>
        <v>0</v>
      </c>
      <c r="R27" s="42"/>
    </row>
    <row r="28" spans="1:18" ht="18" customHeight="1" x14ac:dyDescent="0.2">
      <c r="A28" s="27"/>
      <c r="B28" s="65"/>
      <c r="C28" s="35"/>
      <c r="D28" s="36"/>
      <c r="E28" s="37"/>
      <c r="F28" s="38"/>
      <c r="G28" s="39"/>
      <c r="H28" s="40"/>
      <c r="I28" s="37"/>
      <c r="J28" s="38"/>
      <c r="K28" s="39"/>
      <c r="L28" s="40"/>
      <c r="M28" s="37"/>
      <c r="N28" s="38"/>
      <c r="O28" s="39"/>
      <c r="P28" s="40"/>
      <c r="Q28" s="41">
        <f t="shared" si="0"/>
        <v>0</v>
      </c>
      <c r="R28" s="42"/>
    </row>
    <row r="29" spans="1:18" ht="18" customHeight="1" thickBot="1" x14ac:dyDescent="0.25">
      <c r="A29" s="27"/>
      <c r="B29" s="66"/>
      <c r="C29" s="67"/>
      <c r="D29" s="28"/>
      <c r="E29" s="29"/>
      <c r="F29" s="30"/>
      <c r="G29" s="31"/>
      <c r="H29" s="32"/>
      <c r="I29" s="29"/>
      <c r="J29" s="30"/>
      <c r="K29" s="31"/>
      <c r="L29" s="32"/>
      <c r="M29" s="29"/>
      <c r="N29" s="30"/>
      <c r="O29" s="31"/>
      <c r="P29" s="32"/>
      <c r="Q29" s="44">
        <f t="shared" si="0"/>
        <v>0</v>
      </c>
      <c r="R29" s="34"/>
    </row>
    <row r="30" spans="1:18" ht="18" customHeight="1" thickTop="1" x14ac:dyDescent="0.2">
      <c r="B30" s="68" t="s">
        <v>153</v>
      </c>
      <c r="C30" s="69">
        <f t="shared" ref="C30:Q30" si="2">SUM(C10:C29)</f>
        <v>495</v>
      </c>
      <c r="D30" s="45">
        <f t="shared" si="2"/>
        <v>1988</v>
      </c>
      <c r="E30" s="46">
        <f t="shared" si="2"/>
        <v>408</v>
      </c>
      <c r="F30" s="47">
        <f t="shared" si="2"/>
        <v>381</v>
      </c>
      <c r="G30" s="48">
        <f t="shared" si="2"/>
        <v>0</v>
      </c>
      <c r="H30" s="49">
        <f t="shared" si="2"/>
        <v>0</v>
      </c>
      <c r="I30" s="46">
        <f t="shared" si="2"/>
        <v>0</v>
      </c>
      <c r="J30" s="47">
        <f t="shared" si="2"/>
        <v>0</v>
      </c>
      <c r="K30" s="48">
        <f t="shared" si="2"/>
        <v>0</v>
      </c>
      <c r="L30" s="49">
        <f t="shared" si="2"/>
        <v>0</v>
      </c>
      <c r="M30" s="46">
        <f t="shared" si="2"/>
        <v>0</v>
      </c>
      <c r="N30" s="47">
        <f t="shared" si="2"/>
        <v>0</v>
      </c>
      <c r="O30" s="48">
        <f t="shared" si="2"/>
        <v>0</v>
      </c>
      <c r="P30" s="49">
        <f t="shared" si="2"/>
        <v>0</v>
      </c>
      <c r="Q30" s="50">
        <f t="shared" si="2"/>
        <v>408</v>
      </c>
      <c r="R30" s="51">
        <f>Q30/D30</f>
        <v>0.20523138832997989</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4"/>
  <sheetViews>
    <sheetView showZeros="0" view="pageBreakPreview" zoomScale="91" zoomScaleNormal="100" zoomScaleSheetLayoutView="91" workbookViewId="0">
      <selection activeCell="B8" sqref="B8:J12"/>
    </sheetView>
  </sheetViews>
  <sheetFormatPr defaultColWidth="11.33203125" defaultRowHeight="18.75" customHeight="1" x14ac:dyDescent="0.2"/>
  <cols>
    <col min="1" max="1" width="2.6640625" style="94" customWidth="1"/>
    <col min="2" max="2" width="16.6640625" style="7" customWidth="1"/>
    <col min="3" max="3" width="8.88671875" style="7" customWidth="1"/>
    <col min="4" max="4" width="2.109375" style="7" customWidth="1"/>
    <col min="5" max="5" width="16.6640625" style="7" customWidth="1"/>
    <col min="6" max="6" width="8.88671875" style="7" customWidth="1"/>
    <col min="7" max="7" width="2.109375" style="7" customWidth="1"/>
    <col min="8" max="8" width="16.6640625" style="7" customWidth="1"/>
    <col min="9" max="9" width="8.88671875" style="7" customWidth="1"/>
    <col min="10" max="10" width="2.109375" style="7" customWidth="1"/>
    <col min="11" max="16384" width="11.33203125" style="7"/>
  </cols>
  <sheetData>
    <row r="1" spans="1:11" ht="18.75" customHeight="1" x14ac:dyDescent="0.2">
      <c r="A1" s="94" t="s">
        <v>154</v>
      </c>
      <c r="J1" s="90" t="s">
        <v>155</v>
      </c>
    </row>
    <row r="2" spans="1:11" ht="18.75" customHeight="1" x14ac:dyDescent="0.2">
      <c r="A2" s="195" t="s">
        <v>156</v>
      </c>
      <c r="B2" s="195"/>
      <c r="C2" s="195"/>
      <c r="D2" s="195"/>
      <c r="E2" s="195"/>
      <c r="F2" s="195"/>
      <c r="G2" s="195"/>
      <c r="H2" s="195"/>
      <c r="I2" s="195"/>
      <c r="J2" s="195"/>
    </row>
    <row r="3" spans="1:11" ht="7.5" customHeight="1" x14ac:dyDescent="0.2">
      <c r="B3" s="17"/>
      <c r="C3" s="17"/>
      <c r="D3" s="17"/>
      <c r="E3" s="17"/>
      <c r="F3" s="17"/>
      <c r="G3" s="17"/>
      <c r="H3" s="17"/>
      <c r="I3" s="17"/>
      <c r="J3" s="17"/>
    </row>
    <row r="4" spans="1:11" ht="18.75" customHeight="1" x14ac:dyDescent="0.2">
      <c r="A4" s="7" t="s">
        <v>2</v>
      </c>
      <c r="B4" s="7" t="s">
        <v>157</v>
      </c>
      <c r="I4" s="17"/>
      <c r="J4" s="17"/>
    </row>
    <row r="5" spans="1:11" ht="18.75" customHeight="1" x14ac:dyDescent="0.2">
      <c r="A5" s="7"/>
      <c r="B5" s="133" t="s">
        <v>158</v>
      </c>
      <c r="C5" s="134"/>
      <c r="D5" s="134"/>
      <c r="E5" s="134"/>
      <c r="F5" s="134"/>
      <c r="G5" s="134"/>
      <c r="H5" s="134"/>
      <c r="I5" s="134"/>
      <c r="J5" s="281"/>
      <c r="K5" s="7" t="str">
        <f>IF(B5="","入力してください","")</f>
        <v/>
      </c>
    </row>
    <row r="6" spans="1:11" ht="7.5" customHeight="1" x14ac:dyDescent="0.2">
      <c r="B6" s="17"/>
      <c r="C6" s="17"/>
      <c r="D6" s="17"/>
      <c r="E6" s="17"/>
      <c r="F6" s="17"/>
      <c r="G6" s="17"/>
      <c r="H6" s="17"/>
      <c r="I6" s="17"/>
      <c r="J6" s="17"/>
    </row>
    <row r="7" spans="1:11" ht="18.75" customHeight="1" x14ac:dyDescent="0.2">
      <c r="A7" s="7" t="s">
        <v>5</v>
      </c>
      <c r="B7" s="7" t="s">
        <v>159</v>
      </c>
    </row>
    <row r="8" spans="1:11" ht="21.6" customHeight="1" x14ac:dyDescent="0.2">
      <c r="A8" s="54"/>
      <c r="B8" s="260" t="s">
        <v>217</v>
      </c>
      <c r="C8" s="261"/>
      <c r="D8" s="261"/>
      <c r="E8" s="261"/>
      <c r="F8" s="261"/>
      <c r="G8" s="261"/>
      <c r="H8" s="261"/>
      <c r="I8" s="269"/>
      <c r="J8" s="270"/>
      <c r="K8" s="7" t="str">
        <f>IF(B8="","入力してください","")</f>
        <v/>
      </c>
    </row>
    <row r="9" spans="1:11" ht="21.6" customHeight="1" x14ac:dyDescent="0.2">
      <c r="A9" s="54"/>
      <c r="B9" s="271"/>
      <c r="C9" s="272"/>
      <c r="D9" s="272"/>
      <c r="E9" s="272"/>
      <c r="F9" s="272"/>
      <c r="G9" s="272"/>
      <c r="H9" s="272"/>
      <c r="I9" s="272"/>
      <c r="J9" s="273"/>
    </row>
    <row r="10" spans="1:11" ht="21.6" customHeight="1" x14ac:dyDescent="0.2">
      <c r="A10" s="54"/>
      <c r="B10" s="271"/>
      <c r="C10" s="272"/>
      <c r="D10" s="272"/>
      <c r="E10" s="272"/>
      <c r="F10" s="272"/>
      <c r="G10" s="272"/>
      <c r="H10" s="272"/>
      <c r="I10" s="272"/>
      <c r="J10" s="273"/>
    </row>
    <row r="11" spans="1:11" ht="21.6" customHeight="1" x14ac:dyDescent="0.2">
      <c r="A11" s="54"/>
      <c r="B11" s="271"/>
      <c r="C11" s="272"/>
      <c r="D11" s="272"/>
      <c r="E11" s="272"/>
      <c r="F11" s="272"/>
      <c r="G11" s="272"/>
      <c r="H11" s="272"/>
      <c r="I11" s="272"/>
      <c r="J11" s="273"/>
    </row>
    <row r="12" spans="1:11" ht="21.6" customHeight="1" x14ac:dyDescent="0.2">
      <c r="A12" s="54"/>
      <c r="B12" s="274"/>
      <c r="C12" s="275"/>
      <c r="D12" s="275"/>
      <c r="E12" s="275"/>
      <c r="F12" s="275"/>
      <c r="G12" s="275"/>
      <c r="H12" s="275"/>
      <c r="I12" s="275"/>
      <c r="J12" s="276"/>
    </row>
    <row r="13" spans="1:11" ht="7.5" customHeight="1" x14ac:dyDescent="0.2">
      <c r="A13" s="54"/>
      <c r="B13" s="54"/>
      <c r="C13" s="54"/>
      <c r="D13" s="54"/>
      <c r="E13" s="54"/>
      <c r="F13" s="54"/>
      <c r="G13" s="54"/>
      <c r="H13" s="54"/>
      <c r="I13" s="54"/>
      <c r="J13" s="54"/>
    </row>
    <row r="14" spans="1:11" ht="18.75" customHeight="1" x14ac:dyDescent="0.2">
      <c r="A14" s="91" t="s">
        <v>160</v>
      </c>
      <c r="B14" s="91" t="s">
        <v>161</v>
      </c>
      <c r="C14" s="91"/>
      <c r="D14" s="91"/>
      <c r="E14" s="91"/>
      <c r="F14" s="91"/>
      <c r="G14" s="91"/>
      <c r="H14" s="91"/>
      <c r="I14" s="91"/>
      <c r="J14" s="91"/>
    </row>
    <row r="15" spans="1:11" ht="18.75" customHeight="1" x14ac:dyDescent="0.2">
      <c r="A15" s="54"/>
      <c r="B15" s="260" t="s">
        <v>207</v>
      </c>
      <c r="C15" s="261"/>
      <c r="D15" s="261"/>
      <c r="E15" s="261"/>
      <c r="F15" s="261"/>
      <c r="G15" s="261"/>
      <c r="H15" s="261"/>
      <c r="I15" s="269"/>
      <c r="J15" s="270"/>
      <c r="K15" s="7" t="str">
        <f>IF(B15="","入力してください","")</f>
        <v/>
      </c>
    </row>
    <row r="16" spans="1:11" ht="18.75" customHeight="1" x14ac:dyDescent="0.2">
      <c r="A16" s="54"/>
      <c r="B16" s="271"/>
      <c r="C16" s="272"/>
      <c r="D16" s="272"/>
      <c r="E16" s="272"/>
      <c r="F16" s="272"/>
      <c r="G16" s="272"/>
      <c r="H16" s="272"/>
      <c r="I16" s="272"/>
      <c r="J16" s="273"/>
    </row>
    <row r="17" spans="1:11" ht="18.75" customHeight="1" x14ac:dyDescent="0.2">
      <c r="A17" s="54"/>
      <c r="B17" s="271"/>
      <c r="C17" s="272"/>
      <c r="D17" s="272"/>
      <c r="E17" s="272"/>
      <c r="F17" s="272"/>
      <c r="G17" s="272"/>
      <c r="H17" s="272"/>
      <c r="I17" s="272"/>
      <c r="J17" s="273"/>
    </row>
    <row r="18" spans="1:11" ht="18.75" customHeight="1" x14ac:dyDescent="0.2">
      <c r="A18" s="54"/>
      <c r="B18" s="271"/>
      <c r="C18" s="272"/>
      <c r="D18" s="272"/>
      <c r="E18" s="272"/>
      <c r="F18" s="272"/>
      <c r="G18" s="272"/>
      <c r="H18" s="272"/>
      <c r="I18" s="272"/>
      <c r="J18" s="273"/>
    </row>
    <row r="19" spans="1:11" ht="18.75" customHeight="1" x14ac:dyDescent="0.2">
      <c r="A19" s="54"/>
      <c r="B19" s="271"/>
      <c r="C19" s="272"/>
      <c r="D19" s="272"/>
      <c r="E19" s="272"/>
      <c r="F19" s="272"/>
      <c r="G19" s="272"/>
      <c r="H19" s="272"/>
      <c r="I19" s="272"/>
      <c r="J19" s="273"/>
    </row>
    <row r="20" spans="1:11" ht="18.75" customHeight="1" x14ac:dyDescent="0.2">
      <c r="A20" s="54"/>
      <c r="B20" s="271"/>
      <c r="C20" s="272"/>
      <c r="D20" s="272"/>
      <c r="E20" s="272"/>
      <c r="F20" s="272"/>
      <c r="G20" s="272"/>
      <c r="H20" s="272"/>
      <c r="I20" s="272"/>
      <c r="J20" s="273"/>
    </row>
    <row r="21" spans="1:11" ht="18.75" customHeight="1" x14ac:dyDescent="0.2">
      <c r="A21" s="54"/>
      <c r="B21" s="271"/>
      <c r="C21" s="272"/>
      <c r="D21" s="272"/>
      <c r="E21" s="272"/>
      <c r="F21" s="272"/>
      <c r="G21" s="272"/>
      <c r="H21" s="272"/>
      <c r="I21" s="272"/>
      <c r="J21" s="273"/>
    </row>
    <row r="22" spans="1:11" ht="18.75" customHeight="1" x14ac:dyDescent="0.2">
      <c r="A22" s="54"/>
      <c r="B22" s="271"/>
      <c r="C22" s="272"/>
      <c r="D22" s="272"/>
      <c r="E22" s="272"/>
      <c r="F22" s="272"/>
      <c r="G22" s="272"/>
      <c r="H22" s="272"/>
      <c r="I22" s="272"/>
      <c r="J22" s="273"/>
    </row>
    <row r="23" spans="1:11" ht="18.75" customHeight="1" x14ac:dyDescent="0.2">
      <c r="A23" s="54"/>
      <c r="B23" s="271"/>
      <c r="C23" s="272"/>
      <c r="D23" s="272"/>
      <c r="E23" s="272"/>
      <c r="F23" s="272"/>
      <c r="G23" s="272"/>
      <c r="H23" s="272"/>
      <c r="I23" s="272"/>
      <c r="J23" s="273"/>
    </row>
    <row r="24" spans="1:11" ht="18.75" customHeight="1" x14ac:dyDescent="0.2">
      <c r="A24" s="54"/>
      <c r="B24" s="271"/>
      <c r="C24" s="272"/>
      <c r="D24" s="272"/>
      <c r="E24" s="272"/>
      <c r="F24" s="272"/>
      <c r="G24" s="272"/>
      <c r="H24" s="272"/>
      <c r="I24" s="272"/>
      <c r="J24" s="273"/>
    </row>
    <row r="25" spans="1:11" ht="18.75" customHeight="1" x14ac:dyDescent="0.2">
      <c r="A25" s="54"/>
      <c r="B25" s="274"/>
      <c r="C25" s="275"/>
      <c r="D25" s="275"/>
      <c r="E25" s="275"/>
      <c r="F25" s="275"/>
      <c r="G25" s="275"/>
      <c r="H25" s="275"/>
      <c r="I25" s="275"/>
      <c r="J25" s="276"/>
    </row>
    <row r="26" spans="1:11" ht="7.5" customHeight="1" x14ac:dyDescent="0.2">
      <c r="A26" s="95"/>
      <c r="B26" s="95"/>
      <c r="C26" s="95"/>
      <c r="D26" s="95"/>
      <c r="E26" s="95"/>
      <c r="F26" s="95"/>
      <c r="G26" s="95"/>
      <c r="H26" s="95"/>
      <c r="I26" s="95"/>
      <c r="J26" s="95"/>
    </row>
    <row r="27" spans="1:11" ht="18.75" customHeight="1" x14ac:dyDescent="0.2">
      <c r="A27" s="7" t="s">
        <v>11</v>
      </c>
      <c r="B27" s="7" t="s">
        <v>162</v>
      </c>
    </row>
    <row r="28" spans="1:11" s="17" customFormat="1" ht="18.75" customHeight="1" x14ac:dyDescent="0.2">
      <c r="B28" s="70" t="s">
        <v>163</v>
      </c>
      <c r="C28" s="71">
        <f>'様式３　履修者等数の実績'!R30</f>
        <v>0.20523138832997989</v>
      </c>
      <c r="D28" s="72"/>
      <c r="E28" s="72" t="s">
        <v>164</v>
      </c>
      <c r="F28" s="71">
        <v>0.42</v>
      </c>
      <c r="G28" s="72"/>
      <c r="H28" s="72" t="s">
        <v>165</v>
      </c>
      <c r="I28" s="73">
        <v>0.67</v>
      </c>
      <c r="J28" s="74"/>
      <c r="K28" s="7"/>
    </row>
    <row r="29" spans="1:11" s="17" customFormat="1" ht="18.75" customHeight="1" x14ac:dyDescent="0.2">
      <c r="B29" s="60" t="s">
        <v>166</v>
      </c>
      <c r="C29" s="75">
        <v>0.92</v>
      </c>
      <c r="D29" s="61"/>
      <c r="E29" s="61" t="s">
        <v>167</v>
      </c>
      <c r="F29" s="75">
        <v>0.98</v>
      </c>
      <c r="G29" s="61"/>
      <c r="H29" s="61" t="s">
        <v>168</v>
      </c>
      <c r="I29" s="76">
        <f>'様式３　履修者等数の実績'!D30</f>
        <v>1988</v>
      </c>
      <c r="J29" s="77"/>
      <c r="K29" s="7"/>
    </row>
    <row r="30" spans="1:11" ht="18.75" customHeight="1" x14ac:dyDescent="0.2">
      <c r="A30" s="7"/>
      <c r="B30" s="181" t="s">
        <v>169</v>
      </c>
      <c r="C30" s="182"/>
      <c r="D30" s="182"/>
      <c r="E30" s="182"/>
      <c r="F30" s="182"/>
      <c r="G30" s="182"/>
      <c r="H30" s="182"/>
      <c r="I30" s="182"/>
      <c r="J30" s="183"/>
    </row>
    <row r="31" spans="1:11" ht="18.75" customHeight="1" x14ac:dyDescent="0.2">
      <c r="A31" s="7"/>
      <c r="B31" s="278" t="s">
        <v>170</v>
      </c>
      <c r="C31" s="279"/>
      <c r="D31" s="279"/>
      <c r="E31" s="279"/>
      <c r="F31" s="279"/>
      <c r="G31" s="279"/>
      <c r="H31" s="279"/>
      <c r="I31" s="279"/>
      <c r="J31" s="280"/>
      <c r="K31" s="7" t="str">
        <f>IF(B31="","入力してください","")</f>
        <v/>
      </c>
    </row>
    <row r="32" spans="1:11" ht="18.75" customHeight="1" x14ac:dyDescent="0.2">
      <c r="A32" s="7"/>
      <c r="B32" s="263"/>
      <c r="C32" s="264"/>
      <c r="D32" s="264"/>
      <c r="E32" s="264"/>
      <c r="F32" s="264"/>
      <c r="G32" s="264"/>
      <c r="H32" s="264"/>
      <c r="I32" s="264"/>
      <c r="J32" s="265"/>
    </row>
    <row r="33" spans="1:11" ht="18.75" customHeight="1" x14ac:dyDescent="0.2">
      <c r="A33" s="7"/>
      <c r="B33" s="263"/>
      <c r="C33" s="264"/>
      <c r="D33" s="264"/>
      <c r="E33" s="264"/>
      <c r="F33" s="264"/>
      <c r="G33" s="264"/>
      <c r="H33" s="264"/>
      <c r="I33" s="264"/>
      <c r="J33" s="265"/>
    </row>
    <row r="34" spans="1:11" ht="18.75" customHeight="1" x14ac:dyDescent="0.2">
      <c r="A34" s="7"/>
      <c r="B34" s="263"/>
      <c r="C34" s="264"/>
      <c r="D34" s="264"/>
      <c r="E34" s="264"/>
      <c r="F34" s="264"/>
      <c r="G34" s="264"/>
      <c r="H34" s="264"/>
      <c r="I34" s="264"/>
      <c r="J34" s="265"/>
    </row>
    <row r="35" spans="1:11" ht="18.75" customHeight="1" x14ac:dyDescent="0.2">
      <c r="A35" s="7"/>
      <c r="B35" s="263"/>
      <c r="C35" s="264"/>
      <c r="D35" s="264"/>
      <c r="E35" s="264"/>
      <c r="F35" s="264"/>
      <c r="G35" s="264"/>
      <c r="H35" s="264"/>
      <c r="I35" s="264"/>
      <c r="J35" s="265"/>
    </row>
    <row r="36" spans="1:11" ht="15.6" customHeight="1" x14ac:dyDescent="0.2">
      <c r="A36" s="7"/>
      <c r="B36" s="263"/>
      <c r="C36" s="264"/>
      <c r="D36" s="264"/>
      <c r="E36" s="264"/>
      <c r="F36" s="264"/>
      <c r="G36" s="264"/>
      <c r="H36" s="264"/>
      <c r="I36" s="264"/>
      <c r="J36" s="265"/>
    </row>
    <row r="37" spans="1:11" ht="15.6" customHeight="1" x14ac:dyDescent="0.2">
      <c r="A37" s="7"/>
      <c r="B37" s="263"/>
      <c r="C37" s="264"/>
      <c r="D37" s="264"/>
      <c r="E37" s="264"/>
      <c r="F37" s="264"/>
      <c r="G37" s="264"/>
      <c r="H37" s="264"/>
      <c r="I37" s="264"/>
      <c r="J37" s="265"/>
    </row>
    <row r="38" spans="1:11" ht="15.6" customHeight="1" x14ac:dyDescent="0.2">
      <c r="A38" s="7"/>
      <c r="B38" s="263"/>
      <c r="C38" s="264"/>
      <c r="D38" s="264"/>
      <c r="E38" s="264"/>
      <c r="F38" s="264"/>
      <c r="G38" s="264"/>
      <c r="H38" s="264"/>
      <c r="I38" s="264"/>
      <c r="J38" s="265"/>
    </row>
    <row r="39" spans="1:11" ht="15.6" customHeight="1" x14ac:dyDescent="0.2">
      <c r="A39" s="7"/>
      <c r="B39" s="263"/>
      <c r="C39" s="264"/>
      <c r="D39" s="264"/>
      <c r="E39" s="264"/>
      <c r="F39" s="264"/>
      <c r="G39" s="264"/>
      <c r="H39" s="264"/>
      <c r="I39" s="264"/>
      <c r="J39" s="265"/>
    </row>
    <row r="40" spans="1:11" ht="15.6" customHeight="1" x14ac:dyDescent="0.2">
      <c r="A40" s="7"/>
      <c r="B40" s="263"/>
      <c r="C40" s="264"/>
      <c r="D40" s="264"/>
      <c r="E40" s="264"/>
      <c r="F40" s="264"/>
      <c r="G40" s="264"/>
      <c r="H40" s="264"/>
      <c r="I40" s="264"/>
      <c r="J40" s="265"/>
    </row>
    <row r="41" spans="1:11" ht="15.6" customHeight="1" x14ac:dyDescent="0.2">
      <c r="A41" s="7"/>
      <c r="B41" s="263"/>
      <c r="C41" s="264"/>
      <c r="D41" s="264"/>
      <c r="E41" s="264"/>
      <c r="F41" s="264"/>
      <c r="G41" s="264"/>
      <c r="H41" s="264"/>
      <c r="I41" s="264"/>
      <c r="J41" s="265"/>
    </row>
    <row r="42" spans="1:11" ht="15.6" customHeight="1" x14ac:dyDescent="0.2">
      <c r="A42" s="7"/>
      <c r="B42" s="263"/>
      <c r="C42" s="264"/>
      <c r="D42" s="264"/>
      <c r="E42" s="264"/>
      <c r="F42" s="264"/>
      <c r="G42" s="264"/>
      <c r="H42" s="264"/>
      <c r="I42" s="264"/>
      <c r="J42" s="265"/>
    </row>
    <row r="43" spans="1:11" ht="15.6" customHeight="1" x14ac:dyDescent="0.2">
      <c r="A43" s="95"/>
      <c r="B43" s="263"/>
      <c r="C43" s="264"/>
      <c r="D43" s="264"/>
      <c r="E43" s="264"/>
      <c r="F43" s="264"/>
      <c r="G43" s="264"/>
      <c r="H43" s="264"/>
      <c r="I43" s="264"/>
      <c r="J43" s="265"/>
    </row>
    <row r="44" spans="1:11" ht="15.6" customHeight="1" x14ac:dyDescent="0.2">
      <c r="A44" s="95"/>
      <c r="B44" s="266"/>
      <c r="C44" s="267"/>
      <c r="D44" s="267"/>
      <c r="E44" s="267"/>
      <c r="F44" s="267"/>
      <c r="G44" s="267"/>
      <c r="H44" s="267"/>
      <c r="I44" s="267"/>
      <c r="J44" s="268"/>
    </row>
    <row r="45" spans="1:11" ht="18.75" customHeight="1" x14ac:dyDescent="0.2">
      <c r="A45" s="91" t="s">
        <v>13</v>
      </c>
      <c r="B45" s="7" t="s">
        <v>171</v>
      </c>
      <c r="I45" s="91"/>
      <c r="J45" s="91"/>
    </row>
    <row r="46" spans="1:11" ht="18.75" customHeight="1" x14ac:dyDescent="0.2">
      <c r="A46" s="95"/>
      <c r="B46" s="260" t="s">
        <v>208</v>
      </c>
      <c r="C46" s="261"/>
      <c r="D46" s="261"/>
      <c r="E46" s="261"/>
      <c r="F46" s="261"/>
      <c r="G46" s="261"/>
      <c r="H46" s="261"/>
      <c r="I46" s="261"/>
      <c r="J46" s="262"/>
      <c r="K46" s="7" t="str">
        <f>IF(B46="","入力してください","")</f>
        <v/>
      </c>
    </row>
    <row r="47" spans="1:11" ht="18.75" customHeight="1" x14ac:dyDescent="0.2">
      <c r="A47" s="95"/>
      <c r="B47" s="263"/>
      <c r="C47" s="264"/>
      <c r="D47" s="264"/>
      <c r="E47" s="264"/>
      <c r="F47" s="264"/>
      <c r="G47" s="264"/>
      <c r="H47" s="264"/>
      <c r="I47" s="264"/>
      <c r="J47" s="265"/>
    </row>
    <row r="48" spans="1:11" ht="18.75" customHeight="1" x14ac:dyDescent="0.2">
      <c r="A48" s="95"/>
      <c r="B48" s="263"/>
      <c r="C48" s="264"/>
      <c r="D48" s="264"/>
      <c r="E48" s="264"/>
      <c r="F48" s="264"/>
      <c r="G48" s="264"/>
      <c r="H48" s="264"/>
      <c r="I48" s="264"/>
      <c r="J48" s="265"/>
    </row>
    <row r="49" spans="1:10" ht="18.75" customHeight="1" x14ac:dyDescent="0.2">
      <c r="A49" s="95"/>
      <c r="B49" s="263"/>
      <c r="C49" s="264"/>
      <c r="D49" s="264"/>
      <c r="E49" s="264"/>
      <c r="F49" s="264"/>
      <c r="G49" s="264"/>
      <c r="H49" s="264"/>
      <c r="I49" s="264"/>
      <c r="J49" s="265"/>
    </row>
    <row r="50" spans="1:10" ht="18.75" customHeight="1" x14ac:dyDescent="0.2">
      <c r="A50" s="95"/>
      <c r="B50" s="263"/>
      <c r="C50" s="264"/>
      <c r="D50" s="264"/>
      <c r="E50" s="264"/>
      <c r="F50" s="264"/>
      <c r="G50" s="264"/>
      <c r="H50" s="264"/>
      <c r="I50" s="264"/>
      <c r="J50" s="265"/>
    </row>
    <row r="51" spans="1:10" ht="18.75" customHeight="1" x14ac:dyDescent="0.2">
      <c r="A51" s="95"/>
      <c r="B51" s="263"/>
      <c r="C51" s="264"/>
      <c r="D51" s="264"/>
      <c r="E51" s="264"/>
      <c r="F51" s="264"/>
      <c r="G51" s="264"/>
      <c r="H51" s="264"/>
      <c r="I51" s="264"/>
      <c r="J51" s="265"/>
    </row>
    <row r="52" spans="1:10" ht="18.75" customHeight="1" x14ac:dyDescent="0.2">
      <c r="A52" s="95"/>
      <c r="B52" s="263"/>
      <c r="C52" s="264"/>
      <c r="D52" s="264"/>
      <c r="E52" s="264"/>
      <c r="F52" s="264"/>
      <c r="G52" s="264"/>
      <c r="H52" s="264"/>
      <c r="I52" s="264"/>
      <c r="J52" s="265"/>
    </row>
    <row r="53" spans="1:10" ht="18.75" customHeight="1" x14ac:dyDescent="0.2">
      <c r="A53" s="95"/>
      <c r="B53" s="263"/>
      <c r="C53" s="264"/>
      <c r="D53" s="264"/>
      <c r="E53" s="264"/>
      <c r="F53" s="264"/>
      <c r="G53" s="264"/>
      <c r="H53" s="264"/>
      <c r="I53" s="264"/>
      <c r="J53" s="265"/>
    </row>
    <row r="54" spans="1:10" ht="18.75" customHeight="1" x14ac:dyDescent="0.2">
      <c r="A54" s="95"/>
      <c r="B54" s="263"/>
      <c r="C54" s="264"/>
      <c r="D54" s="264"/>
      <c r="E54" s="264"/>
      <c r="F54" s="264"/>
      <c r="G54" s="264"/>
      <c r="H54" s="264"/>
      <c r="I54" s="264"/>
      <c r="J54" s="265"/>
    </row>
    <row r="55" spans="1:10" ht="18.75" customHeight="1" x14ac:dyDescent="0.2">
      <c r="A55" s="95"/>
      <c r="B55" s="263"/>
      <c r="C55" s="264"/>
      <c r="D55" s="264"/>
      <c r="E55" s="264"/>
      <c r="F55" s="264"/>
      <c r="G55" s="264"/>
      <c r="H55" s="264"/>
      <c r="I55" s="264"/>
      <c r="J55" s="265"/>
    </row>
    <row r="56" spans="1:10" ht="18.75" customHeight="1" x14ac:dyDescent="0.2">
      <c r="A56" s="95"/>
      <c r="B56" s="263"/>
      <c r="C56" s="264"/>
      <c r="D56" s="264"/>
      <c r="E56" s="264"/>
      <c r="F56" s="264"/>
      <c r="G56" s="264"/>
      <c r="H56" s="264"/>
      <c r="I56" s="264"/>
      <c r="J56" s="265"/>
    </row>
    <row r="57" spans="1:10" ht="18.75" customHeight="1" x14ac:dyDescent="0.2">
      <c r="A57" s="95"/>
      <c r="B57" s="263"/>
      <c r="C57" s="264"/>
      <c r="D57" s="264"/>
      <c r="E57" s="264"/>
      <c r="F57" s="264"/>
      <c r="G57" s="264"/>
      <c r="H57" s="264"/>
      <c r="I57" s="264"/>
      <c r="J57" s="265"/>
    </row>
    <row r="58" spans="1:10" ht="18.75" customHeight="1" x14ac:dyDescent="0.2">
      <c r="A58" s="95"/>
      <c r="B58" s="263"/>
      <c r="C58" s="264"/>
      <c r="D58" s="264"/>
      <c r="E58" s="264"/>
      <c r="F58" s="264"/>
      <c r="G58" s="264"/>
      <c r="H58" s="264"/>
      <c r="I58" s="264"/>
      <c r="J58" s="265"/>
    </row>
    <row r="59" spans="1:10" ht="18.75" customHeight="1" x14ac:dyDescent="0.2">
      <c r="A59" s="95"/>
      <c r="B59" s="263"/>
      <c r="C59" s="264"/>
      <c r="D59" s="264"/>
      <c r="E59" s="264"/>
      <c r="F59" s="264"/>
      <c r="G59" s="264"/>
      <c r="H59" s="264"/>
      <c r="I59" s="264"/>
      <c r="J59" s="265"/>
    </row>
    <row r="60" spans="1:10" ht="18.75" customHeight="1" x14ac:dyDescent="0.2">
      <c r="A60" s="95"/>
      <c r="B60" s="263"/>
      <c r="C60" s="264"/>
      <c r="D60" s="264"/>
      <c r="E60" s="264"/>
      <c r="F60" s="264"/>
      <c r="G60" s="264"/>
      <c r="H60" s="264"/>
      <c r="I60" s="264"/>
      <c r="J60" s="265"/>
    </row>
    <row r="61" spans="1:10" ht="18.75" customHeight="1" x14ac:dyDescent="0.2">
      <c r="A61" s="95"/>
      <c r="B61" s="263"/>
      <c r="C61" s="264"/>
      <c r="D61" s="264"/>
      <c r="E61" s="264"/>
      <c r="F61" s="264"/>
      <c r="G61" s="264"/>
      <c r="H61" s="264"/>
      <c r="I61" s="264"/>
      <c r="J61" s="265"/>
    </row>
    <row r="62" spans="1:10" ht="18.75" customHeight="1" x14ac:dyDescent="0.2">
      <c r="A62" s="95"/>
      <c r="B62" s="263"/>
      <c r="C62" s="264"/>
      <c r="D62" s="264"/>
      <c r="E62" s="264"/>
      <c r="F62" s="264"/>
      <c r="G62" s="264"/>
      <c r="H62" s="264"/>
      <c r="I62" s="264"/>
      <c r="J62" s="265"/>
    </row>
    <row r="63" spans="1:10" ht="18.75" customHeight="1" x14ac:dyDescent="0.2">
      <c r="A63" s="95"/>
      <c r="B63" s="263"/>
      <c r="C63" s="264"/>
      <c r="D63" s="264"/>
      <c r="E63" s="264"/>
      <c r="F63" s="264"/>
      <c r="G63" s="264"/>
      <c r="H63" s="264"/>
      <c r="I63" s="264"/>
      <c r="J63" s="265"/>
    </row>
    <row r="64" spans="1:10" ht="18.75" customHeight="1" x14ac:dyDescent="0.2">
      <c r="A64" s="95"/>
      <c r="B64" s="263"/>
      <c r="C64" s="264"/>
      <c r="D64" s="264"/>
      <c r="E64" s="264"/>
      <c r="F64" s="264"/>
      <c r="G64" s="264"/>
      <c r="H64" s="264"/>
      <c r="I64" s="264"/>
      <c r="J64" s="265"/>
    </row>
    <row r="65" spans="1:11" ht="18.75" customHeight="1" x14ac:dyDescent="0.2">
      <c r="A65" s="95"/>
      <c r="B65" s="263"/>
      <c r="C65" s="264"/>
      <c r="D65" s="264"/>
      <c r="E65" s="264"/>
      <c r="F65" s="264"/>
      <c r="G65" s="264"/>
      <c r="H65" s="264"/>
      <c r="I65" s="264"/>
      <c r="J65" s="265"/>
    </row>
    <row r="66" spans="1:11" ht="18.75" customHeight="1" x14ac:dyDescent="0.2">
      <c r="A66" s="95"/>
      <c r="B66" s="266"/>
      <c r="C66" s="267"/>
      <c r="D66" s="267"/>
      <c r="E66" s="267"/>
      <c r="F66" s="267"/>
      <c r="G66" s="267"/>
      <c r="H66" s="267"/>
      <c r="I66" s="267"/>
      <c r="J66" s="268"/>
    </row>
    <row r="67" spans="1:11" ht="7.5" customHeight="1" x14ac:dyDescent="0.2">
      <c r="A67" s="95"/>
      <c r="B67" s="95"/>
      <c r="C67" s="95"/>
      <c r="D67" s="95"/>
      <c r="E67" s="95"/>
      <c r="F67" s="95"/>
      <c r="G67" s="95"/>
      <c r="H67" s="95"/>
      <c r="I67" s="95"/>
      <c r="J67" s="95"/>
    </row>
    <row r="68" spans="1:11" ht="18.75" customHeight="1" x14ac:dyDescent="0.2">
      <c r="A68" s="7" t="s">
        <v>16</v>
      </c>
      <c r="B68" s="7" t="s">
        <v>172</v>
      </c>
    </row>
    <row r="69" spans="1:11" ht="18.75" customHeight="1" x14ac:dyDescent="0.2">
      <c r="A69" s="7"/>
      <c r="B69" s="260" t="s">
        <v>173</v>
      </c>
      <c r="C69" s="261"/>
      <c r="D69" s="261"/>
      <c r="E69" s="261"/>
      <c r="F69" s="261"/>
      <c r="G69" s="261"/>
      <c r="H69" s="261"/>
      <c r="I69" s="269"/>
      <c r="J69" s="270"/>
      <c r="K69" s="7" t="str">
        <f>IF(B69="","入力してください","")</f>
        <v/>
      </c>
    </row>
    <row r="70" spans="1:11" ht="18.75" customHeight="1" x14ac:dyDescent="0.2">
      <c r="A70" s="7"/>
      <c r="B70" s="271"/>
      <c r="C70" s="272"/>
      <c r="D70" s="272"/>
      <c r="E70" s="272"/>
      <c r="F70" s="272"/>
      <c r="G70" s="272"/>
      <c r="H70" s="272"/>
      <c r="I70" s="272"/>
      <c r="J70" s="273"/>
    </row>
    <row r="71" spans="1:11" ht="18.75" customHeight="1" x14ac:dyDescent="0.2">
      <c r="A71" s="7"/>
      <c r="B71" s="271"/>
      <c r="C71" s="272"/>
      <c r="D71" s="272"/>
      <c r="E71" s="272"/>
      <c r="F71" s="272"/>
      <c r="G71" s="272"/>
      <c r="H71" s="272"/>
      <c r="I71" s="272"/>
      <c r="J71" s="273"/>
    </row>
    <row r="72" spans="1:11" ht="18.75" customHeight="1" x14ac:dyDescent="0.2">
      <c r="A72" s="7"/>
      <c r="B72" s="271"/>
      <c r="C72" s="272"/>
      <c r="D72" s="272"/>
      <c r="E72" s="272"/>
      <c r="F72" s="272"/>
      <c r="G72" s="272"/>
      <c r="H72" s="272"/>
      <c r="I72" s="272"/>
      <c r="J72" s="273"/>
    </row>
    <row r="73" spans="1:11" ht="18.75" customHeight="1" x14ac:dyDescent="0.2">
      <c r="A73" s="7"/>
      <c r="B73" s="271"/>
      <c r="C73" s="272"/>
      <c r="D73" s="272"/>
      <c r="E73" s="272"/>
      <c r="F73" s="272"/>
      <c r="G73" s="272"/>
      <c r="H73" s="272"/>
      <c r="I73" s="272"/>
      <c r="J73" s="273"/>
    </row>
    <row r="74" spans="1:11" ht="18.75" customHeight="1" x14ac:dyDescent="0.2">
      <c r="A74" s="7"/>
      <c r="B74" s="271"/>
      <c r="C74" s="272"/>
      <c r="D74" s="272"/>
      <c r="E74" s="272"/>
      <c r="F74" s="272"/>
      <c r="G74" s="272"/>
      <c r="H74" s="272"/>
      <c r="I74" s="272"/>
      <c r="J74" s="273"/>
    </row>
    <row r="75" spans="1:11" ht="18.75" customHeight="1" x14ac:dyDescent="0.2">
      <c r="A75" s="7"/>
      <c r="B75" s="271"/>
      <c r="C75" s="272"/>
      <c r="D75" s="272"/>
      <c r="E75" s="272"/>
      <c r="F75" s="272"/>
      <c r="G75" s="272"/>
      <c r="H75" s="272"/>
      <c r="I75" s="272"/>
      <c r="J75" s="273"/>
    </row>
    <row r="76" spans="1:11" ht="18.75" customHeight="1" x14ac:dyDescent="0.2">
      <c r="A76" s="7"/>
      <c r="B76" s="271"/>
      <c r="C76" s="272"/>
      <c r="D76" s="272"/>
      <c r="E76" s="272"/>
      <c r="F76" s="272"/>
      <c r="G76" s="272"/>
      <c r="H76" s="272"/>
      <c r="I76" s="272"/>
      <c r="J76" s="273"/>
    </row>
    <row r="77" spans="1:11" ht="18.75" customHeight="1" x14ac:dyDescent="0.2">
      <c r="A77" s="7"/>
      <c r="B77" s="271"/>
      <c r="C77" s="272"/>
      <c r="D77" s="272"/>
      <c r="E77" s="272"/>
      <c r="F77" s="272"/>
      <c r="G77" s="272"/>
      <c r="H77" s="272"/>
      <c r="I77" s="272"/>
      <c r="J77" s="273"/>
    </row>
    <row r="78" spans="1:11" ht="13.5" customHeight="1" x14ac:dyDescent="0.2">
      <c r="A78" s="7"/>
      <c r="B78" s="271"/>
      <c r="C78" s="272"/>
      <c r="D78" s="272"/>
      <c r="E78" s="272"/>
      <c r="F78" s="272"/>
      <c r="G78" s="272"/>
      <c r="H78" s="272"/>
      <c r="I78" s="272"/>
      <c r="J78" s="273"/>
    </row>
    <row r="79" spans="1:11" ht="13.5" customHeight="1" x14ac:dyDescent="0.2">
      <c r="A79" s="7"/>
      <c r="B79" s="271"/>
      <c r="C79" s="272"/>
      <c r="D79" s="272"/>
      <c r="E79" s="272"/>
      <c r="F79" s="272"/>
      <c r="G79" s="272"/>
      <c r="H79" s="272"/>
      <c r="I79" s="272"/>
      <c r="J79" s="273"/>
    </row>
    <row r="80" spans="1:11" ht="13.5" customHeight="1" x14ac:dyDescent="0.2">
      <c r="A80" s="7"/>
      <c r="B80" s="271"/>
      <c r="C80" s="272"/>
      <c r="D80" s="272"/>
      <c r="E80" s="272"/>
      <c r="F80" s="272"/>
      <c r="G80" s="272"/>
      <c r="H80" s="272"/>
      <c r="I80" s="272"/>
      <c r="J80" s="273"/>
    </row>
    <row r="81" spans="1:11" ht="13.5" customHeight="1" x14ac:dyDescent="0.2">
      <c r="A81" s="7"/>
      <c r="B81" s="271"/>
      <c r="C81" s="272"/>
      <c r="D81" s="272"/>
      <c r="E81" s="272"/>
      <c r="F81" s="272"/>
      <c r="G81" s="272"/>
      <c r="H81" s="272"/>
      <c r="I81" s="272"/>
      <c r="J81" s="273"/>
    </row>
    <row r="82" spans="1:11" ht="13.5" customHeight="1" x14ac:dyDescent="0.2">
      <c r="A82" s="7"/>
      <c r="B82" s="271"/>
      <c r="C82" s="272"/>
      <c r="D82" s="272"/>
      <c r="E82" s="272"/>
      <c r="F82" s="272"/>
      <c r="G82" s="272"/>
      <c r="H82" s="272"/>
      <c r="I82" s="272"/>
      <c r="J82" s="273"/>
    </row>
    <row r="83" spans="1:11" ht="18.75" customHeight="1" x14ac:dyDescent="0.2">
      <c r="A83" s="7"/>
      <c r="B83" s="271"/>
      <c r="C83" s="272"/>
      <c r="D83" s="272"/>
      <c r="E83" s="272"/>
      <c r="F83" s="272"/>
      <c r="G83" s="272"/>
      <c r="H83" s="272"/>
      <c r="I83" s="272"/>
      <c r="J83" s="273"/>
    </row>
    <row r="84" spans="1:11" ht="18.75" customHeight="1" x14ac:dyDescent="0.2">
      <c r="A84" s="7"/>
      <c r="B84" s="271"/>
      <c r="C84" s="272"/>
      <c r="D84" s="272"/>
      <c r="E84" s="272"/>
      <c r="F84" s="272"/>
      <c r="G84" s="272"/>
      <c r="H84" s="272"/>
      <c r="I84" s="272"/>
      <c r="J84" s="273"/>
    </row>
    <row r="85" spans="1:11" ht="18.75" customHeight="1" x14ac:dyDescent="0.2">
      <c r="A85" s="95"/>
      <c r="B85" s="271"/>
      <c r="C85" s="272"/>
      <c r="D85" s="272"/>
      <c r="E85" s="272"/>
      <c r="F85" s="272"/>
      <c r="G85" s="272"/>
      <c r="H85" s="272"/>
      <c r="I85" s="272"/>
      <c r="J85" s="273"/>
    </row>
    <row r="86" spans="1:11" ht="18.75" customHeight="1" x14ac:dyDescent="0.2">
      <c r="A86" s="95"/>
      <c r="B86" s="274"/>
      <c r="C86" s="275"/>
      <c r="D86" s="275"/>
      <c r="E86" s="275"/>
      <c r="F86" s="275"/>
      <c r="G86" s="275"/>
      <c r="H86" s="275"/>
      <c r="I86" s="275"/>
      <c r="J86" s="276"/>
    </row>
    <row r="87" spans="1:11" ht="7.5" customHeight="1" x14ac:dyDescent="0.2">
      <c r="A87" s="95"/>
      <c r="B87" s="95"/>
      <c r="C87" s="95"/>
      <c r="D87" s="95"/>
      <c r="E87" s="95"/>
      <c r="F87" s="95"/>
      <c r="G87" s="95"/>
      <c r="H87" s="95"/>
      <c r="I87" s="95"/>
      <c r="J87" s="95"/>
    </row>
    <row r="88" spans="1:11" ht="18.75" customHeight="1" x14ac:dyDescent="0.2">
      <c r="A88" s="7" t="s">
        <v>174</v>
      </c>
      <c r="B88" s="7" t="s">
        <v>175</v>
      </c>
    </row>
    <row r="89" spans="1:11" ht="18.75" customHeight="1" x14ac:dyDescent="0.2">
      <c r="A89" s="7"/>
      <c r="B89" s="260" t="s">
        <v>215</v>
      </c>
      <c r="C89" s="261"/>
      <c r="D89" s="261"/>
      <c r="E89" s="261"/>
      <c r="F89" s="261"/>
      <c r="G89" s="261"/>
      <c r="H89" s="261"/>
      <c r="I89" s="269"/>
      <c r="J89" s="270"/>
    </row>
    <row r="90" spans="1:11" ht="18.75" customHeight="1" x14ac:dyDescent="0.2">
      <c r="A90" s="7"/>
      <c r="B90" s="271"/>
      <c r="C90" s="272"/>
      <c r="D90" s="272"/>
      <c r="E90" s="272"/>
      <c r="F90" s="272"/>
      <c r="G90" s="272"/>
      <c r="H90" s="272"/>
      <c r="I90" s="272"/>
      <c r="J90" s="273"/>
    </row>
    <row r="91" spans="1:11" ht="18.75" customHeight="1" x14ac:dyDescent="0.2">
      <c r="A91" s="7"/>
      <c r="B91" s="271"/>
      <c r="C91" s="272"/>
      <c r="D91" s="272"/>
      <c r="E91" s="272"/>
      <c r="F91" s="272"/>
      <c r="G91" s="272"/>
      <c r="H91" s="272"/>
      <c r="I91" s="272"/>
      <c r="J91" s="273"/>
      <c r="K91" s="7" t="str">
        <f>IF(B89="","入力してください","")</f>
        <v/>
      </c>
    </row>
    <row r="92" spans="1:11" ht="18.75" customHeight="1" x14ac:dyDescent="0.2">
      <c r="A92" s="7"/>
      <c r="B92" s="271"/>
      <c r="C92" s="272"/>
      <c r="D92" s="272"/>
      <c r="E92" s="272"/>
      <c r="F92" s="272"/>
      <c r="G92" s="272"/>
      <c r="H92" s="272"/>
      <c r="I92" s="272"/>
      <c r="J92" s="273"/>
    </row>
    <row r="93" spans="1:11" ht="18.75" customHeight="1" x14ac:dyDescent="0.2">
      <c r="A93" s="7"/>
      <c r="B93" s="271"/>
      <c r="C93" s="272"/>
      <c r="D93" s="272"/>
      <c r="E93" s="272"/>
      <c r="F93" s="272"/>
      <c r="G93" s="272"/>
      <c r="H93" s="272"/>
      <c r="I93" s="272"/>
      <c r="J93" s="273"/>
    </row>
    <row r="94" spans="1:11" ht="18.75" customHeight="1" x14ac:dyDescent="0.2">
      <c r="A94" s="7"/>
      <c r="B94" s="271"/>
      <c r="C94" s="272"/>
      <c r="D94" s="272"/>
      <c r="E94" s="272"/>
      <c r="F94" s="272"/>
      <c r="G94" s="272"/>
      <c r="H94" s="272"/>
      <c r="I94" s="272"/>
      <c r="J94" s="273"/>
    </row>
    <row r="95" spans="1:11" ht="18.75" customHeight="1" x14ac:dyDescent="0.2">
      <c r="A95" s="7"/>
      <c r="B95" s="271"/>
      <c r="C95" s="272"/>
      <c r="D95" s="272"/>
      <c r="E95" s="272"/>
      <c r="F95" s="272"/>
      <c r="G95" s="272"/>
      <c r="H95" s="272"/>
      <c r="I95" s="272"/>
      <c r="J95" s="273"/>
    </row>
    <row r="96" spans="1:11" ht="18.75" customHeight="1" x14ac:dyDescent="0.2">
      <c r="A96" s="7"/>
      <c r="B96" s="271"/>
      <c r="C96" s="272"/>
      <c r="D96" s="272"/>
      <c r="E96" s="272"/>
      <c r="F96" s="272"/>
      <c r="G96" s="272"/>
      <c r="H96" s="272"/>
      <c r="I96" s="272"/>
      <c r="J96" s="273"/>
    </row>
    <row r="97" spans="1:10" ht="18.75" customHeight="1" x14ac:dyDescent="0.2">
      <c r="A97" s="7"/>
      <c r="B97" s="271"/>
      <c r="C97" s="272"/>
      <c r="D97" s="272"/>
      <c r="E97" s="272"/>
      <c r="F97" s="272"/>
      <c r="G97" s="272"/>
      <c r="H97" s="272"/>
      <c r="I97" s="272"/>
      <c r="J97" s="273"/>
    </row>
    <row r="98" spans="1:10" ht="18.75" customHeight="1" x14ac:dyDescent="0.2">
      <c r="A98" s="7"/>
      <c r="B98" s="271"/>
      <c r="C98" s="272"/>
      <c r="D98" s="272"/>
      <c r="E98" s="272"/>
      <c r="F98" s="272"/>
      <c r="G98" s="272"/>
      <c r="H98" s="272"/>
      <c r="I98" s="272"/>
      <c r="J98" s="273"/>
    </row>
    <row r="99" spans="1:10" ht="18.75" customHeight="1" x14ac:dyDescent="0.2">
      <c r="A99" s="7"/>
      <c r="B99" s="271"/>
      <c r="C99" s="272"/>
      <c r="D99" s="272"/>
      <c r="E99" s="272"/>
      <c r="F99" s="272"/>
      <c r="G99" s="272"/>
      <c r="H99" s="272"/>
      <c r="I99" s="272"/>
      <c r="J99" s="273"/>
    </row>
    <row r="100" spans="1:10" ht="18.75" customHeight="1" x14ac:dyDescent="0.2">
      <c r="A100" s="7"/>
      <c r="B100" s="271"/>
      <c r="C100" s="272"/>
      <c r="D100" s="272"/>
      <c r="E100" s="272"/>
      <c r="F100" s="272"/>
      <c r="G100" s="272"/>
      <c r="H100" s="272"/>
      <c r="I100" s="272"/>
      <c r="J100" s="273"/>
    </row>
    <row r="101" spans="1:10" ht="18.75" customHeight="1" x14ac:dyDescent="0.2">
      <c r="A101" s="7"/>
      <c r="B101" s="271"/>
      <c r="C101" s="272"/>
      <c r="D101" s="272"/>
      <c r="E101" s="272"/>
      <c r="F101" s="272"/>
      <c r="G101" s="272"/>
      <c r="H101" s="272"/>
      <c r="I101" s="272"/>
      <c r="J101" s="273"/>
    </row>
    <row r="102" spans="1:10" ht="18.75" customHeight="1" x14ac:dyDescent="0.2">
      <c r="A102" s="7"/>
      <c r="B102" s="271"/>
      <c r="C102" s="272"/>
      <c r="D102" s="272"/>
      <c r="E102" s="272"/>
      <c r="F102" s="272"/>
      <c r="G102" s="272"/>
      <c r="H102" s="272"/>
      <c r="I102" s="272"/>
      <c r="J102" s="273"/>
    </row>
    <row r="103" spans="1:10" ht="18.75" customHeight="1" x14ac:dyDescent="0.2">
      <c r="A103" s="7"/>
      <c r="B103" s="271"/>
      <c r="C103" s="272"/>
      <c r="D103" s="272"/>
      <c r="E103" s="272"/>
      <c r="F103" s="272"/>
      <c r="G103" s="272"/>
      <c r="H103" s="272"/>
      <c r="I103" s="272"/>
      <c r="J103" s="273"/>
    </row>
    <row r="104" spans="1:10" ht="18.75" customHeight="1" x14ac:dyDescent="0.2">
      <c r="A104" s="7"/>
      <c r="B104" s="271"/>
      <c r="C104" s="272"/>
      <c r="D104" s="272"/>
      <c r="E104" s="272"/>
      <c r="F104" s="272"/>
      <c r="G104" s="272"/>
      <c r="H104" s="272"/>
      <c r="I104" s="272"/>
      <c r="J104" s="273"/>
    </row>
    <row r="105" spans="1:10" ht="18.75" customHeight="1" x14ac:dyDescent="0.2">
      <c r="A105" s="7"/>
      <c r="B105" s="271"/>
      <c r="C105" s="272"/>
      <c r="D105" s="272"/>
      <c r="E105" s="272"/>
      <c r="F105" s="272"/>
      <c r="G105" s="272"/>
      <c r="H105" s="272"/>
      <c r="I105" s="272"/>
      <c r="J105" s="273"/>
    </row>
    <row r="106" spans="1:10" ht="18.75" customHeight="1" x14ac:dyDescent="0.2">
      <c r="A106" s="7"/>
      <c r="B106" s="271"/>
      <c r="C106" s="272"/>
      <c r="D106" s="272"/>
      <c r="E106" s="272"/>
      <c r="F106" s="272"/>
      <c r="G106" s="272"/>
      <c r="H106" s="272"/>
      <c r="I106" s="272"/>
      <c r="J106" s="273"/>
    </row>
    <row r="107" spans="1:10" ht="18.75" customHeight="1" x14ac:dyDescent="0.2">
      <c r="A107" s="95"/>
      <c r="B107" s="271"/>
      <c r="C107" s="272"/>
      <c r="D107" s="272"/>
      <c r="E107" s="272"/>
      <c r="F107" s="272"/>
      <c r="G107" s="272"/>
      <c r="H107" s="272"/>
      <c r="I107" s="272"/>
      <c r="J107" s="273"/>
    </row>
    <row r="108" spans="1:10" ht="18.75" customHeight="1" x14ac:dyDescent="0.2">
      <c r="A108" s="95"/>
      <c r="B108" s="274"/>
      <c r="C108" s="275"/>
      <c r="D108" s="275"/>
      <c r="E108" s="275"/>
      <c r="F108" s="275"/>
      <c r="G108" s="275"/>
      <c r="H108" s="275"/>
      <c r="I108" s="275"/>
      <c r="J108" s="276"/>
    </row>
    <row r="109" spans="1:10" ht="7.5" customHeight="1" x14ac:dyDescent="0.2">
      <c r="A109" s="95"/>
      <c r="B109" s="95"/>
      <c r="C109" s="95"/>
      <c r="D109" s="95"/>
      <c r="E109" s="95"/>
      <c r="F109" s="95"/>
      <c r="G109" s="95"/>
      <c r="H109" s="95"/>
      <c r="I109" s="95"/>
      <c r="J109" s="95"/>
    </row>
    <row r="110" spans="1:10" ht="18.75" customHeight="1" x14ac:dyDescent="0.2">
      <c r="A110" s="7" t="s">
        <v>22</v>
      </c>
      <c r="B110" s="277" t="s">
        <v>176</v>
      </c>
      <c r="C110" s="277"/>
      <c r="D110" s="277"/>
      <c r="E110" s="277"/>
      <c r="F110" s="277"/>
      <c r="G110" s="277"/>
      <c r="H110" s="277"/>
      <c r="I110" s="277"/>
      <c r="J110" s="277"/>
    </row>
    <row r="111" spans="1:10" ht="18.75" customHeight="1" x14ac:dyDescent="0.2">
      <c r="A111" s="95"/>
      <c r="B111" s="260" t="s">
        <v>209</v>
      </c>
      <c r="C111" s="261"/>
      <c r="D111" s="261"/>
      <c r="E111" s="261"/>
      <c r="F111" s="261"/>
      <c r="G111" s="261"/>
      <c r="H111" s="261"/>
      <c r="I111" s="269"/>
      <c r="J111" s="270"/>
    </row>
    <row r="112" spans="1:10" ht="18.75" customHeight="1" x14ac:dyDescent="0.2">
      <c r="A112" s="95"/>
      <c r="B112" s="271"/>
      <c r="C112" s="272"/>
      <c r="D112" s="272"/>
      <c r="E112" s="272"/>
      <c r="F112" s="272"/>
      <c r="G112" s="272"/>
      <c r="H112" s="272"/>
      <c r="I112" s="272"/>
      <c r="J112" s="273"/>
    </row>
    <row r="113" spans="1:11" ht="18.75" customHeight="1" x14ac:dyDescent="0.2">
      <c r="A113" s="95"/>
      <c r="B113" s="271"/>
      <c r="C113" s="272"/>
      <c r="D113" s="272"/>
      <c r="E113" s="272"/>
      <c r="F113" s="272"/>
      <c r="G113" s="272"/>
      <c r="H113" s="272"/>
      <c r="I113" s="272"/>
      <c r="J113" s="273"/>
      <c r="K113" s="7" t="str">
        <f>IF(B111="","入力してください","")</f>
        <v/>
      </c>
    </row>
    <row r="114" spans="1:11" ht="18.75" customHeight="1" x14ac:dyDescent="0.2">
      <c r="A114" s="95"/>
      <c r="B114" s="271"/>
      <c r="C114" s="272"/>
      <c r="D114" s="272"/>
      <c r="E114" s="272"/>
      <c r="F114" s="272"/>
      <c r="G114" s="272"/>
      <c r="H114" s="272"/>
      <c r="I114" s="272"/>
      <c r="J114" s="273"/>
    </row>
    <row r="115" spans="1:11" ht="18.75" customHeight="1" x14ac:dyDescent="0.2">
      <c r="A115" s="95"/>
      <c r="B115" s="271"/>
      <c r="C115" s="272"/>
      <c r="D115" s="272"/>
      <c r="E115" s="272"/>
      <c r="F115" s="272"/>
      <c r="G115" s="272"/>
      <c r="H115" s="272"/>
      <c r="I115" s="272"/>
      <c r="J115" s="273"/>
    </row>
    <row r="116" spans="1:11" ht="18.75" customHeight="1" x14ac:dyDescent="0.2">
      <c r="A116" s="95"/>
      <c r="B116" s="271"/>
      <c r="C116" s="272"/>
      <c r="D116" s="272"/>
      <c r="E116" s="272"/>
      <c r="F116" s="272"/>
      <c r="G116" s="272"/>
      <c r="H116" s="272"/>
      <c r="I116" s="272"/>
      <c r="J116" s="273"/>
    </row>
    <row r="117" spans="1:11" ht="18.75" customHeight="1" x14ac:dyDescent="0.2">
      <c r="A117" s="95"/>
      <c r="B117" s="271"/>
      <c r="C117" s="272"/>
      <c r="D117" s="272"/>
      <c r="E117" s="272"/>
      <c r="F117" s="272"/>
      <c r="G117" s="272"/>
      <c r="H117" s="272"/>
      <c r="I117" s="272"/>
      <c r="J117" s="273"/>
    </row>
    <row r="118" spans="1:11" ht="18.75" customHeight="1" x14ac:dyDescent="0.2">
      <c r="A118" s="95"/>
      <c r="B118" s="271"/>
      <c r="C118" s="272"/>
      <c r="D118" s="272"/>
      <c r="E118" s="272"/>
      <c r="F118" s="272"/>
      <c r="G118" s="272"/>
      <c r="H118" s="272"/>
      <c r="I118" s="272"/>
      <c r="J118" s="273"/>
    </row>
    <row r="119" spans="1:11" ht="18.75" customHeight="1" x14ac:dyDescent="0.2">
      <c r="A119" s="95"/>
      <c r="B119" s="271"/>
      <c r="C119" s="272"/>
      <c r="D119" s="272"/>
      <c r="E119" s="272"/>
      <c r="F119" s="272"/>
      <c r="G119" s="272"/>
      <c r="H119" s="272"/>
      <c r="I119" s="272"/>
      <c r="J119" s="273"/>
    </row>
    <row r="120" spans="1:11" ht="14.1" customHeight="1" x14ac:dyDescent="0.2">
      <c r="A120" s="95"/>
      <c r="B120" s="271"/>
      <c r="C120" s="272"/>
      <c r="D120" s="272"/>
      <c r="E120" s="272"/>
      <c r="F120" s="272"/>
      <c r="G120" s="272"/>
      <c r="H120" s="272"/>
      <c r="I120" s="272"/>
      <c r="J120" s="273"/>
    </row>
    <row r="121" spans="1:11" ht="14.1" customHeight="1" x14ac:dyDescent="0.2">
      <c r="A121" s="95"/>
      <c r="B121" s="271"/>
      <c r="C121" s="272"/>
      <c r="D121" s="272"/>
      <c r="E121" s="272"/>
      <c r="F121" s="272"/>
      <c r="G121" s="272"/>
      <c r="H121" s="272"/>
      <c r="I121" s="272"/>
      <c r="J121" s="273"/>
    </row>
    <row r="122" spans="1:11" ht="14.1" customHeight="1" x14ac:dyDescent="0.2">
      <c r="A122" s="95"/>
      <c r="B122" s="271"/>
      <c r="C122" s="272"/>
      <c r="D122" s="272"/>
      <c r="E122" s="272"/>
      <c r="F122" s="272"/>
      <c r="G122" s="272"/>
      <c r="H122" s="272"/>
      <c r="I122" s="272"/>
      <c r="J122" s="273"/>
    </row>
    <row r="123" spans="1:11" ht="14.1" customHeight="1" x14ac:dyDescent="0.2">
      <c r="A123" s="95"/>
      <c r="B123" s="271"/>
      <c r="C123" s="272"/>
      <c r="D123" s="272"/>
      <c r="E123" s="272"/>
      <c r="F123" s="272"/>
      <c r="G123" s="272"/>
      <c r="H123" s="272"/>
      <c r="I123" s="272"/>
      <c r="J123" s="273"/>
    </row>
    <row r="124" spans="1:11" ht="18.75" customHeight="1" x14ac:dyDescent="0.2">
      <c r="A124" s="95"/>
      <c r="B124" s="271"/>
      <c r="C124" s="272"/>
      <c r="D124" s="272"/>
      <c r="E124" s="272"/>
      <c r="F124" s="272"/>
      <c r="G124" s="272"/>
      <c r="H124" s="272"/>
      <c r="I124" s="272"/>
      <c r="J124" s="273"/>
    </row>
    <row r="125" spans="1:11" ht="18.75" customHeight="1" x14ac:dyDescent="0.2">
      <c r="A125" s="95"/>
      <c r="B125" s="271"/>
      <c r="C125" s="272"/>
      <c r="D125" s="272"/>
      <c r="E125" s="272"/>
      <c r="F125" s="272"/>
      <c r="G125" s="272"/>
      <c r="H125" s="272"/>
      <c r="I125" s="272"/>
      <c r="J125" s="273"/>
    </row>
    <row r="126" spans="1:11" ht="18.75" customHeight="1" x14ac:dyDescent="0.2">
      <c r="A126" s="95"/>
      <c r="B126" s="271"/>
      <c r="C126" s="272"/>
      <c r="D126" s="272"/>
      <c r="E126" s="272"/>
      <c r="F126" s="272"/>
      <c r="G126" s="272"/>
      <c r="H126" s="272"/>
      <c r="I126" s="272"/>
      <c r="J126" s="273"/>
    </row>
    <row r="127" spans="1:11" ht="18.75" customHeight="1" x14ac:dyDescent="0.2">
      <c r="A127" s="95"/>
      <c r="B127" s="271"/>
      <c r="C127" s="272"/>
      <c r="D127" s="272"/>
      <c r="E127" s="272"/>
      <c r="F127" s="272"/>
      <c r="G127" s="272"/>
      <c r="H127" s="272"/>
      <c r="I127" s="272"/>
      <c r="J127" s="273"/>
    </row>
    <row r="128" spans="1:11" ht="18.75" customHeight="1" x14ac:dyDescent="0.2">
      <c r="A128" s="95"/>
      <c r="B128" s="271"/>
      <c r="C128" s="272"/>
      <c r="D128" s="272"/>
      <c r="E128" s="272"/>
      <c r="F128" s="272"/>
      <c r="G128" s="272"/>
      <c r="H128" s="272"/>
      <c r="I128" s="272"/>
      <c r="J128" s="273"/>
    </row>
    <row r="129" spans="1:10" ht="18.75" customHeight="1" x14ac:dyDescent="0.2">
      <c r="A129" s="95"/>
      <c r="B129" s="274"/>
      <c r="C129" s="275"/>
      <c r="D129" s="275"/>
      <c r="E129" s="275"/>
      <c r="F129" s="275"/>
      <c r="G129" s="275"/>
      <c r="H129" s="275"/>
      <c r="I129" s="275"/>
      <c r="J129" s="276"/>
    </row>
    <row r="130" spans="1:10" ht="7.5" customHeight="1" x14ac:dyDescent="0.2">
      <c r="A130" s="95"/>
      <c r="B130" s="96"/>
      <c r="C130" s="96"/>
      <c r="D130" s="96"/>
      <c r="E130" s="96"/>
      <c r="F130" s="96"/>
      <c r="G130" s="96"/>
      <c r="H130" s="96"/>
      <c r="I130" s="96"/>
      <c r="J130" s="96"/>
    </row>
    <row r="131" spans="1:10" ht="18.75" customHeight="1" x14ac:dyDescent="0.2">
      <c r="A131" s="95"/>
      <c r="B131" s="95"/>
      <c r="C131" s="95"/>
      <c r="D131" s="95"/>
      <c r="E131" s="95"/>
      <c r="F131" s="95"/>
      <c r="G131" s="95"/>
      <c r="H131" s="95"/>
      <c r="I131" s="95"/>
      <c r="J131" s="95"/>
    </row>
    <row r="132" spans="1:10" ht="18.75" customHeight="1" x14ac:dyDescent="0.2">
      <c r="A132" s="95"/>
      <c r="B132" s="95"/>
      <c r="C132" s="95"/>
      <c r="D132" s="95"/>
      <c r="E132" s="95"/>
      <c r="F132" s="95"/>
      <c r="G132" s="95"/>
      <c r="H132" s="95"/>
      <c r="I132" s="95"/>
      <c r="J132" s="95"/>
    </row>
    <row r="133" spans="1:10" ht="18.75" customHeight="1" x14ac:dyDescent="0.2">
      <c r="A133" s="95"/>
      <c r="B133" s="95"/>
      <c r="C133" s="95"/>
      <c r="D133" s="95"/>
      <c r="E133" s="95"/>
      <c r="F133" s="95"/>
      <c r="G133" s="95"/>
      <c r="H133" s="95"/>
      <c r="I133" s="95"/>
      <c r="J133" s="95"/>
    </row>
    <row r="134" spans="1:10" ht="18.75" customHeight="1" x14ac:dyDescent="0.2">
      <c r="A134" s="95"/>
      <c r="B134" s="95"/>
      <c r="C134" s="95"/>
      <c r="D134" s="95"/>
      <c r="E134" s="95"/>
      <c r="F134" s="95"/>
      <c r="G134" s="95"/>
      <c r="H134" s="95"/>
      <c r="I134" s="95"/>
      <c r="J134" s="95"/>
    </row>
    <row r="135" spans="1:10" ht="18.75" customHeight="1" x14ac:dyDescent="0.2">
      <c r="A135" s="95"/>
      <c r="B135" s="95"/>
      <c r="C135" s="95"/>
      <c r="D135" s="95"/>
      <c r="E135" s="95"/>
      <c r="F135" s="95"/>
      <c r="G135" s="95"/>
      <c r="H135" s="95"/>
      <c r="I135" s="95"/>
      <c r="J135" s="95"/>
    </row>
    <row r="136" spans="1:10" ht="18.75" customHeight="1" x14ac:dyDescent="0.2">
      <c r="A136" s="95"/>
      <c r="B136" s="95"/>
      <c r="C136" s="95"/>
      <c r="D136" s="95"/>
      <c r="E136" s="95"/>
      <c r="F136" s="95"/>
      <c r="G136" s="95"/>
      <c r="H136" s="95"/>
      <c r="I136" s="95"/>
      <c r="J136" s="95"/>
    </row>
    <row r="137" spans="1:10" ht="18.75" customHeight="1" x14ac:dyDescent="0.2">
      <c r="A137" s="95"/>
      <c r="B137" s="95"/>
      <c r="C137" s="95"/>
      <c r="D137" s="95"/>
      <c r="E137" s="95"/>
      <c r="F137" s="95"/>
      <c r="G137" s="95"/>
      <c r="H137" s="95"/>
      <c r="I137" s="95"/>
      <c r="J137" s="95"/>
    </row>
    <row r="138" spans="1:10" ht="18.75" customHeight="1" x14ac:dyDescent="0.2">
      <c r="A138" s="95"/>
      <c r="B138" s="95"/>
      <c r="C138" s="95"/>
      <c r="D138" s="95"/>
      <c r="E138" s="95"/>
      <c r="F138" s="95"/>
      <c r="G138" s="95"/>
      <c r="H138" s="95"/>
      <c r="I138" s="95"/>
      <c r="J138" s="95"/>
    </row>
    <row r="139" spans="1:10" ht="18.75" customHeight="1" x14ac:dyDescent="0.2">
      <c r="A139" s="95"/>
      <c r="B139" s="95"/>
      <c r="C139" s="95"/>
      <c r="D139" s="95"/>
      <c r="E139" s="95"/>
      <c r="F139" s="95"/>
      <c r="G139" s="95"/>
      <c r="H139" s="95"/>
      <c r="I139" s="95"/>
      <c r="J139" s="95"/>
    </row>
    <row r="140" spans="1:10" ht="18.75" customHeight="1" x14ac:dyDescent="0.2">
      <c r="A140" s="95"/>
      <c r="B140" s="95"/>
      <c r="C140" s="95"/>
      <c r="D140" s="95"/>
      <c r="E140" s="95"/>
      <c r="F140" s="95"/>
      <c r="G140" s="95"/>
      <c r="H140" s="95"/>
      <c r="I140" s="95"/>
      <c r="J140" s="95"/>
    </row>
    <row r="141" spans="1:10" ht="18.75" customHeight="1" x14ac:dyDescent="0.2">
      <c r="A141" s="95"/>
      <c r="B141" s="95"/>
      <c r="C141" s="95"/>
      <c r="D141" s="95"/>
      <c r="E141" s="95"/>
      <c r="F141" s="95"/>
      <c r="G141" s="95"/>
      <c r="H141" s="95"/>
      <c r="I141" s="95"/>
      <c r="J141" s="95"/>
    </row>
    <row r="142" spans="1:10" ht="18.75" customHeight="1" x14ac:dyDescent="0.2">
      <c r="A142" s="95"/>
      <c r="B142" s="95"/>
      <c r="C142" s="95"/>
      <c r="D142" s="95"/>
      <c r="E142" s="95"/>
      <c r="F142" s="95"/>
      <c r="G142" s="95"/>
      <c r="H142" s="95"/>
      <c r="I142" s="95"/>
      <c r="J142" s="95"/>
    </row>
    <row r="143" spans="1:10" ht="14.4" x14ac:dyDescent="0.2">
      <c r="A143" s="95"/>
      <c r="B143" s="95"/>
      <c r="C143" s="95"/>
      <c r="D143" s="95"/>
      <c r="E143" s="95"/>
      <c r="F143" s="95"/>
      <c r="G143" s="95"/>
      <c r="H143" s="95"/>
      <c r="I143" s="95"/>
      <c r="J143" s="95"/>
    </row>
    <row r="144" spans="1:10" ht="7.5" customHeight="1" x14ac:dyDescent="0.2">
      <c r="A144" s="97"/>
      <c r="B144" s="97"/>
      <c r="C144" s="97"/>
      <c r="D144" s="97"/>
      <c r="E144" s="97"/>
      <c r="F144" s="97"/>
      <c r="G144" s="97"/>
      <c r="H144" s="97"/>
      <c r="I144" s="97"/>
      <c r="J144" s="97"/>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6"/>
  <sheetViews>
    <sheetView showZeros="0" view="pageBreakPreview" topLeftCell="A16" zoomScaleNormal="100" zoomScaleSheetLayoutView="100" workbookViewId="0">
      <selection activeCell="L19" sqref="L19:M19"/>
    </sheetView>
  </sheetViews>
  <sheetFormatPr defaultColWidth="11.33203125" defaultRowHeight="22.5" customHeight="1" x14ac:dyDescent="0.2"/>
  <cols>
    <col min="1" max="3" width="2.6640625" style="7" customWidth="1"/>
    <col min="4" max="4" width="22.109375" style="7" customWidth="1"/>
    <col min="5" max="5" width="21.6640625" style="7" customWidth="1"/>
    <col min="6" max="7" width="7.6640625" style="7" customWidth="1"/>
    <col min="8" max="8" width="33.33203125" style="7" customWidth="1"/>
    <col min="9" max="9" width="24.44140625" style="7" customWidth="1"/>
    <col min="10" max="10" width="5.44140625" style="7" customWidth="1"/>
    <col min="11" max="11" width="4.109375" style="7" customWidth="1"/>
    <col min="12" max="16384" width="11.33203125" style="7"/>
  </cols>
  <sheetData>
    <row r="1" spans="1:11" ht="18.75" customHeight="1" x14ac:dyDescent="0.2">
      <c r="A1" s="7" t="s">
        <v>177</v>
      </c>
      <c r="J1" s="90" t="s">
        <v>178</v>
      </c>
    </row>
    <row r="2" spans="1:11" ht="18.75" customHeight="1" x14ac:dyDescent="0.2">
      <c r="A2" s="195" t="s">
        <v>179</v>
      </c>
      <c r="B2" s="195"/>
      <c r="C2" s="195"/>
      <c r="D2" s="195"/>
      <c r="E2" s="195"/>
      <c r="F2" s="195"/>
      <c r="G2" s="195"/>
      <c r="H2" s="195"/>
      <c r="I2" s="195"/>
      <c r="J2" s="195"/>
    </row>
    <row r="3" spans="1:11" ht="7.5" customHeight="1" x14ac:dyDescent="0.2">
      <c r="A3" s="92"/>
      <c r="B3" s="92"/>
      <c r="C3" s="92"/>
      <c r="D3" s="92"/>
      <c r="E3" s="92"/>
      <c r="F3" s="92"/>
      <c r="G3" s="92"/>
      <c r="H3" s="92"/>
      <c r="I3" s="92"/>
      <c r="J3" s="92"/>
    </row>
    <row r="4" spans="1:11" ht="18.75" customHeight="1" x14ac:dyDescent="0.2">
      <c r="A4" s="7" t="s">
        <v>2</v>
      </c>
      <c r="B4" s="7" t="s">
        <v>180</v>
      </c>
      <c r="C4" s="95"/>
      <c r="D4" s="95"/>
      <c r="E4" s="95"/>
      <c r="F4" s="95"/>
      <c r="G4" s="95"/>
      <c r="H4" s="95"/>
      <c r="I4" s="95"/>
      <c r="J4" s="95"/>
    </row>
    <row r="5" spans="1:11" ht="18.75" customHeight="1" x14ac:dyDescent="0.2">
      <c r="B5" s="108" t="s">
        <v>181</v>
      </c>
      <c r="C5" s="109"/>
      <c r="D5" s="110"/>
      <c r="E5" s="109" t="s">
        <v>182</v>
      </c>
      <c r="F5" s="109"/>
      <c r="G5" s="109"/>
      <c r="H5" s="109"/>
      <c r="I5" s="109"/>
      <c r="J5" s="110"/>
    </row>
    <row r="6" spans="1:11" ht="18.75" customHeight="1" x14ac:dyDescent="0.2">
      <c r="B6" s="9" t="s">
        <v>183</v>
      </c>
      <c r="C6" s="95"/>
      <c r="D6" s="98"/>
      <c r="I6" s="95"/>
      <c r="J6" s="98"/>
    </row>
    <row r="7" spans="1:11" ht="207" customHeight="1" x14ac:dyDescent="0.2">
      <c r="B7" s="99"/>
      <c r="C7" s="288" t="s">
        <v>184</v>
      </c>
      <c r="D7" s="289"/>
      <c r="E7" s="294" t="s">
        <v>210</v>
      </c>
      <c r="F7" s="290"/>
      <c r="G7" s="290"/>
      <c r="H7" s="290"/>
      <c r="I7" s="290"/>
      <c r="J7" s="291"/>
      <c r="K7" s="7" t="str">
        <f>IF(E7="","入力してください","")</f>
        <v/>
      </c>
    </row>
    <row r="8" spans="1:11" ht="197.1" customHeight="1" x14ac:dyDescent="0.2">
      <c r="B8" s="99"/>
      <c r="C8" s="295" t="s">
        <v>185</v>
      </c>
      <c r="D8" s="296"/>
      <c r="E8" s="294" t="s">
        <v>201</v>
      </c>
      <c r="F8" s="290"/>
      <c r="G8" s="290"/>
      <c r="H8" s="290"/>
      <c r="I8" s="290"/>
      <c r="J8" s="291"/>
      <c r="K8" s="7" t="str">
        <f>IF(E8="","入力してください","")</f>
        <v/>
      </c>
    </row>
    <row r="9" spans="1:11" ht="163.5" customHeight="1" x14ac:dyDescent="0.2">
      <c r="B9" s="99"/>
      <c r="C9" s="288" t="s">
        <v>186</v>
      </c>
      <c r="D9" s="289"/>
      <c r="E9" s="294" t="s">
        <v>202</v>
      </c>
      <c r="F9" s="290"/>
      <c r="G9" s="290"/>
      <c r="H9" s="290"/>
      <c r="I9" s="290"/>
      <c r="J9" s="291"/>
      <c r="K9" s="7" t="str">
        <f>IF(E9="","入力してください","")</f>
        <v/>
      </c>
    </row>
    <row r="10" spans="1:11" ht="163.5" customHeight="1" x14ac:dyDescent="0.2">
      <c r="B10" s="99"/>
      <c r="C10" s="288" t="s">
        <v>187</v>
      </c>
      <c r="D10" s="289"/>
      <c r="E10" s="294" t="s">
        <v>188</v>
      </c>
      <c r="F10" s="290"/>
      <c r="G10" s="290"/>
      <c r="H10" s="290"/>
      <c r="I10" s="290"/>
      <c r="J10" s="291"/>
      <c r="K10" s="7" t="str">
        <f t="shared" ref="K10:K14" si="0">IF(E10="","入力してください","")</f>
        <v/>
      </c>
    </row>
    <row r="11" spans="1:11" ht="172.5" customHeight="1" x14ac:dyDescent="0.2">
      <c r="B11" s="99"/>
      <c r="C11" s="288" t="s">
        <v>189</v>
      </c>
      <c r="D11" s="289"/>
      <c r="E11" s="294" t="s">
        <v>211</v>
      </c>
      <c r="F11" s="290"/>
      <c r="G11" s="290"/>
      <c r="H11" s="290"/>
      <c r="I11" s="290"/>
      <c r="J11" s="291"/>
      <c r="K11" s="7" t="str">
        <f t="shared" si="0"/>
        <v/>
      </c>
    </row>
    <row r="12" spans="1:11" ht="18.75" customHeight="1" x14ac:dyDescent="0.2">
      <c r="B12" s="100" t="s">
        <v>190</v>
      </c>
      <c r="C12" s="101"/>
      <c r="D12" s="102"/>
      <c r="E12" s="103"/>
      <c r="F12" s="103"/>
      <c r="G12" s="103"/>
      <c r="H12" s="103"/>
      <c r="I12" s="103"/>
      <c r="J12" s="104"/>
    </row>
    <row r="13" spans="1:11" ht="217.5" customHeight="1" x14ac:dyDescent="0.2">
      <c r="B13" s="99"/>
      <c r="C13" s="288" t="s">
        <v>191</v>
      </c>
      <c r="D13" s="289"/>
      <c r="E13" s="290" t="s">
        <v>212</v>
      </c>
      <c r="F13" s="290"/>
      <c r="G13" s="290"/>
      <c r="H13" s="290"/>
      <c r="I13" s="290"/>
      <c r="J13" s="291"/>
      <c r="K13" s="7" t="str">
        <f t="shared" si="0"/>
        <v/>
      </c>
    </row>
    <row r="14" spans="1:11" ht="217.5" customHeight="1" x14ac:dyDescent="0.2">
      <c r="B14" s="99"/>
      <c r="C14" s="288" t="s">
        <v>192</v>
      </c>
      <c r="D14" s="289"/>
      <c r="E14" s="290" t="s">
        <v>193</v>
      </c>
      <c r="F14" s="290"/>
      <c r="G14" s="290"/>
      <c r="H14" s="290"/>
      <c r="I14" s="290"/>
      <c r="J14" s="291"/>
      <c r="K14" s="7" t="str">
        <f t="shared" si="0"/>
        <v/>
      </c>
    </row>
    <row r="15" spans="1:11" ht="230.4" customHeight="1" x14ac:dyDescent="0.2">
      <c r="B15" s="292" t="s">
        <v>194</v>
      </c>
      <c r="C15" s="293"/>
      <c r="D15" s="289"/>
      <c r="E15" s="290" t="s">
        <v>213</v>
      </c>
      <c r="F15" s="290"/>
      <c r="G15" s="290"/>
      <c r="H15" s="290"/>
      <c r="I15" s="290"/>
      <c r="J15" s="291"/>
      <c r="K15" s="7" t="str">
        <f>IF(E15="","入力してください","")</f>
        <v/>
      </c>
    </row>
    <row r="16" spans="1:11" ht="230.4" customHeight="1" x14ac:dyDescent="0.2">
      <c r="B16" s="282" t="s">
        <v>195</v>
      </c>
      <c r="C16" s="283"/>
      <c r="D16" s="284"/>
      <c r="E16" s="267" t="s">
        <v>214</v>
      </c>
      <c r="F16" s="267"/>
      <c r="G16" s="267"/>
      <c r="H16" s="267"/>
      <c r="I16" s="267"/>
      <c r="J16" s="268"/>
      <c r="K16" s="7" t="str">
        <f>IF(E16="","入力してください","")</f>
        <v/>
      </c>
    </row>
    <row r="17" spans="1:11" ht="7.5" customHeight="1" x14ac:dyDescent="0.2">
      <c r="B17" s="95"/>
      <c r="C17" s="95"/>
      <c r="D17" s="95"/>
      <c r="E17" s="95"/>
      <c r="F17" s="95"/>
      <c r="G17" s="95"/>
      <c r="H17" s="95"/>
      <c r="I17" s="95"/>
      <c r="J17" s="95"/>
    </row>
    <row r="18" spans="1:11" ht="18.75" customHeight="1" x14ac:dyDescent="0.2">
      <c r="A18" s="7" t="s">
        <v>196</v>
      </c>
      <c r="C18" s="95"/>
      <c r="D18" s="95"/>
      <c r="E18" s="95"/>
      <c r="F18" s="91"/>
      <c r="G18" s="285" t="s">
        <v>197</v>
      </c>
      <c r="H18" s="286"/>
      <c r="I18" s="286"/>
      <c r="J18" s="287"/>
      <c r="K18" s="7" t="str">
        <f>IF(G18="","入力してください","")</f>
        <v/>
      </c>
    </row>
    <row r="19" spans="1:11" ht="22.5" customHeight="1" x14ac:dyDescent="0.2">
      <c r="B19" s="95"/>
      <c r="C19" s="95"/>
      <c r="D19" s="95"/>
      <c r="E19" s="95"/>
      <c r="F19" s="95"/>
      <c r="G19" s="95"/>
      <c r="H19" s="95"/>
      <c r="I19" s="95"/>
      <c r="J19" s="95"/>
    </row>
    <row r="20" spans="1:11" ht="22.5" customHeight="1" x14ac:dyDescent="0.2">
      <c r="B20" s="95"/>
      <c r="C20" s="95"/>
      <c r="D20" s="95"/>
      <c r="E20" s="95"/>
      <c r="F20" s="95"/>
      <c r="G20" s="95"/>
      <c r="H20" s="95"/>
      <c r="I20" s="95"/>
      <c r="J20" s="95"/>
    </row>
    <row r="21" spans="1:11" ht="22.5" customHeight="1" x14ac:dyDescent="0.2">
      <c r="B21" s="95"/>
      <c r="C21" s="95"/>
      <c r="D21" s="95"/>
      <c r="E21" s="95"/>
      <c r="F21" s="95"/>
      <c r="G21" s="95"/>
      <c r="H21" s="95"/>
      <c r="I21" s="95"/>
      <c r="J21" s="95"/>
    </row>
    <row r="22" spans="1:11" ht="22.5" customHeight="1" x14ac:dyDescent="0.2">
      <c r="B22" s="95"/>
      <c r="C22" s="95"/>
      <c r="D22" s="95"/>
      <c r="E22" s="95"/>
      <c r="F22" s="95"/>
      <c r="G22" s="95"/>
      <c r="H22" s="95"/>
      <c r="I22" s="95"/>
      <c r="J22" s="95"/>
    </row>
    <row r="23" spans="1:11" ht="22.5" customHeight="1" x14ac:dyDescent="0.2">
      <c r="B23" s="95"/>
      <c r="C23" s="95"/>
      <c r="D23" s="95"/>
      <c r="E23" s="95"/>
      <c r="F23" s="95"/>
      <c r="G23" s="95"/>
      <c r="H23" s="95"/>
      <c r="I23" s="95"/>
      <c r="J23" s="95"/>
    </row>
    <row r="24" spans="1:11" ht="22.5" customHeight="1" x14ac:dyDescent="0.2">
      <c r="B24" s="54"/>
      <c r="C24" s="54"/>
      <c r="D24" s="54"/>
      <c r="E24" s="54"/>
      <c r="F24" s="54"/>
      <c r="G24" s="54"/>
      <c r="H24" s="54"/>
      <c r="I24" s="54"/>
      <c r="J24" s="54"/>
    </row>
    <row r="25" spans="1:11" ht="22.5" customHeight="1" x14ac:dyDescent="0.2">
      <c r="B25" s="54"/>
      <c r="C25" s="54"/>
      <c r="D25" s="54"/>
      <c r="E25" s="54"/>
      <c r="F25" s="54"/>
      <c r="G25" s="54"/>
      <c r="H25" s="54"/>
      <c r="I25" s="54"/>
      <c r="J25" s="54"/>
    </row>
    <row r="26" spans="1:11" ht="22.5" customHeight="1" x14ac:dyDescent="0.2">
      <c r="B26" s="54"/>
      <c r="C26" s="54"/>
      <c r="D26" s="54"/>
      <c r="E26" s="54"/>
      <c r="F26" s="54"/>
      <c r="G26" s="54"/>
      <c r="H26" s="54"/>
      <c r="I26" s="54"/>
      <c r="J26" s="54"/>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printOptions horizontalCentered="1"/>
  <pageMargins left="0.78740157480314965" right="0.78740157480314965" top="0.78740157480314965" bottom="0.78740157480314965" header="0.31496062992125984" footer="0.31496062992125984"/>
  <pageSetup paperSize="9" orientation="landscape" r:id="rId1"/>
  <rowBreaks count="1" manualBreakCount="1">
    <brk id="11" max="9"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土居淳子</cp:lastModifiedBy>
  <cp:revision/>
  <cp:lastPrinted>2022-05-17T12:42:40Z</cp:lastPrinted>
  <dcterms:created xsi:type="dcterms:W3CDTF">2011-06-14T05:32:50Z</dcterms:created>
  <dcterms:modified xsi:type="dcterms:W3CDTF">2022-06-02T03:44:53Z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