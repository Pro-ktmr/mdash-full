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I:\学長室\010_管理・運営\015_GP・補助金事業(広島県含む）\R4（2022）年度\数理・データサイエンス・AI教育プログラム認定制度(リテラシーレベル)\R4(2022)年度申請様式\申請書類\01安田女子大学_リテラシー\202207再送\"/>
    </mc:Choice>
  </mc:AlternateContent>
  <bookViews>
    <workbookView xWindow="-105" yWindow="-105" windowWidth="19425" windowHeight="10425" tabRatio="885" firstSheet="1" activeTab="4"/>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30" i="40" l="1"/>
  <c r="Q30" i="40"/>
  <c r="C4" i="40" l="1"/>
  <c r="K18" i="42" l="1"/>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R22" i="40"/>
  <c r="Q22" i="40"/>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l="1"/>
  <c r="C28" i="41"/>
</calcChain>
</file>

<file path=xl/sharedStrings.xml><?xml version="1.0" encoding="utf-8"?>
<sst xmlns="http://schemas.openxmlformats.org/spreadsheetml/2006/main" count="331" uniqueCount="216">
  <si>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</si>
  <si>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</si>
  <si>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</si>
  <si>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</si>
  <si>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</si>
  <si>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</si>
  <si>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</si>
  <si>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</si>
  <si>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</si>
  <si>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</si>
  <si>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</si>
  <si>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</si>
  <si>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</si>
  <si>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</si>
  <si>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</si>
  <si>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</si>
  <si>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</si>
  <si>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</si>
  <si>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</si>
  <si>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</si>
  <si>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</si>
  <si>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</si>
  <si>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</si>
  <si>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</si>
  <si>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</si>
  <si>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</si>
  <si>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</si>
  <si>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</si>
  <si>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</si>
  <si>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</si>
  <si>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</si>
  <si>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</si>
  <si>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</si>
  <si>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</si>
  <si>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</si>
  <si>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</si>
  <si>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</si>
  <si>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</si>
  <si>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</si>
  <si>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</si>
  <si>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</si>
  <si>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</si>
  <si>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</si>
  <si>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</si>
  <si>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</si>
  <si>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</si>
  <si>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</si>
  <si>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</si>
  <si>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</si>
  <si>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</si>
  <si>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</si>
  <si>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</si>
  <si>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</si>
  <si>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</si>
  <si>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</si>
  <si>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</si>
  <si>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</si>
  <si>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</si>
  <si>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</si>
  <si>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</si>
  <si>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</si>
  <si>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</si>
  <si>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</si>
  <si>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</si>
  <si>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</si>
  <si>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</si>
  <si>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</si>
  <si>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</si>
  <si>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</si>
  <si>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</si>
  <si>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</si>
  <si>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</si>
  <si>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</si>
  <si>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</si>
  <si>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</si>
  <si>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</si>
  <si>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</si>
  <si>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</si>
  <si>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</si>
  <si>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</si>
  <si>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</si>
  <si>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</si>
  <si>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</si>
  <si>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</si>
  <si>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</si>
  <si>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</si>
  <si>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</si>
  <si>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</si>
  <si>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</si>
  <si>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</si>
  <si>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</si>
  <si>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</si>
  <si>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</si>
  <si>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</si>
  <si>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</si>
  <si>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</si>
  <si>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</si>
  <si>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</si>
  <si>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</si>
  <si>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</si>
  <si>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</si>
  <si>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</si>
  <si>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</si>
  <si>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</si>
  <si>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</si>
  <si>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</si>
  <si>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</si>
  <si>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</si>
  <si>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</si>
  <si>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</si>
  <si>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</si>
  <si>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</si>
  <si>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</si>
  <si>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</si>
  <si>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</si>
  <si>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</si>
  <si>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</si>
  <si>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</si>
  <si>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</si>
  <si>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</si>
  <si>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</si>
  <si>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</si>
  <si>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</si>
  <si>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</si>
  <si>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</si>
  <si>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</si>
  <si>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</si>
  <si>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</si>
  <si>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</si>
  <si>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</si>
  <si>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</si>
  <si>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</si>
  <si>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</si>
  <si>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</si>
  <si>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</si>
  <si>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</si>
  <si>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</si>
  <si>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</si>
  <si>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</si>
  <si>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</si>
  <si>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</si>
  <si>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</si>
  <si>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</si>
  <si>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</si>
  <si>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</si>
  <si>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</si>
  <si>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</si>
  <si>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</si>
  <si>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安田女子大学</t>
    <rPh sb="0" eb="2">
      <t>ヤスダ</t>
    </rPh>
    <rPh sb="2" eb="4">
      <t>ジョシ</t>
    </rPh>
    <rPh sb="4" eb="6">
      <t>ダイガク</t>
    </rPh>
    <phoneticPr fontId="1"/>
  </si>
  <si>
    <t>学校法人安田学園</t>
    <rPh sb="0" eb="4">
      <t>ガッコウホウジン</t>
    </rPh>
    <rPh sb="4" eb="6">
      <t>ヤスダ</t>
    </rPh>
    <rPh sb="6" eb="8">
      <t>ガクエン</t>
    </rPh>
    <phoneticPr fontId="1"/>
  </si>
  <si>
    <t>私立大学</t>
    <rPh sb="0" eb="2">
      <t>シリツ</t>
    </rPh>
    <rPh sb="2" eb="4">
      <t>ダイガク</t>
    </rPh>
    <phoneticPr fontId="1"/>
  </si>
  <si>
    <t>広島県広島市安佐南区安東６丁目１３-１</t>
    <rPh sb="0" eb="3">
      <t>ヒロシマケン</t>
    </rPh>
    <rPh sb="3" eb="6">
      <t>ヒロシマシ</t>
    </rPh>
    <rPh sb="6" eb="10">
      <t>アサミナミク</t>
    </rPh>
    <rPh sb="10" eb="12">
      <t>ヤスヒガシ</t>
    </rPh>
    <rPh sb="13" eb="15">
      <t>チョウメ</t>
    </rPh>
    <phoneticPr fontId="1"/>
  </si>
  <si>
    <t>無</t>
  </si>
  <si>
    <t>企画部企画課</t>
    <rPh sb="0" eb="2">
      <t>キカク</t>
    </rPh>
    <rPh sb="2" eb="3">
      <t>ブ</t>
    </rPh>
    <rPh sb="3" eb="5">
      <t>キカク</t>
    </rPh>
    <rPh sb="5" eb="6">
      <t>カ</t>
    </rPh>
    <phoneticPr fontId="1"/>
  </si>
  <si>
    <t>脇田　好章</t>
    <rPh sb="0" eb="2">
      <t>ワキタ</t>
    </rPh>
    <rPh sb="3" eb="5">
      <t>ヨシアキ</t>
    </rPh>
    <phoneticPr fontId="1"/>
  </si>
  <si>
    <t>kikaku.box@yasuda-u.ac.jp</t>
    <phoneticPr fontId="1"/>
  </si>
  <si>
    <t>082-878-9980</t>
    <phoneticPr fontId="1"/>
  </si>
  <si>
    <t>学部・学科によって、修了要件は相違しない</t>
  </si>
  <si>
    <t>情報処理基礎Ⅱ</t>
    <rPh sb="0" eb="2">
      <t>ジョウホウ</t>
    </rPh>
    <rPh sb="2" eb="4">
      <t>ショリ</t>
    </rPh>
    <rPh sb="4" eb="6">
      <t>キソ</t>
    </rPh>
    <phoneticPr fontId="1"/>
  </si>
  <si>
    <t>○</t>
  </si>
  <si>
    <t>全学開講</t>
  </si>
  <si>
    <t>情報処理基礎Ⅲ</t>
    <rPh sb="0" eb="2">
      <t>ジョウホウ</t>
    </rPh>
    <rPh sb="2" eb="4">
      <t>ショリ</t>
    </rPh>
    <rPh sb="4" eb="6">
      <t>キソ</t>
    </rPh>
    <phoneticPr fontId="1"/>
  </si>
  <si>
    <t>○</t>
    <phoneticPr fontId="1"/>
  </si>
  <si>
    <t>文学部</t>
    <rPh sb="0" eb="3">
      <t>ブンガクブ</t>
    </rPh>
    <phoneticPr fontId="1"/>
  </si>
  <si>
    <t>教育学部</t>
    <rPh sb="0" eb="2">
      <t>キョウイク</t>
    </rPh>
    <rPh sb="2" eb="4">
      <t>ガクブ</t>
    </rPh>
    <phoneticPr fontId="1"/>
  </si>
  <si>
    <t>心理学部</t>
    <rPh sb="0" eb="3">
      <t>シンリガク</t>
    </rPh>
    <rPh sb="3" eb="4">
      <t>ブ</t>
    </rPh>
    <phoneticPr fontId="1"/>
  </si>
  <si>
    <t>現代ビジネス学部</t>
    <rPh sb="0" eb="2">
      <t>ゲンダイ</t>
    </rPh>
    <rPh sb="6" eb="8">
      <t>ガクブ</t>
    </rPh>
    <phoneticPr fontId="1"/>
  </si>
  <si>
    <t>家政学部</t>
    <rPh sb="0" eb="3">
      <t>カセイガク</t>
    </rPh>
    <rPh sb="3" eb="4">
      <t>ブ</t>
    </rPh>
    <phoneticPr fontId="1"/>
  </si>
  <si>
    <t>薬学部</t>
    <rPh sb="0" eb="3">
      <t>ヤクガクブ</t>
    </rPh>
    <phoneticPr fontId="1"/>
  </si>
  <si>
    <t>看護学部</t>
    <rPh sb="0" eb="2">
      <t>カンゴ</t>
    </rPh>
    <rPh sb="2" eb="4">
      <t>ガクブ</t>
    </rPh>
    <phoneticPr fontId="1"/>
  </si>
  <si>
    <t>髙口　圭轉</t>
    <rPh sb="0" eb="2">
      <t>コウグチ</t>
    </rPh>
    <phoneticPr fontId="1"/>
  </si>
  <si>
    <t>学長補佐（教学担当）</t>
    <rPh sb="0" eb="2">
      <t>ガクチョウ</t>
    </rPh>
    <rPh sb="2" eb="4">
      <t>ホサ</t>
    </rPh>
    <rPh sb="5" eb="7">
      <t>キョウガク</t>
    </rPh>
    <rPh sb="7" eb="9">
      <t>タントウ</t>
    </rPh>
    <phoneticPr fontId="1"/>
  </si>
  <si>
    <t>髙口　圭轉</t>
    <phoneticPr fontId="1"/>
  </si>
  <si>
    <t>委員長</t>
    <rPh sb="0" eb="3">
      <t>イインチョウ</t>
    </rPh>
    <phoneticPr fontId="1"/>
  </si>
  <si>
    <t>松岡　博信</t>
    <rPh sb="0" eb="2">
      <t>マツオカ</t>
    </rPh>
    <rPh sb="3" eb="5">
      <t>ヒロノブ</t>
    </rPh>
    <phoneticPr fontId="1"/>
  </si>
  <si>
    <t>4‐3データ構造とプログラミング基礎</t>
  </si>
  <si>
    <t>情報処理基礎Ⅳ</t>
    <rPh sb="0" eb="6">
      <t>ジョウホウショリキソ</t>
    </rPh>
    <phoneticPr fontId="1"/>
  </si>
  <si>
    <t>4‐8データ活用実践（教師あり学習）</t>
  </si>
  <si>
    <t>情報処理基礎Ⅲ</t>
    <rPh sb="0" eb="6">
      <t>ジョウホウショリキソ</t>
    </rPh>
    <phoneticPr fontId="1"/>
  </si>
  <si>
    <t>4-1統計および数理基礎</t>
    <phoneticPr fontId="1"/>
  </si>
  <si>
    <t>情報処理基礎Ⅰ</t>
    <rPh sb="0" eb="2">
      <t>ジョウホウ</t>
    </rPh>
    <rPh sb="2" eb="4">
      <t>ショリ</t>
    </rPh>
    <rPh sb="4" eb="6">
      <t>キソ</t>
    </rPh>
    <phoneticPr fontId="1"/>
  </si>
  <si>
    <t>安田女子大学の教務に関する諸事項（学生の修学に関すること、各学部・学科のカリキュラム等の連絡調整に関すること、 カリキュラム改革に関すること）について審議するとともに、全学的な調整を行うことを目的とする。</t>
    <phoneticPr fontId="1"/>
  </si>
  <si>
    <t>情報処理基礎Ⅳ</t>
    <rPh sb="0" eb="2">
      <t>ジョウホウ</t>
    </rPh>
    <rPh sb="2" eb="4">
      <t>ショリ</t>
    </rPh>
    <rPh sb="4" eb="6">
      <t>キソ</t>
    </rPh>
    <phoneticPr fontId="1"/>
  </si>
  <si>
    <t>認定教育プログラム</t>
  </si>
  <si>
    <t>教務センター長：髙口圭轉
教務センター次長（共通教育担当）：山川健一
教務センター次長（情報教育担当）：田村聡一郎
他各学科から1名選出
教務課課長</t>
    <rPh sb="0" eb="2">
      <t>キョウム</t>
    </rPh>
    <rPh sb="6" eb="7">
      <t>チョウ</t>
    </rPh>
    <rPh sb="8" eb="10">
      <t>コウグチ</t>
    </rPh>
    <rPh sb="10" eb="11">
      <t>ケイ</t>
    </rPh>
    <rPh sb="11" eb="12">
      <t>コロブ</t>
    </rPh>
    <rPh sb="13" eb="15">
      <t>キョウム</t>
    </rPh>
    <rPh sb="19" eb="21">
      <t>ジチョウ</t>
    </rPh>
    <rPh sb="22" eb="26">
      <t>キョウツウキョウイク</t>
    </rPh>
    <rPh sb="26" eb="28">
      <t>タントウ</t>
    </rPh>
    <rPh sb="30" eb="32">
      <t>ヤマカワ</t>
    </rPh>
    <rPh sb="32" eb="34">
      <t>ケンイチ</t>
    </rPh>
    <rPh sb="58" eb="59">
      <t>タ</t>
    </rPh>
    <rPh sb="59" eb="62">
      <t>カクガッカ</t>
    </rPh>
    <rPh sb="65" eb="66">
      <t>メイ</t>
    </rPh>
    <rPh sb="66" eb="68">
      <t>センシュツ</t>
    </rPh>
    <rPh sb="69" eb="72">
      <t>キョウムカ</t>
    </rPh>
    <rPh sb="72" eb="74">
      <t>カチョウ</t>
    </rPh>
    <phoneticPr fontId="1"/>
  </si>
  <si>
    <t>情報処理基礎Ⅰ～Ⅳ（数理・DS・AI教育プログラム）の履修状況については、全学部で卒業必修科目としており、履修率は100％である。
本プログラムの修得状況については、教務委員会（情報教育担当）において単位取得状況を分析している。</t>
    <rPh sb="27" eb="29">
      <t>リシュウ</t>
    </rPh>
    <rPh sb="29" eb="31">
      <t>ジョウキョウ</t>
    </rPh>
    <rPh sb="37" eb="40">
      <t>ゼンガクブ</t>
    </rPh>
    <rPh sb="41" eb="45">
      <t>ソツギョウヒッシュウ</t>
    </rPh>
    <rPh sb="45" eb="47">
      <t>カモク</t>
    </rPh>
    <rPh sb="53" eb="56">
      <t>リシュウリツ</t>
    </rPh>
    <rPh sb="66" eb="67">
      <t>ホン</t>
    </rPh>
    <rPh sb="73" eb="75">
      <t>シュウトク</t>
    </rPh>
    <rPh sb="75" eb="77">
      <t>ジョウキョウ</t>
    </rPh>
    <rPh sb="83" eb="85">
      <t>キョウム</t>
    </rPh>
    <rPh sb="89" eb="91">
      <t>ジョウホウ</t>
    </rPh>
    <rPh sb="91" eb="93">
      <t>キョウイク</t>
    </rPh>
    <rPh sb="93" eb="95">
      <t>タントウ</t>
    </rPh>
    <phoneticPr fontId="1"/>
  </si>
  <si>
    <t>授業アンケートの質問項目に他の学生への推奨等を問う内容はなく、また、本プログラムが卒業必修科目であるため、自由記述欄にも本プログラムを推奨する記載はない。</t>
    <rPh sb="0" eb="2">
      <t>ジュギョウ</t>
    </rPh>
    <rPh sb="8" eb="10">
      <t>シツモン</t>
    </rPh>
    <rPh sb="10" eb="12">
      <t>コウモク</t>
    </rPh>
    <rPh sb="13" eb="14">
      <t>タ</t>
    </rPh>
    <rPh sb="15" eb="17">
      <t>ガクセイ</t>
    </rPh>
    <rPh sb="19" eb="21">
      <t>スイショウ</t>
    </rPh>
    <rPh sb="21" eb="22">
      <t>トウ</t>
    </rPh>
    <rPh sb="23" eb="24">
      <t>ト</t>
    </rPh>
    <rPh sb="25" eb="27">
      <t>ナイヨウ</t>
    </rPh>
    <rPh sb="34" eb="35">
      <t>ホン</t>
    </rPh>
    <rPh sb="41" eb="47">
      <t>ソツギョウヒッシュウカモク</t>
    </rPh>
    <rPh sb="53" eb="55">
      <t>ジユウ</t>
    </rPh>
    <rPh sb="55" eb="57">
      <t>キジュツ</t>
    </rPh>
    <rPh sb="57" eb="58">
      <t>ラン</t>
    </rPh>
    <rPh sb="60" eb="61">
      <t>ホン</t>
    </rPh>
    <rPh sb="67" eb="69">
      <t>スイショウ</t>
    </rPh>
    <rPh sb="71" eb="73">
      <t>キサイ</t>
    </rPh>
    <phoneticPr fontId="1"/>
  </si>
  <si>
    <t>平成30</t>
    <rPh sb="0" eb="2">
      <t>ヘイセイ</t>
    </rPh>
    <phoneticPr fontId="1"/>
  </si>
  <si>
    <t>本プログラムについては、全学部において卒業必修科目と設定しているため、履修率100％である。</t>
    <rPh sb="0" eb="1">
      <t>ホン</t>
    </rPh>
    <rPh sb="12" eb="14">
      <t>ゼンガク</t>
    </rPh>
    <rPh sb="14" eb="15">
      <t>ブ</t>
    </rPh>
    <rPh sb="19" eb="21">
      <t>ソツギョウ</t>
    </rPh>
    <rPh sb="21" eb="23">
      <t>ヒッシュウ</t>
    </rPh>
    <rPh sb="23" eb="25">
      <t>カモク</t>
    </rPh>
    <rPh sb="26" eb="28">
      <t>セッテイ</t>
    </rPh>
    <rPh sb="35" eb="37">
      <t>リシュウ</t>
    </rPh>
    <rPh sb="37" eb="38">
      <t>リツ</t>
    </rPh>
    <phoneticPr fontId="1"/>
  </si>
  <si>
    <t>情報処理基礎Ⅰ～Ⅳ（数理・DS・AI教育プログラム）については、全学部において卒業必修科目となっている。初年次教育として、情報収集能力、論理的思考、総合的な問題解決能力、およびプレゼンテーション能力など大学で学修するための基本的な能力およびパソコン操作方法を身につけるカリキュラムとなっている。
履修率については、令和３年度時点で新設学科や収容定員を変更し、完成年度を迎えていない学科が複数存在するため、令和３年度のプログラム履修率は92％となっている。開設年度（平成30年度）から単年度入学定員の累計と履修者累計の履修率は97％を超過している。完成年度を迎える令和7年度には収容定員比で履修率100％を達成する見通しである。</t>
    <rPh sb="0" eb="9">
      <t>ジョウホウショリキソ１カラ４</t>
    </rPh>
    <rPh sb="32" eb="35">
      <t>ゼンガクブ</t>
    </rPh>
    <rPh sb="39" eb="45">
      <t>ソツギョウヒッシュウカモク</t>
    </rPh>
    <rPh sb="52" eb="55">
      <t>ショネンジ</t>
    </rPh>
    <rPh sb="55" eb="57">
      <t>キョウイク</t>
    </rPh>
    <rPh sb="65" eb="67">
      <t>ノウリョク</t>
    </rPh>
    <rPh sb="111" eb="114">
      <t>キホンテキ</t>
    </rPh>
    <rPh sb="115" eb="117">
      <t>ノウリョク</t>
    </rPh>
    <rPh sb="124" eb="126">
      <t>ソウサ</t>
    </rPh>
    <rPh sb="126" eb="128">
      <t>ホウホウ</t>
    </rPh>
    <rPh sb="129" eb="130">
      <t>ミ</t>
    </rPh>
    <rPh sb="148" eb="150">
      <t>リシュウ</t>
    </rPh>
    <rPh sb="150" eb="151">
      <t>リツ</t>
    </rPh>
    <rPh sb="157" eb="159">
      <t>レイワ</t>
    </rPh>
    <rPh sb="160" eb="162">
      <t>ネンド</t>
    </rPh>
    <rPh sb="162" eb="164">
      <t>ジテン</t>
    </rPh>
    <rPh sb="165" eb="167">
      <t>シンセツ</t>
    </rPh>
    <rPh sb="167" eb="169">
      <t>ガッカ</t>
    </rPh>
    <rPh sb="170" eb="172">
      <t>シュウヨウ</t>
    </rPh>
    <rPh sb="172" eb="174">
      <t>テイイン</t>
    </rPh>
    <rPh sb="175" eb="177">
      <t>ヘンコウ</t>
    </rPh>
    <rPh sb="179" eb="181">
      <t>カンセイ</t>
    </rPh>
    <rPh sb="181" eb="183">
      <t>ネンド</t>
    </rPh>
    <rPh sb="184" eb="185">
      <t>ムカ</t>
    </rPh>
    <rPh sb="190" eb="192">
      <t>ガッカ</t>
    </rPh>
    <rPh sb="193" eb="195">
      <t>フクスウ</t>
    </rPh>
    <rPh sb="195" eb="197">
      <t>ソンザイ</t>
    </rPh>
    <rPh sb="202" eb="204">
      <t>レイワ</t>
    </rPh>
    <rPh sb="205" eb="207">
      <t>ネンド</t>
    </rPh>
    <rPh sb="213" eb="215">
      <t>リシュウ</t>
    </rPh>
    <rPh sb="215" eb="216">
      <t>リツ</t>
    </rPh>
    <rPh sb="227" eb="229">
      <t>カイセツ</t>
    </rPh>
    <rPh sb="232" eb="234">
      <t>ヘイセイ</t>
    </rPh>
    <rPh sb="236" eb="238">
      <t>ネンド</t>
    </rPh>
    <rPh sb="241" eb="244">
      <t>タンネンド</t>
    </rPh>
    <rPh sb="244" eb="246">
      <t>ニュウガク</t>
    </rPh>
    <rPh sb="246" eb="248">
      <t>テイイン</t>
    </rPh>
    <rPh sb="249" eb="251">
      <t>ルイケイ</t>
    </rPh>
    <rPh sb="252" eb="255">
      <t>リシュウシャ</t>
    </rPh>
    <rPh sb="255" eb="257">
      <t>ルイケイ</t>
    </rPh>
    <rPh sb="266" eb="268">
      <t>チョウカ</t>
    </rPh>
    <rPh sb="273" eb="275">
      <t>カンセイ</t>
    </rPh>
    <rPh sb="275" eb="277">
      <t>ネンド</t>
    </rPh>
    <rPh sb="278" eb="279">
      <t>ムカ</t>
    </rPh>
    <rPh sb="281" eb="283">
      <t>レイワ</t>
    </rPh>
    <rPh sb="284" eb="286">
      <t>ネンド</t>
    </rPh>
    <rPh sb="288" eb="290">
      <t>シュウヨウ</t>
    </rPh>
    <rPh sb="290" eb="292">
      <t>テイイン</t>
    </rPh>
    <phoneticPr fontId="1"/>
  </si>
  <si>
    <t>本プログラムについては、習熟度別にクラス編成がされ、レベルに応じた教育を実施いる。プログラムの履修者のうち98.8％が全科目を修得し修了している。学修成果については、試験、課題、授業アンケート結果や成績の分布状況を確認し、評価・改善につなげている。</t>
    <rPh sb="0" eb="1">
      <t>ホン</t>
    </rPh>
    <rPh sb="12" eb="14">
      <t>シュウジュク</t>
    </rPh>
    <rPh sb="14" eb="15">
      <t>ド</t>
    </rPh>
    <rPh sb="15" eb="16">
      <t>ベツ</t>
    </rPh>
    <rPh sb="20" eb="22">
      <t>ヘンセイ</t>
    </rPh>
    <rPh sb="30" eb="31">
      <t>オウ</t>
    </rPh>
    <rPh sb="33" eb="35">
      <t>キョウイク</t>
    </rPh>
    <rPh sb="36" eb="38">
      <t>ジッシ</t>
    </rPh>
    <rPh sb="47" eb="49">
      <t>リシュウ</t>
    </rPh>
    <rPh sb="49" eb="50">
      <t>シャ</t>
    </rPh>
    <rPh sb="59" eb="60">
      <t>ゼン</t>
    </rPh>
    <rPh sb="60" eb="62">
      <t>カモク</t>
    </rPh>
    <rPh sb="63" eb="65">
      <t>シュウトク</t>
    </rPh>
    <rPh sb="66" eb="68">
      <t>シュウリョウ</t>
    </rPh>
    <rPh sb="73" eb="75">
      <t>ガクシュウ</t>
    </rPh>
    <rPh sb="75" eb="77">
      <t>セイカ</t>
    </rPh>
    <rPh sb="83" eb="85">
      <t>シケン</t>
    </rPh>
    <rPh sb="86" eb="88">
      <t>カダイ</t>
    </rPh>
    <rPh sb="89" eb="91">
      <t>ジュギョウ</t>
    </rPh>
    <rPh sb="96" eb="98">
      <t>ケッカ</t>
    </rPh>
    <phoneticPr fontId="1"/>
  </si>
  <si>
    <t>学生からはクラスごとに実施している授業アンケートを活用し、授業の「内容」「進め方」「意義」「満足度」に関する複数の項目で確認している。このアンケートで得られた情報を授業担当者にフィードバックして授業改善等の対応を図っている。
教務委員会では試験、課題、授業アンケート結果や成績の分布状況を確認し、また産業構造の変化や今後必要とされるスキルなど社会情勢などを鑑みて授業内容の改善を行っている。</t>
    <rPh sb="0" eb="2">
      <t>ガクセイ</t>
    </rPh>
    <rPh sb="17" eb="19">
      <t>ジュギョウ</t>
    </rPh>
    <rPh sb="33" eb="35">
      <t>ナイヨウ</t>
    </rPh>
    <rPh sb="37" eb="38">
      <t>スス</t>
    </rPh>
    <rPh sb="39" eb="40">
      <t>カタ</t>
    </rPh>
    <rPh sb="42" eb="44">
      <t>イギ</t>
    </rPh>
    <rPh sb="46" eb="49">
      <t>マンゾクド</t>
    </rPh>
    <rPh sb="113" eb="115">
      <t>キョウム</t>
    </rPh>
    <rPh sb="115" eb="118">
      <t>イインカイ</t>
    </rPh>
    <rPh sb="144" eb="146">
      <t>カクニン</t>
    </rPh>
    <rPh sb="171" eb="173">
      <t>シャカイ</t>
    </rPh>
    <rPh sb="173" eb="175">
      <t>ジョウセイ</t>
    </rPh>
    <rPh sb="178" eb="179">
      <t>カンガ</t>
    </rPh>
    <rPh sb="181" eb="185">
      <t>ジュギョウナイヨウ</t>
    </rPh>
    <rPh sb="186" eb="188">
      <t>カイゼン</t>
    </rPh>
    <rPh sb="189" eb="190">
      <t>オコナ</t>
    </rPh>
    <phoneticPr fontId="1"/>
  </si>
  <si>
    <t>本プログラム修了者の多くは２年次以降に、プログラムで学んだ情報収集能力、論理的思考、総合的な問題解決能力、およびプレゼンテーション能力などを生かし、専門教育科目だけでなくインターンシップ、各種実習、地域の課題解決のため行政・企業などとの共同活動など学内外で活動を行ってる。
本学ではインターンシップの受け入れ企業に参加学生だけでなく、就職している卒業生についてもアンケートを取っており、卒業生について8割を超える企業が知識・技能が高いと回答があった。このことからも平成26年度から取り組んでいるICT活用能力育成を目的とした入学生へのノートパソコン配付事業および本プログラムの評価が高いことが推察される。</t>
    <rPh sb="0" eb="1">
      <t>ホン</t>
    </rPh>
    <rPh sb="6" eb="9">
      <t>シュウリョウシャ</t>
    </rPh>
    <rPh sb="10" eb="11">
      <t>オオ</t>
    </rPh>
    <rPh sb="14" eb="16">
      <t>ネンジ</t>
    </rPh>
    <rPh sb="16" eb="18">
      <t>イコウ</t>
    </rPh>
    <rPh sb="26" eb="27">
      <t>マナ</t>
    </rPh>
    <rPh sb="70" eb="71">
      <t>イ</t>
    </rPh>
    <rPh sb="74" eb="80">
      <t>センモンキョウイクカモク</t>
    </rPh>
    <rPh sb="94" eb="96">
      <t>カクシュ</t>
    </rPh>
    <rPh sb="96" eb="98">
      <t>ジッシュウ</t>
    </rPh>
    <rPh sb="99" eb="101">
      <t>チイキ</t>
    </rPh>
    <rPh sb="102" eb="106">
      <t>カダイカイケツ</t>
    </rPh>
    <rPh sb="109" eb="111">
      <t>ギョウセイ</t>
    </rPh>
    <rPh sb="112" eb="114">
      <t>キギョウ</t>
    </rPh>
    <rPh sb="118" eb="120">
      <t>キョウドウ</t>
    </rPh>
    <rPh sb="120" eb="122">
      <t>カツドウ</t>
    </rPh>
    <rPh sb="124" eb="127">
      <t>ガクナイガイ</t>
    </rPh>
    <rPh sb="128" eb="130">
      <t>カツドウ</t>
    </rPh>
    <rPh sb="131" eb="132">
      <t>オコナ</t>
    </rPh>
    <rPh sb="137" eb="139">
      <t>ホンガク</t>
    </rPh>
    <rPh sb="150" eb="151">
      <t>ウ</t>
    </rPh>
    <rPh sb="152" eb="153">
      <t>イ</t>
    </rPh>
    <rPh sb="154" eb="156">
      <t>キギョウ</t>
    </rPh>
    <rPh sb="157" eb="161">
      <t>サンカガクセイ</t>
    </rPh>
    <rPh sb="167" eb="169">
      <t>シュウショク</t>
    </rPh>
    <rPh sb="173" eb="176">
      <t>ソツギョウセイ</t>
    </rPh>
    <rPh sb="187" eb="188">
      <t>ト</t>
    </rPh>
    <rPh sb="193" eb="196">
      <t>ソツギョウセイ</t>
    </rPh>
    <rPh sb="209" eb="211">
      <t>チシキ</t>
    </rPh>
    <rPh sb="212" eb="214">
      <t>ギノウ</t>
    </rPh>
    <rPh sb="215" eb="216">
      <t>タカ</t>
    </rPh>
    <rPh sb="218" eb="220">
      <t>カイトウ</t>
    </rPh>
    <rPh sb="232" eb="234">
      <t>ヘイセイ</t>
    </rPh>
    <rPh sb="236" eb="238">
      <t>ネンド</t>
    </rPh>
    <rPh sb="240" eb="241">
      <t>ト</t>
    </rPh>
    <rPh sb="242" eb="243">
      <t>ク</t>
    </rPh>
    <rPh sb="250" eb="252">
      <t>カツヨウ</t>
    </rPh>
    <rPh sb="252" eb="254">
      <t>ノウリョク</t>
    </rPh>
    <rPh sb="254" eb="256">
      <t>イクセイ</t>
    </rPh>
    <rPh sb="257" eb="259">
      <t>モクテキ</t>
    </rPh>
    <rPh sb="262" eb="265">
      <t>ニュウガクセイ</t>
    </rPh>
    <rPh sb="274" eb="276">
      <t>ハイフ</t>
    </rPh>
    <rPh sb="276" eb="278">
      <t>ジギョウ</t>
    </rPh>
    <rPh sb="281" eb="282">
      <t>ホン</t>
    </rPh>
    <rPh sb="288" eb="290">
      <t>ヒョウカ</t>
    </rPh>
    <rPh sb="291" eb="292">
      <t>タカ</t>
    </rPh>
    <rPh sb="296" eb="298">
      <t>スイサツ</t>
    </rPh>
    <phoneticPr fontId="1"/>
  </si>
  <si>
    <t>本プログラムは大学に入学するまでモバイル端末を主としてネット社会と接してきた入学生に、ノートパソコンを一人一台配付し、数理・データサイエンス・ＡＩについて講義や実習を交え、通年で授業を行っている。
数理・データサイエンス・ＡＩがもたらす情報社会の未来や論理的思考やプログラミング能力を得る実習から学ぶ楽しさを提供している。また、データ管理、著作権などのトラブルなど学生の身近に潜むネット社会での法規制やマナー、モラルに関すること、実社会でのデータを基に統計的な分析や課題解決能力の習得から学ぶことの意義について考えるようにカリキュラムを組んでいる。</t>
    <rPh sb="0" eb="1">
      <t>ホン</t>
    </rPh>
    <rPh sb="7" eb="9">
      <t>ダイガク</t>
    </rPh>
    <rPh sb="10" eb="12">
      <t>ニュウガク</t>
    </rPh>
    <rPh sb="20" eb="22">
      <t>タンマツ</t>
    </rPh>
    <rPh sb="23" eb="24">
      <t>シュ</t>
    </rPh>
    <rPh sb="30" eb="32">
      <t>シャカイ</t>
    </rPh>
    <rPh sb="33" eb="34">
      <t>セッ</t>
    </rPh>
    <rPh sb="38" eb="41">
      <t>ニュウガクセイ</t>
    </rPh>
    <rPh sb="51" eb="57">
      <t>ヒトリイチダイハイフ</t>
    </rPh>
    <rPh sb="77" eb="79">
      <t>コウギ</t>
    </rPh>
    <rPh sb="80" eb="82">
      <t>ジッシュウ</t>
    </rPh>
    <rPh sb="83" eb="84">
      <t>マジ</t>
    </rPh>
    <rPh sb="87" eb="89">
      <t>ツウネン</t>
    </rPh>
    <rPh sb="90" eb="92">
      <t>ジュギョウ</t>
    </rPh>
    <rPh sb="93" eb="94">
      <t>オコナ</t>
    </rPh>
    <rPh sb="118" eb="122">
      <t>ジョウホウシャカイ</t>
    </rPh>
    <rPh sb="123" eb="125">
      <t>ミライ</t>
    </rPh>
    <rPh sb="126" eb="131">
      <t>ロンリテキシコウ</t>
    </rPh>
    <rPh sb="139" eb="141">
      <t>ノウリョク</t>
    </rPh>
    <rPh sb="142" eb="143">
      <t>エ</t>
    </rPh>
    <rPh sb="144" eb="146">
      <t>ジッシュウ</t>
    </rPh>
    <rPh sb="148" eb="149">
      <t>マナ</t>
    </rPh>
    <rPh sb="150" eb="151">
      <t>タノ</t>
    </rPh>
    <rPh sb="154" eb="156">
      <t>テイキョウ</t>
    </rPh>
    <rPh sb="167" eb="169">
      <t>カンリ</t>
    </rPh>
    <rPh sb="170" eb="173">
      <t>チョサクケン</t>
    </rPh>
    <rPh sb="197" eb="200">
      <t>ホウキセイ</t>
    </rPh>
    <rPh sb="209" eb="210">
      <t>カン</t>
    </rPh>
    <phoneticPr fontId="1"/>
  </si>
  <si>
    <t>先に述べた卒業生アンケート調査を分析し、本プログラム内容・手法等についても産業界の情勢を踏まえて、教務委員会でカリキュラムの見直し、改善を行う。</t>
    <rPh sb="0" eb="1">
      <t>サキ</t>
    </rPh>
    <rPh sb="2" eb="3">
      <t>ノ</t>
    </rPh>
    <rPh sb="5" eb="8">
      <t>ソツギョウセイ</t>
    </rPh>
    <rPh sb="13" eb="15">
      <t>チョウサ</t>
    </rPh>
    <rPh sb="16" eb="18">
      <t>ブンセキ</t>
    </rPh>
    <rPh sb="20" eb="21">
      <t>ホン</t>
    </rPh>
    <rPh sb="26" eb="28">
      <t>ナイヨウ</t>
    </rPh>
    <rPh sb="29" eb="31">
      <t>シュホウ</t>
    </rPh>
    <rPh sb="31" eb="32">
      <t>トウ</t>
    </rPh>
    <rPh sb="37" eb="40">
      <t>サンギョウカイ</t>
    </rPh>
    <rPh sb="41" eb="43">
      <t>ジョウセイ</t>
    </rPh>
    <rPh sb="44" eb="45">
      <t>フ</t>
    </rPh>
    <rPh sb="49" eb="54">
      <t>キョウムイインカイ</t>
    </rPh>
    <rPh sb="62" eb="64">
      <t>ミナオ</t>
    </rPh>
    <rPh sb="66" eb="68">
      <t>カイゼン</t>
    </rPh>
    <rPh sb="69" eb="70">
      <t>オコナ</t>
    </rPh>
    <phoneticPr fontId="1"/>
  </si>
  <si>
    <t>・学生生活を支援するシステムとして教育支援システム「まほろばポータル」や「GoogleClassroom」を導入している。パソコンからの連絡事項の確認や授業課題の回答、活動記録の提出などができる。
・直接パソコンの操作や故障などのトラブルに関しては学習支援センターの窓口で対面形式でサポートする体制を取っている。</t>
    <rPh sb="100" eb="102">
      <t>チョクセツ</t>
    </rPh>
    <rPh sb="107" eb="109">
      <t>ソウサ</t>
    </rPh>
    <rPh sb="110" eb="112">
      <t>コショウ</t>
    </rPh>
    <rPh sb="120" eb="121">
      <t>カン</t>
    </rPh>
    <rPh sb="124" eb="126">
      <t>ガクシュウ</t>
    </rPh>
    <rPh sb="126" eb="128">
      <t>シエン</t>
    </rPh>
    <rPh sb="133" eb="135">
      <t>マドグチ</t>
    </rPh>
    <rPh sb="136" eb="138">
      <t>タイメン</t>
    </rPh>
    <rPh sb="138" eb="140">
      <t>ケイシキ</t>
    </rPh>
    <rPh sb="147" eb="149">
      <t>タイセイ</t>
    </rPh>
    <rPh sb="150" eb="151">
      <t>ト</t>
    </rPh>
    <phoneticPr fontId="1"/>
  </si>
  <si>
    <t>本プログラムに関する授業アンケート(令和３年度)の一部を抜粋する。
（５段階評価　評価５ 強くそう思う　　評価４ そう思う　　評価３ どちらともいえない　　評価２ そう思わない　　評価１ まったくそう思わない）
・あなたはこの授業を意欲的に受講しましたか？　　　　　　　　　　　　　　　【評価平均】4.8
・あなたはこの授業について、十分に復習をしましたか？　　　　　　　　　　【評価平均】4.3
・あなたにとってこの授業を受講した意義は大きかったと思われますか？ 【評価平均】4.8
・全体としてこの授業に満足しましたか？　                                         【評価平均】4.8
以上の４つの授業アンケート結果から履修学生の理解度および履修満足度が推察される。
また、自由記述欄にも「統計やビジネス文書、プログラミングなどを学ぶことができた」「パソコンの技術だけでなく、AIと将来の仕事についても考えることが出来た」「ネットモラルを含むネットで私たちが注意すべきことが学べた」など数理・DS・AIの利便性や社会での有用性だけでなく、ネット上のトラブル回避、データを守る上での留意事項などを修得したコメントが多くみられた。</t>
    <rPh sb="0" eb="1">
      <t>ホン</t>
    </rPh>
    <rPh sb="7" eb="8">
      <t>カン</t>
    </rPh>
    <rPh sb="10" eb="12">
      <t>ジュギョウ</t>
    </rPh>
    <rPh sb="18" eb="20">
      <t>レイワ</t>
    </rPh>
    <rPh sb="21" eb="23">
      <t>ネンド</t>
    </rPh>
    <rPh sb="25" eb="27">
      <t>イチブ</t>
    </rPh>
    <rPh sb="28" eb="30">
      <t>バッスイ</t>
    </rPh>
    <rPh sb="36" eb="38">
      <t>ダンカイ</t>
    </rPh>
    <rPh sb="38" eb="40">
      <t>ヒョウカ</t>
    </rPh>
    <rPh sb="145" eb="147">
      <t>ヒョウカ</t>
    </rPh>
    <rPh sb="147" eb="149">
      <t>ヘイキン</t>
    </rPh>
    <rPh sb="316" eb="318">
      <t>イジョウ</t>
    </rPh>
    <rPh sb="322" eb="324">
      <t>ジュギョウ</t>
    </rPh>
    <rPh sb="329" eb="331">
      <t>ケッカ</t>
    </rPh>
    <rPh sb="333" eb="335">
      <t>リシュウ</t>
    </rPh>
    <rPh sb="335" eb="337">
      <t>ガクセイ</t>
    </rPh>
    <rPh sb="338" eb="341">
      <t>リカイド</t>
    </rPh>
    <rPh sb="344" eb="346">
      <t>リシュウ</t>
    </rPh>
    <rPh sb="346" eb="349">
      <t>マンゾクド</t>
    </rPh>
    <rPh sb="350" eb="352">
      <t>スイサツ</t>
    </rPh>
    <rPh sb="360" eb="365">
      <t>ジユウキジュツラン</t>
    </rPh>
    <rPh sb="460" eb="461">
      <t>マナ</t>
    </rPh>
    <rPh sb="466" eb="468">
      <t>スウリ</t>
    </rPh>
    <rPh sb="475" eb="478">
      <t>リベンセイ</t>
    </rPh>
    <rPh sb="479" eb="481">
      <t>シャカイ</t>
    </rPh>
    <rPh sb="483" eb="486">
      <t>ユウヨウセイ</t>
    </rPh>
    <rPh sb="495" eb="496">
      <t>ジョウ</t>
    </rPh>
    <rPh sb="501" eb="503">
      <t>カイヒ</t>
    </rPh>
    <rPh sb="508" eb="509">
      <t>マモ</t>
    </rPh>
    <rPh sb="510" eb="511">
      <t>ウエ</t>
    </rPh>
    <rPh sb="513" eb="515">
      <t>リュウイ</t>
    </rPh>
    <rPh sb="515" eb="517">
      <t>ジコウ</t>
    </rPh>
    <rPh sb="520" eb="522">
      <t>シュウトク</t>
    </rPh>
    <rPh sb="529" eb="530">
      <t>オオ</t>
    </rPh>
    <phoneticPr fontId="1"/>
  </si>
  <si>
    <t>様式２</t>
    <phoneticPr fontId="1"/>
  </si>
  <si>
    <t>・コンピュータリテラシの基礎的な能力、ICT知識とスキルの向上。
・パソコン利用技術の習得、情報収集を主体的に行う技術の習得。
・表計算ソフトの活用能力、統計処理能力の習得。総合的な問題解決が行える能力、基礎的な統計手法の習得。
・プレゼンテーションソフトの活用能力の習得。論理的思考と基礎的なプログラミング手法の習得。</t>
    <rPh sb="84" eb="86">
      <t>シュウトク</t>
    </rPh>
    <rPh sb="111" eb="113">
      <t>シュウトク</t>
    </rPh>
    <rPh sb="134" eb="136">
      <t>シュウトク</t>
    </rPh>
    <phoneticPr fontId="1"/>
  </si>
  <si>
    <t>情報処理基礎Ⅰ～Ⅳ（数理・DS・AI教育プログラム）</t>
    <rPh sb="0" eb="2">
      <t>ジョウホウ</t>
    </rPh>
    <rPh sb="2" eb="4">
      <t>ショリ</t>
    </rPh>
    <rPh sb="4" eb="6">
      <t>キソ</t>
    </rPh>
    <rPh sb="10" eb="12">
      <t>スウリ</t>
    </rPh>
    <rPh sb="18" eb="20">
      <t>キョウイク</t>
    </rPh>
    <phoneticPr fontId="1"/>
  </si>
  <si>
    <t>教務センター・教務委員会</t>
    <rPh sb="0" eb="2">
      <t>キョウム</t>
    </rPh>
    <rPh sb="7" eb="12">
      <t>キョウムイインカイ</t>
    </rPh>
    <phoneticPr fontId="1"/>
  </si>
  <si>
    <t>センター長・委員長</t>
    <rPh sb="4" eb="5">
      <t>チョウ</t>
    </rPh>
    <rPh sb="6" eb="9">
      <t>イインチョウ</t>
    </rPh>
    <phoneticPr fontId="1"/>
  </si>
  <si>
    <t>自己点検・評価委員会</t>
    <phoneticPr fontId="1"/>
  </si>
  <si>
    <t>共通教育科目情報処理科目「情報処理基礎Ⅰ～Ⅳ」4科目4単位を修得すること。</t>
    <rPh sb="0" eb="2">
      <t>キョウツウ</t>
    </rPh>
    <rPh sb="2" eb="4">
      <t>キョウイク</t>
    </rPh>
    <rPh sb="4" eb="6">
      <t>カモク</t>
    </rPh>
    <rPh sb="6" eb="8">
      <t>ジョウホウ</t>
    </rPh>
    <rPh sb="8" eb="10">
      <t>ショリ</t>
    </rPh>
    <rPh sb="10" eb="12">
      <t>カモク</t>
    </rPh>
    <rPh sb="13" eb="15">
      <t>ジョウホウ</t>
    </rPh>
    <rPh sb="15" eb="17">
      <t>ショリ</t>
    </rPh>
    <rPh sb="17" eb="19">
      <t>キソ</t>
    </rPh>
    <rPh sb="24" eb="26">
      <t>カモク</t>
    </rPh>
    <rPh sb="27" eb="29">
      <t>タンイ</t>
    </rPh>
    <rPh sb="30" eb="32">
      <t>シュウトク</t>
    </rPh>
    <phoneticPr fontId="1"/>
  </si>
  <si>
    <t>安田女子大学・安田女子短期大学教務センター規程</t>
    <rPh sb="7" eb="9">
      <t>ヤスダ</t>
    </rPh>
    <rPh sb="9" eb="11">
      <t>ジョシ</t>
    </rPh>
    <rPh sb="11" eb="15">
      <t>タンキダイガク</t>
    </rPh>
    <phoneticPr fontId="1"/>
  </si>
  <si>
    <t>・全学部において卒業必修科目となっている。
・平成21年度からノートパソコンを必携化し、平成26年度からは、ICT活用能力の高い人材を育成することを目的として、全入学生を対象に一人一台、専用のノートパソコンを配付する取り組みを行っている。</t>
    <rPh sb="23" eb="25">
      <t>ヘイセイ</t>
    </rPh>
    <rPh sb="27" eb="29">
      <t>ネンド</t>
    </rPh>
    <rPh sb="39" eb="41">
      <t>ヒッケイ</t>
    </rPh>
    <rPh sb="41" eb="42">
      <t>カ</t>
    </rPh>
    <rPh sb="44" eb="46">
      <t>ヘイセイ</t>
    </rPh>
    <rPh sb="48" eb="50">
      <t>ネンド</t>
    </rPh>
    <rPh sb="57" eb="59">
      <t>カツヨウ</t>
    </rPh>
    <rPh sb="59" eb="61">
      <t>ノウリョク</t>
    </rPh>
    <rPh sb="62" eb="63">
      <t>タカ</t>
    </rPh>
    <rPh sb="64" eb="66">
      <t>ジンザイ</t>
    </rPh>
    <rPh sb="67" eb="69">
      <t>イクセイ</t>
    </rPh>
    <rPh sb="74" eb="76">
      <t>モクテキ</t>
    </rPh>
    <rPh sb="80" eb="81">
      <t>ゼン</t>
    </rPh>
    <rPh sb="81" eb="83">
      <t>ニュウガク</t>
    </rPh>
    <rPh sb="83" eb="84">
      <t>セイ</t>
    </rPh>
    <rPh sb="85" eb="87">
      <t>タイショウ</t>
    </rPh>
    <rPh sb="88" eb="90">
      <t>ヒトリ</t>
    </rPh>
    <rPh sb="90" eb="92">
      <t>イチダイ</t>
    </rPh>
    <rPh sb="93" eb="95">
      <t>センヨウ</t>
    </rPh>
    <rPh sb="104" eb="106">
      <t>ハイフ</t>
    </rPh>
    <rPh sb="108" eb="109">
      <t>ト</t>
    </rPh>
    <rPh sb="110" eb="111">
      <t>ク</t>
    </rPh>
    <rPh sb="113" eb="114">
      <t>オコナ</t>
    </rPh>
    <phoneticPr fontId="1"/>
  </si>
  <si>
    <t>・卒業要件に組み込まれていることを履修登録のオリエンテーションで周知している。
・入学時に配付する大学での学習の計画を立て、卒業までの条件を揃えていくための、様々な規則やルールを学則や履修規程に基づいて説明している冊子「履修の手引」に掲載している。</t>
    <rPh sb="1" eb="3">
      <t>ソツギョウ</t>
    </rPh>
    <rPh sb="3" eb="5">
      <t>ヨウケン</t>
    </rPh>
    <rPh sb="6" eb="7">
      <t>ク</t>
    </rPh>
    <rPh sb="8" eb="9">
      <t>コ</t>
    </rPh>
    <rPh sb="17" eb="21">
      <t>リシュウトウロク</t>
    </rPh>
    <rPh sb="32" eb="34">
      <t>シュウチ</t>
    </rPh>
    <rPh sb="41" eb="43">
      <t>ニュウガク</t>
    </rPh>
    <rPh sb="43" eb="44">
      <t>ジ</t>
    </rPh>
    <rPh sb="45" eb="47">
      <t>ハイフ</t>
    </rPh>
    <rPh sb="49" eb="51">
      <t>ダイガク</t>
    </rPh>
    <rPh sb="107" eb="109">
      <t>サッシ</t>
    </rPh>
    <rPh sb="110" eb="112">
      <t>リシュウ</t>
    </rPh>
    <rPh sb="113" eb="115">
      <t>テビキ</t>
    </rPh>
    <rPh sb="117" eb="119">
      <t>ケイサイ</t>
    </rPh>
    <phoneticPr fontId="1"/>
  </si>
  <si>
    <t>・入学生はガイダンスで「情報処理基礎」のクラス分けテストを受験し、習熟度別にクラスを編成。
・「情報処理基礎Ⅰ～Ⅳ」は卒業必修科目のため、履修登録は大学で一括して行っている。そのため、本科目の履修率は100％である。
・習熟度別にクラスを編成することで、レベルに応じて基礎から応用まで教育し、学生が取り残されることなく、学習効果を高めるサポート体制を取っている。</t>
    <rPh sb="1" eb="3">
      <t>ニュウガク</t>
    </rPh>
    <rPh sb="3" eb="4">
      <t>セイ</t>
    </rPh>
    <rPh sb="12" eb="14">
      <t>ジョウホウ</t>
    </rPh>
    <rPh sb="14" eb="16">
      <t>ショリ</t>
    </rPh>
    <rPh sb="16" eb="18">
      <t>キソ</t>
    </rPh>
    <rPh sb="23" eb="24">
      <t>ワ</t>
    </rPh>
    <rPh sb="29" eb="31">
      <t>ジュケン</t>
    </rPh>
    <rPh sb="110" eb="112">
      <t>シュウジュク</t>
    </rPh>
    <rPh sb="112" eb="113">
      <t>ド</t>
    </rPh>
    <rPh sb="113" eb="114">
      <t>ベツ</t>
    </rPh>
    <rPh sb="119" eb="121">
      <t>ヘンセイ</t>
    </rPh>
    <rPh sb="131" eb="132">
      <t>オウ</t>
    </rPh>
    <rPh sb="134" eb="136">
      <t>キソ</t>
    </rPh>
    <rPh sb="138" eb="140">
      <t>オウヨウ</t>
    </rPh>
    <rPh sb="142" eb="144">
      <t>キョウイク</t>
    </rPh>
    <rPh sb="146" eb="148">
      <t>ガクセイ</t>
    </rPh>
    <rPh sb="149" eb="150">
      <t>ト</t>
    </rPh>
    <rPh sb="151" eb="152">
      <t>ノコ</t>
    </rPh>
    <rPh sb="172" eb="174">
      <t>タイセイ</t>
    </rPh>
    <rPh sb="175" eb="176">
      <t>ト</t>
    </rPh>
    <phoneticPr fontId="1"/>
  </si>
  <si>
    <t>・ネットワーク社会の新技術（人工知能、IoT、自動運転）「情報処理基礎Ⅱ」（10回目）
・AI（人工知能）と未来社会「情報処理基礎Ⅱ」（11回目）</t>
    <rPh sb="29" eb="31">
      <t>ジョウホウ</t>
    </rPh>
    <rPh sb="31" eb="33">
      <t>ショリ</t>
    </rPh>
    <rPh sb="33" eb="35">
      <t>キソ</t>
    </rPh>
    <rPh sb="40" eb="42">
      <t>カイメ</t>
    </rPh>
    <phoneticPr fontId="1"/>
  </si>
  <si>
    <t>・ネットワーク社会の新技術（人工知能、IoT、自動運転）「情報処理基礎Ⅱ」（10回目）
・AI（人工知能）と未来社会「情報処理基礎Ⅱ」（11回目）</t>
    <phoneticPr fontId="1"/>
  </si>
  <si>
    <t>・著作権、ネットリテラシー「情報処理基礎Ⅰ」（5回目）
・ネットリテラシー（ネット検索、クラウド）「情報処理基礎Ⅱ」（3回目）
・ネット社会の危険性と対策・メールによるコミュニケーション「情報処理基礎Ⅱ」（9回目）</t>
    <phoneticPr fontId="1"/>
  </si>
  <si>
    <t>・問題解決型総合スキルアップ（基礎Ⅰ）：経済効果の考察とレポート作成「情報処理基礎Ⅳ」（11回目）
・問題解決型総合スキルアップ（基礎Ⅱ）：ビジネスレポートの作成「情報処理基礎Ⅳ」（12回目）
・問題解決型総合スキルアップ（応用Ⅰ）：データの集計と分析「情報処理基礎Ⅳ」（13回目）
・問題解決型総合スキルアップ（応用Ⅱ）：企業業績の集計と分析「情報処理基礎Ⅳ」（14回目）</t>
    <rPh sb="79" eb="81">
      <t>サクセイ</t>
    </rPh>
    <rPh sb="121" eb="123">
      <t>シュウケイ</t>
    </rPh>
    <rPh sb="124" eb="126">
      <t>ブンセキ</t>
    </rPh>
    <rPh sb="162" eb="166">
      <t>キギョウギョウセキ</t>
    </rPh>
    <rPh sb="167" eb="169">
      <t>シュウケイ</t>
    </rPh>
    <rPh sb="170" eb="172">
      <t>ブンセキ</t>
    </rPh>
    <phoneticPr fontId="1"/>
  </si>
  <si>
    <t>・問題解決型総合スキルアップ（基礎Ⅰ）：経済効果の考察とレポート作成「情報処理基礎Ⅳ」（11回目）
・問題解決型総合スキルアップ（基礎Ⅱ）：ビジネスレポートの作成「情報処理基礎Ⅳ」（12回目）
・問題解決型総合スキルアップ（応用Ⅰ）：データの集計と分析「情報処理基礎Ⅳ」（13回目）
・問題解決型総合スキルアップ（応用Ⅱ）：企業業績の集計と分析「情報処理基礎Ⅳ」（14回目）</t>
    <phoneticPr fontId="1"/>
  </si>
  <si>
    <t>・統計手法：基本統計量（代表値と散布度）を表計算ソフトで学ぶ「情報処理基礎Ⅲ」（8回目）
・統計手法：平均値と中央値の意味、標準偏差を表計算ソフトで学ぶ「情報処理基礎Ⅲ」（9回目）
・統計手法：散布図と相関分析（正の相関、負の相関）を表計算ソフトで学ぶ「情報処理基礎Ⅲ」（10回目）
・統計手法：正規分布と標準正規分布（95％の意味）を表計算ソフトで学ぶ「情報処理基礎Ⅲ」（11回目）</t>
    <phoneticPr fontId="1"/>
  </si>
  <si>
    <t>https://www.yasuda-u.ac.jp/outline/report/page/datascience.html</t>
    <phoneticPr fontId="1"/>
  </si>
  <si>
    <t>https://www.yasuda-u.ac.jp/outline/report/images/20220705R3tenken.pdf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</si>
</sst>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9"/>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297">
    <xf numFmtId="0" fontId="0" fillId="0" borderId="0" xfId="0">
      <alignment vertical="center"/>
    </xf>
    <xf numFmtId="0" fontId="2" fillId="0" borderId="0" xfId="0" applyFont="1">
      <alignment vertical="center"/>
    </xf>
    <xf numFmtId="0" fontId="3" fillId="0" borderId="0" xfId="0" applyFont="1">
      <alignment vertical="center"/>
    </xf>
    <xf numFmtId="176" fontId="6" fillId="0" borderId="0" xfId="0" applyNumberFormat="1" applyFont="1" applyBorder="1">
      <alignment vertical="center"/>
    </xf>
    <xf numFmtId="176" fontId="6" fillId="0" borderId="3" xfId="0" applyNumberFormat="1" applyFont="1" applyBorder="1" applyAlignment="1">
      <alignment vertical="center" shrinkToFit="1"/>
    </xf>
    <xf numFmtId="0" fontId="6" fillId="0" borderId="0" xfId="0" applyFont="1" applyBorder="1" applyAlignment="1">
      <alignment horizontal="center" vertical="center" shrinkToFit="1"/>
    </xf>
    <xf numFmtId="0" fontId="7" fillId="0" borderId="0" xfId="0" applyFont="1">
      <alignment vertical="center"/>
    </xf>
    <xf numFmtId="0" fontId="6" fillId="0" borderId="0" xfId="0" applyFont="1">
      <alignmen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Border="1" applyAlignment="1">
      <alignment vertical="center"/>
    </xf>
    <xf numFmtId="0" fontId="6" fillId="0" borderId="5" xfId="0" applyFont="1" applyBorder="1">
      <alignment vertical="center"/>
    </xf>
    <xf numFmtId="176" fontId="6" fillId="0" borderId="0" xfId="0" applyNumberFormat="1" applyFont="1" applyBorder="1" applyAlignment="1">
      <alignment vertical="center" wrapText="1"/>
    </xf>
    <xf numFmtId="0" fontId="6" fillId="0" borderId="0" xfId="0" applyFont="1" applyBorder="1">
      <alignment vertical="center"/>
    </xf>
    <xf numFmtId="176" fontId="6" fillId="0" borderId="5" xfId="0" applyNumberFormat="1" applyFont="1" applyBorder="1" applyAlignment="1">
      <alignment vertical="center"/>
    </xf>
    <xf numFmtId="176" fontId="6" fillId="0" borderId="0" xfId="0" applyNumberFormat="1" applyFont="1" applyAlignment="1">
      <alignment vertical="center" wrapText="1"/>
    </xf>
    <xf numFmtId="176" fontId="6" fillId="0" borderId="0" xfId="0" applyNumberFormat="1" applyFont="1" applyAlignment="1">
      <alignment horizontal="left" vertical="center" wrapText="1"/>
    </xf>
    <xf numFmtId="0" fontId="6" fillId="0" borderId="6" xfId="0" applyFont="1" applyBorder="1" applyAlignment="1">
      <alignment vertical="center" shrinkToFit="1"/>
    </xf>
    <xf numFmtId="0" fontId="6" fillId="0" borderId="1" xfId="0" applyFont="1" applyBorder="1">
      <alignment vertical="center"/>
    </xf>
    <xf numFmtId="0" fontId="6" fillId="0" borderId="2" xfId="0" applyFont="1" applyBorder="1">
      <alignment vertical="center"/>
    </xf>
    <xf numFmtId="0" fontId="6" fillId="0" borderId="4" xfId="0" applyFont="1" applyBorder="1">
      <alignment vertical="center"/>
    </xf>
    <xf numFmtId="0" fontId="6" fillId="0" borderId="0" xfId="0" applyFont="1" applyAlignment="1">
      <alignment horizontal="center" vertical="center"/>
    </xf>
    <xf numFmtId="0" fontId="6" fillId="0" borderId="1" xfId="0" applyFont="1" applyBorder="1" applyAlignment="1">
      <alignment vertical="center" shrinkToFit="1"/>
    </xf>
    <xf numFmtId="0" fontId="8" fillId="0" borderId="0" xfId="0" applyFont="1">
      <alignment vertical="center"/>
    </xf>
    <xf numFmtId="0" fontId="9" fillId="0" borderId="0" xfId="0" applyFont="1">
      <alignment vertical="center"/>
    </xf>
    <xf numFmtId="0" fontId="6" fillId="0" borderId="0" xfId="0" applyFont="1" applyBorder="1" applyAlignment="1">
      <alignment horizontal="center" vertical="center"/>
    </xf>
    <xf numFmtId="0" fontId="6" fillId="0" borderId="0" xfId="0" applyFont="1" applyBorder="1" applyAlignment="1">
      <alignment vertical="center" shrinkToFit="1"/>
    </xf>
    <xf numFmtId="0" fontId="3" fillId="0" borderId="0" xfId="0" applyFont="1" applyAlignment="1">
      <alignment horizontal="center"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wrapText="1"/>
    </xf>
    <xf numFmtId="0" fontId="13" fillId="0" borderId="30" xfId="0" applyFont="1" applyBorder="1" applyAlignment="1">
      <alignment horizontal="center" vertical="center"/>
    </xf>
    <xf numFmtId="0" fontId="13"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6" fillId="0" borderId="0" xfId="0" applyFont="1" applyBorder="1" applyAlignment="1">
      <alignment vertical="center" shrinkToFit="1"/>
    </xf>
    <xf numFmtId="0" fontId="6" fillId="0" borderId="0" xfId="0" applyFont="1" applyFill="1">
      <alignment vertical="center"/>
    </xf>
    <xf numFmtId="0" fontId="6" fillId="0" borderId="10" xfId="0" applyFont="1" applyBorder="1" applyAlignment="1">
      <alignment vertical="center" shrinkToFit="1"/>
    </xf>
    <xf numFmtId="49" fontId="16" fillId="0" borderId="1" xfId="0" applyNumberFormat="1" applyFont="1" applyBorder="1" applyAlignment="1">
      <alignment horizontal="center" vertical="center"/>
    </xf>
    <xf numFmtId="0" fontId="6" fillId="0" borderId="0" xfId="0" applyFont="1" applyAlignment="1">
      <alignment vertical="center" shrinkToFit="1"/>
    </xf>
    <xf numFmtId="0" fontId="6" fillId="0" borderId="0" xfId="0" applyFont="1" applyAlignment="1">
      <alignment vertical="top" wrapText="1"/>
    </xf>
    <xf numFmtId="0" fontId="7" fillId="0" borderId="2" xfId="0" applyFont="1" applyBorder="1">
      <alignment vertical="center"/>
    </xf>
    <xf numFmtId="0" fontId="7" fillId="0" borderId="4" xfId="0" applyFont="1" applyBorder="1">
      <alignment vertical="center"/>
    </xf>
    <xf numFmtId="49" fontId="16" fillId="0" borderId="47" xfId="0" applyNumberFormat="1" applyFont="1" applyBorder="1" applyAlignment="1">
      <alignment horizontal="center" vertical="center"/>
    </xf>
    <xf numFmtId="49" fontId="16" fillId="0" borderId="33" xfId="0" applyNumberFormat="1" applyFont="1" applyBorder="1" applyAlignment="1">
      <alignment horizontal="center" vertical="center"/>
    </xf>
    <xf numFmtId="49" fontId="16" fillId="0" borderId="50" xfId="0" applyNumberFormat="1" applyFont="1" applyBorder="1" applyAlignment="1">
      <alignment horizontal="center" vertical="center"/>
    </xf>
    <xf numFmtId="0" fontId="6" fillId="0" borderId="44" xfId="0" applyFont="1" applyBorder="1" applyAlignment="1">
      <alignment horizontal="center" vertical="center" shrinkToFit="1"/>
    </xf>
    <xf numFmtId="0" fontId="6" fillId="0" borderId="45" xfId="0" applyFont="1" applyBorder="1" applyAlignment="1">
      <alignment horizontal="center" vertical="center" shrinkToFit="1"/>
    </xf>
    <xf numFmtId="49" fontId="16"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6" fillId="0" borderId="7" xfId="0" applyFont="1" applyBorder="1" applyAlignment="1">
      <alignment horizontal="center" vertical="center" wrapText="1" shrinkToFit="1"/>
    </xf>
    <xf numFmtId="9" fontId="6" fillId="0" borderId="8" xfId="0" applyNumberFormat="1" applyFont="1" applyBorder="1" applyAlignment="1">
      <alignment horizontal="center" vertical="center" wrapText="1" shrinkToFit="1"/>
    </xf>
    <xf numFmtId="0" fontId="6" fillId="0" borderId="8" xfId="0" applyFont="1" applyBorder="1" applyAlignment="1">
      <alignment horizontal="center" vertical="center" wrapText="1" shrinkToFit="1"/>
    </xf>
    <xf numFmtId="9" fontId="6" fillId="0" borderId="8" xfId="0" applyNumberFormat="1" applyFont="1" applyBorder="1" applyAlignment="1">
      <alignment horizontal="center" vertical="center" shrinkToFit="1"/>
    </xf>
    <xf numFmtId="0" fontId="6" fillId="0" borderId="9" xfId="0" applyFont="1" applyBorder="1" applyAlignment="1">
      <alignment horizontal="center" vertical="center" shrinkToFit="1"/>
    </xf>
    <xf numFmtId="9" fontId="6" fillId="0" borderId="45" xfId="0" applyNumberFormat="1" applyFont="1" applyBorder="1" applyAlignment="1">
      <alignment horizontal="center" vertical="center" shrinkToFit="1"/>
    </xf>
    <xf numFmtId="176" fontId="6" fillId="0" borderId="45" xfId="0" applyNumberFormat="1" applyFont="1" applyBorder="1" applyAlignment="1">
      <alignment horizontal="center" vertical="center" shrinkToFit="1"/>
    </xf>
    <xf numFmtId="0" fontId="6" fillId="0" borderId="46" xfId="0" applyFont="1" applyBorder="1" applyAlignment="1">
      <alignment horizontal="center" vertical="center" shrinkToFit="1"/>
    </xf>
    <xf numFmtId="0" fontId="6" fillId="0" borderId="2"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49" fontId="16" fillId="0" borderId="52" xfId="0" applyNumberFormat="1" applyFont="1" applyBorder="1" applyAlignment="1">
      <alignment horizontal="center" vertical="center"/>
    </xf>
    <xf numFmtId="49" fontId="16" fillId="0" borderId="29" xfId="0" applyNumberFormat="1" applyFont="1" applyBorder="1" applyAlignment="1">
      <alignment horizontal="center" vertical="center"/>
    </xf>
    <xf numFmtId="0" fontId="19" fillId="0" borderId="4"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3" fillId="0" borderId="0" xfId="0" applyFont="1" applyBorder="1" applyAlignment="1">
      <alignment vertical="center" shrinkToFit="1"/>
    </xf>
    <xf numFmtId="0" fontId="6" fillId="0" borderId="1" xfId="0" applyFont="1" applyBorder="1" applyAlignment="1">
      <alignment horizontal="center" vertical="center" shrinkToFit="1"/>
    </xf>
    <xf numFmtId="0" fontId="6" fillId="0" borderId="18" xfId="0" applyFont="1" applyBorder="1" applyAlignment="1">
      <alignment horizontal="center" vertical="center"/>
    </xf>
    <xf numFmtId="0" fontId="6" fillId="0" borderId="42" xfId="0" applyFont="1" applyBorder="1" applyAlignment="1">
      <alignment horizontal="center" vertical="center"/>
    </xf>
    <xf numFmtId="0" fontId="6" fillId="0" borderId="38" xfId="0" applyFont="1" applyBorder="1" applyAlignment="1">
      <alignment horizontal="center" vertical="center"/>
    </xf>
    <xf numFmtId="0" fontId="6" fillId="0" borderId="43" xfId="0" applyFont="1" applyBorder="1" applyAlignment="1">
      <alignment horizontal="center" vertical="center" shrinkToFit="1"/>
    </xf>
    <xf numFmtId="0" fontId="6" fillId="0" borderId="0" xfId="0" applyFont="1" applyAlignment="1">
      <alignment horizontal="right" vertical="center"/>
    </xf>
    <xf numFmtId="0" fontId="6" fillId="0" borderId="0" xfId="0" applyFont="1" applyAlignment="1">
      <alignment vertical="center" wrapText="1"/>
    </xf>
    <xf numFmtId="0" fontId="15" fillId="0" borderId="0" xfId="0" applyFont="1" applyAlignment="1">
      <alignment horizontal="center" vertical="center"/>
    </xf>
    <xf numFmtId="38" fontId="3" fillId="0" borderId="26" xfId="1" applyFont="1" applyBorder="1" applyAlignment="1">
      <alignment vertical="center" shrinkToFit="1"/>
    </xf>
    <xf numFmtId="38" fontId="3" fillId="0" borderId="25" xfId="1" applyFont="1" applyBorder="1" applyAlignment="1">
      <alignment vertical="center" shrinkToFit="1"/>
    </xf>
    <xf numFmtId="38" fontId="3" fillId="0" borderId="19" xfId="1" applyFont="1" applyBorder="1" applyAlignment="1">
      <alignment vertical="center" shrinkToFit="1"/>
    </xf>
    <xf numFmtId="0" fontId="20" fillId="0" borderId="0" xfId="0" applyFont="1">
      <alignment vertical="center"/>
    </xf>
    <xf numFmtId="0" fontId="16" fillId="0" borderId="0" xfId="0" applyFont="1" applyAlignment="1">
      <alignment vertical="top" wrapText="1"/>
    </xf>
    <xf numFmtId="0" fontId="16" fillId="0" borderId="0" xfId="0" applyFont="1" applyAlignment="1">
      <alignment vertical="top" shrinkToFit="1"/>
    </xf>
    <xf numFmtId="0" fontId="16" fillId="0" borderId="0" xfId="0" applyFont="1" applyAlignment="1">
      <alignment vertical="center" wrapText="1"/>
    </xf>
    <xf numFmtId="0" fontId="16" fillId="0" borderId="10" xfId="0" applyFont="1" applyBorder="1" applyAlignment="1">
      <alignment vertical="top" wrapText="1"/>
    </xf>
    <xf numFmtId="0" fontId="16" fillId="0" borderId="5" xfId="0" applyFont="1" applyBorder="1" applyAlignment="1">
      <alignment vertical="top" wrapText="1"/>
    </xf>
    <xf numFmtId="0" fontId="6" fillId="0" borderId="16" xfId="0" applyFont="1" applyBorder="1">
      <alignment vertical="center"/>
    </xf>
    <xf numFmtId="0" fontId="16" fillId="0" borderId="20" xfId="0" applyFont="1" applyBorder="1" applyAlignment="1">
      <alignment vertical="top" wrapText="1"/>
    </xf>
    <xf numFmtId="0" fontId="16" fillId="0" borderId="18" xfId="0" applyFont="1" applyBorder="1" applyAlignment="1">
      <alignment vertical="top" wrapText="1"/>
    </xf>
    <xf numFmtId="0" fontId="16" fillId="0" borderId="20" xfId="0" applyFont="1" applyBorder="1" applyAlignment="1">
      <alignment vertical="top" shrinkToFit="1"/>
    </xf>
    <xf numFmtId="0" fontId="16" fillId="0" borderId="18" xfId="0" applyFont="1" applyBorder="1" applyAlignment="1">
      <alignment vertical="top" shrinkToFit="1"/>
    </xf>
    <xf numFmtId="49" fontId="14" fillId="0" borderId="2" xfId="2" applyNumberFormat="1" applyFont="1" applyBorder="1" applyAlignment="1">
      <alignment vertical="center" shrinkToFit="1"/>
    </xf>
    <xf numFmtId="49" fontId="6" fillId="0" borderId="3" xfId="0" applyNumberFormat="1" applyFont="1" applyBorder="1" applyAlignment="1">
      <alignment vertical="center" shrinkToFit="1"/>
    </xf>
    <xf numFmtId="49" fontId="6" fillId="0" borderId="4" xfId="0" applyNumberFormat="1" applyFont="1" applyBorder="1" applyAlignment="1">
      <alignment vertical="center" shrinkToFit="1"/>
    </xf>
    <xf numFmtId="49" fontId="6" fillId="0" borderId="2" xfId="1" applyNumberFormat="1" applyFont="1" applyBorder="1" applyAlignment="1">
      <alignment horizontal="center" vertical="center" shrinkToFit="1"/>
    </xf>
    <xf numFmtId="49" fontId="6" fillId="0" borderId="3" xfId="1" applyNumberFormat="1" applyFont="1" applyBorder="1" applyAlignment="1">
      <alignment horizontal="center" vertical="center" shrinkToFit="1"/>
    </xf>
    <xf numFmtId="49" fontId="6" fillId="0" borderId="4" xfId="1" applyNumberFormat="1" applyFont="1" applyBorder="1" applyAlignment="1">
      <alignment horizontal="center" vertical="center" shrinkToFit="1"/>
    </xf>
    <xf numFmtId="0" fontId="6" fillId="0" borderId="0" xfId="0" applyFont="1" applyBorder="1" applyAlignment="1">
      <alignment horizontal="center" vertical="center"/>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176" fontId="6" fillId="0" borderId="2" xfId="0" applyNumberFormat="1" applyFont="1" applyBorder="1" applyAlignment="1">
      <alignment horizontal="center" vertical="center" shrinkToFit="1"/>
    </xf>
    <xf numFmtId="176" fontId="6" fillId="0" borderId="4" xfId="0" applyNumberFormat="1" applyFont="1" applyBorder="1" applyAlignment="1">
      <alignment horizontal="center"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0" xfId="0" applyFont="1" applyBorder="1" applyAlignment="1">
      <alignment horizontal="right" vertical="center" shrinkToFit="1"/>
    </xf>
    <xf numFmtId="0" fontId="6" fillId="0" borderId="5" xfId="0" applyFont="1" applyBorder="1" applyAlignment="1">
      <alignment horizontal="right" vertical="center" shrinkToFit="1"/>
    </xf>
    <xf numFmtId="0" fontId="6" fillId="0" borderId="10" xfId="0" applyFont="1" applyBorder="1" applyAlignment="1">
      <alignment horizontal="right" vertical="center" shrinkToFit="1"/>
    </xf>
    <xf numFmtId="0" fontId="6" fillId="0" borderId="0" xfId="0" applyFont="1" applyAlignment="1">
      <alignment horizontal="right" vertical="center"/>
    </xf>
    <xf numFmtId="0" fontId="6" fillId="0" borderId="0" xfId="0" applyFont="1" applyBorder="1" applyAlignment="1">
      <alignment horizontal="right" vertical="center"/>
    </xf>
    <xf numFmtId="0" fontId="6" fillId="0" borderId="10" xfId="0" applyFont="1" applyBorder="1" applyAlignment="1">
      <alignment horizontal="right" vertical="center"/>
    </xf>
    <xf numFmtId="176" fontId="6" fillId="0" borderId="3" xfId="0" applyNumberFormat="1" applyFont="1" applyBorder="1" applyAlignment="1">
      <alignment horizontal="center" vertical="center" shrinkToFit="1"/>
    </xf>
    <xf numFmtId="0" fontId="10" fillId="0" borderId="0" xfId="0" applyFont="1" applyAlignment="1">
      <alignment horizontal="center" vertical="center"/>
    </xf>
    <xf numFmtId="0" fontId="6" fillId="0" borderId="2" xfId="0" applyNumberFormat="1" applyFont="1" applyBorder="1" applyAlignment="1">
      <alignment horizontal="center" vertical="center"/>
    </xf>
    <xf numFmtId="0" fontId="6" fillId="0" borderId="4" xfId="0" applyNumberFormat="1"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0" fontId="6" fillId="0" borderId="0" xfId="0" applyFont="1" applyBorder="1" applyAlignment="1">
      <alignment vertical="center" shrinkToFit="1"/>
    </xf>
    <xf numFmtId="0" fontId="6" fillId="0" borderId="37" xfId="0" applyFont="1" applyBorder="1" applyAlignment="1">
      <alignment vertical="center"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37"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38" xfId="0" applyFont="1" applyBorder="1" applyAlignment="1">
      <alignment horizontal="center" vertical="center" shrinkToFit="1"/>
    </xf>
    <xf numFmtId="0" fontId="7" fillId="0" borderId="19" xfId="0" applyFont="1" applyBorder="1" applyAlignment="1">
      <alignment vertical="center" wrapText="1"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18" fillId="0" borderId="48" xfId="0" applyFont="1" applyBorder="1" applyAlignment="1">
      <alignment vertical="center" wrapText="1"/>
    </xf>
    <xf numFmtId="0" fontId="18" fillId="0" borderId="49" xfId="0" applyFont="1" applyBorder="1" applyAlignment="1">
      <alignment vertical="center" wrapText="1"/>
    </xf>
    <xf numFmtId="0" fontId="17" fillId="0" borderId="48" xfId="0" applyFont="1" applyBorder="1" applyAlignment="1">
      <alignment vertical="center" wrapText="1"/>
    </xf>
    <xf numFmtId="0" fontId="17" fillId="0" borderId="32" xfId="0" applyFont="1" applyBorder="1" applyAlignment="1">
      <alignment vertical="center" wrapText="1"/>
    </xf>
    <xf numFmtId="0" fontId="7" fillId="0" borderId="39" xfId="0" applyFont="1" applyBorder="1" applyAlignment="1">
      <alignment vertical="center" wrapText="1"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6" xfId="0" applyFont="1" applyBorder="1" applyAlignment="1">
      <alignment vertical="center" wrapText="1" shrinkToFit="1"/>
    </xf>
    <xf numFmtId="0" fontId="7" fillId="0" borderId="6" xfId="0" applyFont="1" applyBorder="1" applyAlignment="1">
      <alignment vertical="center" shrinkToFit="1"/>
    </xf>
    <xf numFmtId="0" fontId="7" fillId="0" borderId="12" xfId="0" applyFont="1" applyBorder="1" applyAlignment="1">
      <alignment vertical="center" shrinkToFit="1"/>
    </xf>
    <xf numFmtId="0" fontId="18" fillId="0" borderId="32" xfId="0" applyFont="1" applyBorder="1" applyAlignment="1">
      <alignment vertical="center" wrapTex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7" fillId="0" borderId="20" xfId="0" applyFont="1" applyBorder="1" applyAlignment="1">
      <alignment horizontal="left" vertical="center" wrapText="1"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6" fillId="0" borderId="37" xfId="0" applyFont="1" applyBorder="1" applyAlignment="1">
      <alignment horizontal="left" vertical="center"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6" fillId="0" borderId="19" xfId="0" applyFont="1" applyBorder="1" applyAlignment="1">
      <alignment horizontal="left" vertical="center"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0" xfId="0" applyFont="1" applyAlignment="1">
      <alignment vertical="center" wrapText="1"/>
    </xf>
    <xf numFmtId="0" fontId="6" fillId="0" borderId="40"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15" fillId="0" borderId="0" xfId="0" applyFont="1" applyAlignment="1">
      <alignment horizontal="center" vertical="center"/>
    </xf>
    <xf numFmtId="0" fontId="6" fillId="0" borderId="7" xfId="0" applyFont="1" applyBorder="1" applyAlignment="1">
      <alignment horizontal="left" vertical="top" shrinkToFit="1"/>
    </xf>
    <xf numFmtId="0" fontId="6" fillId="0" borderId="8" xfId="0" applyFont="1" applyBorder="1" applyAlignment="1">
      <alignment horizontal="left" vertical="top" shrinkToFit="1"/>
    </xf>
    <xf numFmtId="0" fontId="6" fillId="0" borderId="9" xfId="0" applyFont="1" applyBorder="1" applyAlignment="1">
      <alignment horizontal="left" vertical="top" shrinkToFit="1"/>
    </xf>
    <xf numFmtId="0" fontId="6" fillId="0" borderId="5" xfId="0" applyFont="1" applyBorder="1" applyAlignment="1">
      <alignment horizontal="left" vertical="top" shrinkToFit="1"/>
    </xf>
    <xf numFmtId="0" fontId="6" fillId="0" borderId="0" xfId="0" applyFont="1" applyBorder="1" applyAlignment="1">
      <alignment horizontal="left" vertical="top" shrinkToFit="1"/>
    </xf>
    <xf numFmtId="0" fontId="6" fillId="0" borderId="10" xfId="0" applyFont="1" applyBorder="1" applyAlignment="1">
      <alignment horizontal="left" vertical="top" shrinkToFit="1"/>
    </xf>
    <xf numFmtId="0" fontId="6" fillId="0" borderId="0" xfId="0" applyFont="1" applyAlignment="1">
      <alignment horizontal="left" vertical="top" shrinkToFit="1"/>
    </xf>
    <xf numFmtId="0" fontId="6" fillId="0" borderId="11" xfId="0" applyFont="1" applyBorder="1" applyAlignment="1">
      <alignment horizontal="left" vertical="top" shrinkToFit="1"/>
    </xf>
    <xf numFmtId="0" fontId="6" fillId="0" borderId="6" xfId="0" applyFont="1" applyBorder="1" applyAlignment="1">
      <alignment horizontal="left" vertical="top" shrinkToFit="1"/>
    </xf>
    <xf numFmtId="0" fontId="6" fillId="0" borderId="12" xfId="0" applyFont="1" applyBorder="1" applyAlignment="1">
      <alignment horizontal="left" vertical="top" shrinkToFit="1"/>
    </xf>
    <xf numFmtId="0" fontId="7" fillId="0" borderId="22" xfId="0" applyFont="1" applyBorder="1" applyAlignment="1">
      <alignment horizontal="left" vertical="center" wrapText="1" shrinkToFit="1"/>
    </xf>
    <xf numFmtId="0" fontId="7" fillId="0" borderId="22" xfId="0" applyFont="1" applyBorder="1" applyAlignment="1">
      <alignment horizontal="left" vertical="center" shrinkToFit="1"/>
    </xf>
    <xf numFmtId="0" fontId="7" fillId="0" borderId="21" xfId="0" applyFont="1" applyBorder="1" applyAlignment="1">
      <alignment horizontal="left" vertical="center" shrinkToFit="1"/>
    </xf>
    <xf numFmtId="0" fontId="7" fillId="0" borderId="39" xfId="0" applyFont="1" applyBorder="1" applyAlignment="1">
      <alignment horizontal="left" vertical="center" wrapText="1" shrinkToFit="1"/>
    </xf>
    <xf numFmtId="0" fontId="7" fillId="0" borderId="39" xfId="0" applyFont="1" applyBorder="1" applyAlignment="1">
      <alignment horizontal="left" vertical="center" shrinkToFit="1"/>
    </xf>
    <xf numFmtId="0" fontId="7" fillId="0" borderId="38" xfId="0" applyFont="1" applyBorder="1" applyAlignment="1">
      <alignment horizontal="left" vertical="center" shrinkToFit="1"/>
    </xf>
    <xf numFmtId="0" fontId="7" fillId="0" borderId="6" xfId="0" applyFont="1" applyBorder="1" applyAlignment="1">
      <alignment horizontal="left" vertical="center" wrapText="1" shrinkToFit="1"/>
    </xf>
    <xf numFmtId="0" fontId="7" fillId="0" borderId="6" xfId="0" applyFont="1" applyBorder="1" applyAlignment="1">
      <alignment horizontal="left" vertical="center" shrinkToFit="1"/>
    </xf>
    <xf numFmtId="0" fontId="7" fillId="0" borderId="12" xfId="0" applyFont="1" applyBorder="1" applyAlignment="1">
      <alignment horizontal="left" vertical="center" shrinkToFit="1"/>
    </xf>
    <xf numFmtId="0" fontId="7" fillId="0" borderId="41" xfId="0" applyFont="1" applyBorder="1" applyAlignment="1">
      <alignment horizontal="left" vertical="center" wrapText="1" shrinkToFit="1"/>
    </xf>
    <xf numFmtId="0" fontId="7" fillId="0" borderId="41" xfId="0" applyFont="1" applyBorder="1" applyAlignment="1">
      <alignment horizontal="left" vertical="center" shrinkToFit="1"/>
    </xf>
    <xf numFmtId="0" fontId="7" fillId="0" borderId="42" xfId="0" applyFont="1" applyBorder="1" applyAlignment="1">
      <alignment horizontal="left" vertical="center" shrinkToFit="1"/>
    </xf>
    <xf numFmtId="0" fontId="6" fillId="0" borderId="40" xfId="0" applyFont="1" applyBorder="1" applyAlignment="1">
      <alignment vertical="center" shrinkToFit="1"/>
    </xf>
    <xf numFmtId="0" fontId="6" fillId="0" borderId="41" xfId="0" applyFont="1" applyBorder="1" applyAlignment="1">
      <alignment vertical="center" shrinkToFit="1"/>
    </xf>
    <xf numFmtId="0" fontId="6" fillId="0" borderId="42" xfId="0" applyFont="1" applyBorder="1" applyAlignment="1">
      <alignment vertical="center" shrinkToFit="1"/>
    </xf>
    <xf numFmtId="0" fontId="6" fillId="0" borderId="40"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42" xfId="0" applyFont="1" applyBorder="1" applyAlignment="1">
      <alignment horizontal="center" vertical="center" shrinkToFi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7" fillId="0" borderId="7" xfId="0" applyFont="1" applyBorder="1" applyAlignment="1">
      <alignment vertical="center" wrapText="1" shrinkToFit="1"/>
    </xf>
    <xf numFmtId="0" fontId="7" fillId="0" borderId="8" xfId="0" applyFont="1" applyBorder="1" applyAlignment="1">
      <alignment vertical="center" shrinkToFit="1"/>
    </xf>
    <xf numFmtId="0" fontId="7" fillId="0" borderId="9" xfId="0" applyFont="1" applyBorder="1" applyAlignment="1">
      <alignment vertical="center" shrinkToFit="1"/>
    </xf>
    <xf numFmtId="0" fontId="7" fillId="0" borderId="5" xfId="0" applyFont="1" applyBorder="1" applyAlignment="1">
      <alignment vertical="center" shrinkToFit="1"/>
    </xf>
    <xf numFmtId="0" fontId="7" fillId="0" borderId="0" xfId="0" applyFont="1" applyBorder="1" applyAlignment="1">
      <alignment vertical="center" shrinkToFit="1"/>
    </xf>
    <xf numFmtId="0" fontId="7" fillId="0" borderId="10" xfId="0" applyFont="1" applyBorder="1" applyAlignment="1">
      <alignment vertical="center" shrinkToFit="1"/>
    </xf>
    <xf numFmtId="0" fontId="7" fillId="0" borderId="11" xfId="0" applyFont="1" applyBorder="1" applyAlignment="1">
      <alignment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4" xfId="0" applyFont="1" applyBorder="1" applyAlignment="1">
      <alignment vertical="center" shrinkToFit="1"/>
    </xf>
    <xf numFmtId="0" fontId="7" fillId="0" borderId="0" xfId="0" applyFont="1" applyAlignment="1">
      <alignment horizontal="center" vertical="center"/>
    </xf>
    <xf numFmtId="0" fontId="2" fillId="0" borderId="0" xfId="0" applyFont="1" applyAlignment="1">
      <alignment horizontal="right" vertical="center"/>
    </xf>
    <xf numFmtId="0" fontId="11"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3" fillId="0" borderId="15" xfId="0" applyFont="1" applyBorder="1" applyAlignment="1">
      <alignment horizontal="center" vertical="center" wrapText="1"/>
    </xf>
    <xf numFmtId="0" fontId="13"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6" fillId="0" borderId="16" xfId="0" applyFont="1" applyBorder="1" applyAlignment="1">
      <alignment vertical="top" wrapText="1" shrinkToFit="1"/>
    </xf>
    <xf numFmtId="0" fontId="6" fillId="0" borderId="22" xfId="0" applyFont="1" applyBorder="1" applyAlignment="1">
      <alignment vertical="top" shrinkToFit="1"/>
    </xf>
    <xf numFmtId="0" fontId="6" fillId="0" borderId="21" xfId="0" applyFont="1" applyBorder="1" applyAlignment="1">
      <alignment vertical="top" shrinkToFit="1"/>
    </xf>
    <xf numFmtId="0" fontId="6" fillId="0" borderId="5" xfId="0" applyFont="1" applyBorder="1" applyAlignment="1">
      <alignment vertical="top" shrinkToFit="1"/>
    </xf>
    <xf numFmtId="0" fontId="6" fillId="0" borderId="0" xfId="0" applyFont="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4" xfId="0" applyFont="1" applyBorder="1" applyAlignment="1">
      <alignment vertical="center" shrinkToFit="1"/>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6" xfId="0" applyFont="1" applyBorder="1">
      <alignment vertical="center"/>
    </xf>
    <xf numFmtId="0" fontId="6" fillId="0" borderId="17" xfId="0" applyFont="1" applyBorder="1">
      <alignment vertical="center"/>
    </xf>
    <xf numFmtId="0" fontId="18" fillId="0" borderId="18" xfId="0" applyFont="1" applyBorder="1">
      <alignment vertical="center"/>
    </xf>
    <xf numFmtId="0" fontId="6" fillId="0" borderId="19" xfId="0" applyFont="1" applyBorder="1" applyAlignment="1">
      <alignment vertical="top" wrapText="1" shrinkToFi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14" fillId="0" borderId="2" xfId="2" applyFont="1" applyBorder="1" applyAlignment="1">
      <alignment horizontal="center" vertical="center" shrinkToFit="1"/>
    </xf>
    <xf numFmtId="0" fontId="14" fillId="0" borderId="3" xfId="2" applyFont="1" applyBorder="1" applyAlignment="1">
      <alignment horizontal="center" vertical="center" shrinkToFit="1"/>
    </xf>
    <xf numFmtId="0" fontId="14" fillId="0" borderId="4" xfId="2" applyFont="1" applyBorder="1" applyAlignment="1">
      <alignment horizontal="center" vertical="center" shrinkToFit="1"/>
    </xf>
    <xf numFmtId="0" fontId="6" fillId="0" borderId="19" xfId="0" applyFont="1" applyBorder="1" applyAlignment="1">
      <alignment vertical="center" wrapText="1"/>
    </xf>
    <xf numFmtId="0" fontId="6"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19" zoomScaleNormal="100" zoomScaleSheetLayoutView="100" workbookViewId="0">
      <selection activeCell="G43" sqref="G43"/>
    </sheetView>
  </sheetViews>
  <sheetFormatPr defaultColWidth="9" defaultRowHeight="18.75" customHeight="1" x14ac:dyDescent="0.15"/>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75" style="7" customWidth="1"/>
    <col min="13" max="13" width="3.375" style="7" customWidth="1"/>
    <col min="14" max="14" width="4.5" style="7" customWidth="1"/>
    <col min="15" max="15" width="9" style="23"/>
    <col min="16" max="16384" width="9" style="6"/>
  </cols>
  <sheetData>
    <row r="1" spans="1:15" ht="24" customHeight="1" x14ac:dyDescent="0.15">
      <c r="M1" s="133" t="s">
        <v>25</v>
      </c>
      <c r="N1" s="133"/>
    </row>
    <row r="2" spans="1:15" ht="24" customHeight="1" x14ac:dyDescent="0.15">
      <c r="A2" s="137" t="s">
        <v>83</v>
      </c>
      <c r="B2" s="137"/>
      <c r="C2" s="137"/>
      <c r="D2" s="137"/>
      <c r="E2" s="137"/>
      <c r="F2" s="137"/>
      <c r="G2" s="137"/>
      <c r="H2" s="137"/>
      <c r="I2" s="137"/>
      <c r="J2" s="137"/>
      <c r="K2" s="137"/>
      <c r="L2" s="137"/>
      <c r="M2" s="137"/>
      <c r="N2" s="137"/>
    </row>
    <row r="3" spans="1:15" ht="24" customHeight="1" x14ac:dyDescent="0.15"/>
    <row r="4" spans="1:15" ht="24" customHeight="1" x14ac:dyDescent="0.15">
      <c r="A4" s="7" t="s">
        <v>6</v>
      </c>
      <c r="B4" s="8" t="s">
        <v>16</v>
      </c>
      <c r="C4" s="123" t="s">
        <v>148</v>
      </c>
      <c r="D4" s="124"/>
      <c r="E4" s="124"/>
      <c r="F4" s="124"/>
      <c r="G4" s="124"/>
      <c r="H4" s="124"/>
      <c r="I4" s="124"/>
      <c r="J4" s="124"/>
      <c r="K4" s="124"/>
      <c r="L4" s="124"/>
      <c r="M4" s="124"/>
      <c r="N4" s="125"/>
      <c r="O4" s="23" t="str">
        <f>IF(C4="","入力してください","")</f>
        <v/>
      </c>
    </row>
    <row r="5" spans="1:15" ht="7.5" customHeight="1" x14ac:dyDescent="0.15">
      <c r="B5" s="8"/>
      <c r="C5" s="8"/>
      <c r="D5" s="8"/>
      <c r="E5" s="9"/>
      <c r="F5" s="26"/>
      <c r="G5" s="26"/>
      <c r="H5" s="26"/>
      <c r="I5" s="26"/>
      <c r="J5" s="26"/>
      <c r="K5" s="26"/>
      <c r="L5" s="26"/>
      <c r="M5" s="26"/>
      <c r="N5" s="26"/>
    </row>
    <row r="6" spans="1:15" ht="24" customHeight="1" x14ac:dyDescent="0.15">
      <c r="A6" s="7" t="s">
        <v>48</v>
      </c>
      <c r="B6" s="8" t="s">
        <v>49</v>
      </c>
      <c r="C6" s="8"/>
      <c r="D6" s="123" t="s">
        <v>149</v>
      </c>
      <c r="E6" s="124"/>
      <c r="F6" s="124"/>
      <c r="G6" s="124"/>
      <c r="H6" s="125"/>
      <c r="I6" s="10" t="s">
        <v>86</v>
      </c>
      <c r="J6" s="26" t="s">
        <v>87</v>
      </c>
      <c r="K6" s="123" t="s">
        <v>150</v>
      </c>
      <c r="L6" s="124"/>
      <c r="M6" s="124"/>
      <c r="N6" s="125"/>
      <c r="O6" s="23" t="str">
        <f>IF(D6="","入力してください","")</f>
        <v/>
      </c>
    </row>
    <row r="7" spans="1:15" ht="7.5" customHeight="1" x14ac:dyDescent="0.15">
      <c r="B7" s="8"/>
      <c r="C7" s="8"/>
      <c r="D7" s="8"/>
      <c r="E7" s="9"/>
      <c r="F7" s="26"/>
      <c r="G7" s="26"/>
      <c r="H7" s="26"/>
      <c r="I7" s="26"/>
      <c r="J7" s="26"/>
      <c r="K7" s="26"/>
      <c r="L7" s="26"/>
      <c r="M7" s="26"/>
      <c r="N7" s="26"/>
    </row>
    <row r="8" spans="1:15" ht="24" customHeight="1" x14ac:dyDescent="0.15">
      <c r="A8" s="7" t="s">
        <v>13</v>
      </c>
      <c r="B8" s="8" t="s">
        <v>45</v>
      </c>
      <c r="C8" s="123" t="s">
        <v>151</v>
      </c>
      <c r="D8" s="124"/>
      <c r="E8" s="124"/>
      <c r="F8" s="124"/>
      <c r="G8" s="124"/>
      <c r="H8" s="124"/>
      <c r="I8" s="124"/>
      <c r="J8" s="124"/>
      <c r="K8" s="124"/>
      <c r="L8" s="124"/>
      <c r="M8" s="124"/>
      <c r="N8" s="125"/>
      <c r="O8" s="23" t="str">
        <f>IF(C8="","入力してください","")</f>
        <v/>
      </c>
    </row>
    <row r="9" spans="1:15" ht="7.5" customHeight="1" x14ac:dyDescent="0.15">
      <c r="B9" s="8"/>
      <c r="C9" s="8"/>
      <c r="D9" s="8"/>
      <c r="E9" s="9"/>
      <c r="F9" s="26"/>
      <c r="G9" s="26"/>
      <c r="H9" s="26"/>
      <c r="I9" s="26"/>
      <c r="J9" s="26"/>
      <c r="K9" s="26"/>
      <c r="L9" s="26"/>
      <c r="M9" s="26"/>
      <c r="N9" s="26"/>
    </row>
    <row r="10" spans="1:15" ht="24" customHeight="1" x14ac:dyDescent="0.15">
      <c r="A10" s="7" t="s">
        <v>11</v>
      </c>
      <c r="B10" s="8" t="s">
        <v>85</v>
      </c>
      <c r="C10" s="8"/>
      <c r="D10" s="8"/>
      <c r="E10" s="123" t="s">
        <v>199</v>
      </c>
      <c r="F10" s="124"/>
      <c r="G10" s="124"/>
      <c r="H10" s="124"/>
      <c r="I10" s="124"/>
      <c r="J10" s="124"/>
      <c r="K10" s="124"/>
      <c r="L10" s="124"/>
      <c r="M10" s="124"/>
      <c r="N10" s="125"/>
      <c r="O10" s="23" t="str">
        <f>IF(E10="","入力してください","")</f>
        <v/>
      </c>
    </row>
    <row r="11" spans="1:15" ht="7.5" customHeight="1" x14ac:dyDescent="0.15">
      <c r="B11" s="9"/>
      <c r="C11" s="9"/>
      <c r="D11" s="9"/>
      <c r="E11" s="9"/>
      <c r="F11" s="26"/>
      <c r="G11" s="26"/>
      <c r="H11" s="26"/>
      <c r="I11" s="26"/>
      <c r="J11" s="26"/>
      <c r="K11" s="26"/>
      <c r="L11" s="26"/>
      <c r="M11" s="26"/>
      <c r="N11" s="26"/>
    </row>
    <row r="12" spans="1:15" ht="24" customHeight="1" x14ac:dyDescent="0.15">
      <c r="A12" s="7" t="s">
        <v>58</v>
      </c>
      <c r="B12" s="9" t="s">
        <v>59</v>
      </c>
      <c r="C12" s="9"/>
      <c r="D12" s="9"/>
      <c r="E12" s="138" t="s">
        <v>187</v>
      </c>
      <c r="F12" s="139"/>
      <c r="G12" s="10" t="s">
        <v>96</v>
      </c>
      <c r="H12" s="7" t="s">
        <v>97</v>
      </c>
      <c r="N12" s="94" t="s">
        <v>152</v>
      </c>
      <c r="O12" s="23" t="str">
        <f>IF(E12="","入力してください","")</f>
        <v/>
      </c>
    </row>
    <row r="13" spans="1:15" ht="7.5" customHeight="1" x14ac:dyDescent="0.15">
      <c r="B13" s="9"/>
      <c r="C13" s="9"/>
      <c r="D13" s="9"/>
      <c r="E13" s="9"/>
      <c r="F13" s="26"/>
      <c r="G13" s="26"/>
      <c r="H13" s="26"/>
      <c r="I13" s="26"/>
      <c r="J13" s="26"/>
      <c r="K13" s="26"/>
      <c r="L13" s="26"/>
      <c r="M13" s="26"/>
      <c r="N13" s="26"/>
    </row>
    <row r="14" spans="1:15" ht="24" customHeight="1" x14ac:dyDescent="0.15">
      <c r="A14" s="7" t="s">
        <v>53</v>
      </c>
      <c r="B14" s="7" t="s">
        <v>0</v>
      </c>
      <c r="C14" s="134" t="s">
        <v>5</v>
      </c>
      <c r="D14" s="135"/>
      <c r="E14" s="126">
        <v>199</v>
      </c>
      <c r="F14" s="127"/>
      <c r="G14" s="11" t="s">
        <v>7</v>
      </c>
      <c r="I14" s="134" t="s">
        <v>8</v>
      </c>
      <c r="J14" s="135"/>
      <c r="K14" s="126">
        <v>206</v>
      </c>
      <c r="L14" s="136"/>
      <c r="M14" s="127"/>
      <c r="N14" s="12" t="s">
        <v>7</v>
      </c>
      <c r="O14" s="23" t="str">
        <f>IF(OR(E14="",K14=""),"入力してください","")</f>
        <v/>
      </c>
    </row>
    <row r="15" spans="1:15" ht="7.5" customHeight="1" x14ac:dyDescent="0.15">
      <c r="F15" s="13"/>
      <c r="G15" s="13"/>
      <c r="H15" s="13"/>
      <c r="I15" s="13"/>
      <c r="J15" s="13"/>
      <c r="K15" s="13"/>
      <c r="L15" s="13"/>
      <c r="M15" s="12"/>
      <c r="N15" s="12"/>
    </row>
    <row r="16" spans="1:15" ht="24" customHeight="1" x14ac:dyDescent="0.15">
      <c r="A16" s="7" t="s">
        <v>60</v>
      </c>
      <c r="B16" s="7" t="s">
        <v>70</v>
      </c>
      <c r="F16" s="13"/>
      <c r="G16" s="13"/>
      <c r="H16" s="13"/>
      <c r="I16" s="13"/>
      <c r="J16" s="13"/>
      <c r="K16" s="140">
        <v>12</v>
      </c>
      <c r="L16" s="141"/>
      <c r="M16" s="142"/>
      <c r="N16" s="12" t="s">
        <v>51</v>
      </c>
      <c r="O16" s="23" t="str">
        <f>IF(K16="","入力してください","")</f>
        <v/>
      </c>
    </row>
    <row r="17" spans="1:15" ht="7.5" customHeight="1" x14ac:dyDescent="0.15">
      <c r="F17" s="13"/>
      <c r="G17" s="13"/>
      <c r="H17" s="13"/>
      <c r="I17" s="13"/>
      <c r="J17" s="13"/>
      <c r="K17" s="13"/>
      <c r="L17" s="13"/>
      <c r="M17" s="12"/>
      <c r="N17" s="12"/>
    </row>
    <row r="18" spans="1:15" ht="24" customHeight="1" x14ac:dyDescent="0.15">
      <c r="A18" s="7" t="s">
        <v>24</v>
      </c>
      <c r="B18" s="7" t="s">
        <v>77</v>
      </c>
      <c r="E18" s="126">
        <v>1290</v>
      </c>
      <c r="F18" s="127"/>
      <c r="G18" s="14" t="s">
        <v>21</v>
      </c>
      <c r="H18" s="13"/>
      <c r="K18" s="146"/>
      <c r="L18" s="146"/>
      <c r="M18" s="146"/>
      <c r="N18" s="146"/>
      <c r="O18" s="23" t="str">
        <f>IF(E18="","入力してください","")</f>
        <v/>
      </c>
    </row>
    <row r="19" spans="1:15" ht="7.5" customHeight="1" x14ac:dyDescent="0.15">
      <c r="E19" s="3"/>
      <c r="F19" s="13"/>
      <c r="G19" s="13"/>
      <c r="L19" s="25"/>
      <c r="M19" s="25"/>
      <c r="N19" s="15"/>
    </row>
    <row r="20" spans="1:15" ht="24" customHeight="1" x14ac:dyDescent="0.15">
      <c r="A20" s="7" t="s">
        <v>76</v>
      </c>
      <c r="B20" s="7" t="s">
        <v>78</v>
      </c>
      <c r="E20" s="3"/>
      <c r="F20" s="13"/>
      <c r="G20" s="13"/>
      <c r="H20" s="7" t="s">
        <v>52</v>
      </c>
      <c r="J20" s="143">
        <v>5139</v>
      </c>
      <c r="K20" s="144"/>
      <c r="L20" s="145"/>
      <c r="M20" s="25" t="s">
        <v>51</v>
      </c>
      <c r="N20" s="15"/>
      <c r="O20" s="23" t="str">
        <f>IF(J20="","入力してください","")</f>
        <v/>
      </c>
    </row>
    <row r="21" spans="1:15" ht="7.5" customHeight="1" x14ac:dyDescent="0.15">
      <c r="E21" s="3"/>
      <c r="F21" s="13"/>
      <c r="G21" s="13"/>
      <c r="L21" s="25"/>
      <c r="M21" s="25"/>
      <c r="N21" s="15"/>
    </row>
    <row r="22" spans="1:15" ht="24" customHeight="1" x14ac:dyDescent="0.15">
      <c r="B22" s="21" t="s">
        <v>17</v>
      </c>
      <c r="C22" s="126">
        <v>1347</v>
      </c>
      <c r="D22" s="127"/>
      <c r="E22" s="3" t="s">
        <v>22</v>
      </c>
      <c r="F22" s="13"/>
      <c r="G22" s="122" t="s">
        <v>18</v>
      </c>
      <c r="H22" s="122"/>
      <c r="I22" s="126">
        <v>1213</v>
      </c>
      <c r="J22" s="127"/>
      <c r="K22" s="10" t="s">
        <v>22</v>
      </c>
      <c r="M22" s="25"/>
      <c r="N22" s="15"/>
    </row>
    <row r="23" spans="1:15" ht="7.5" customHeight="1" x14ac:dyDescent="0.15">
      <c r="B23" s="21"/>
      <c r="C23" s="4"/>
      <c r="D23" s="4"/>
      <c r="E23" s="3"/>
      <c r="F23" s="13"/>
      <c r="G23" s="25"/>
      <c r="H23" s="25"/>
      <c r="I23" s="4"/>
      <c r="J23" s="4"/>
      <c r="K23" s="10"/>
      <c r="M23" s="25"/>
      <c r="N23" s="15"/>
    </row>
    <row r="24" spans="1:15" ht="24" customHeight="1" x14ac:dyDescent="0.15">
      <c r="B24" s="21" t="s">
        <v>19</v>
      </c>
      <c r="C24" s="126">
        <v>1245</v>
      </c>
      <c r="D24" s="127"/>
      <c r="E24" s="3" t="s">
        <v>22</v>
      </c>
      <c r="F24" s="13"/>
      <c r="G24" s="122" t="s">
        <v>20</v>
      </c>
      <c r="H24" s="122"/>
      <c r="I24" s="126">
        <v>1173</v>
      </c>
      <c r="J24" s="127"/>
      <c r="K24" s="10" t="s">
        <v>22</v>
      </c>
      <c r="M24" s="25"/>
      <c r="N24" s="15"/>
    </row>
    <row r="25" spans="1:15" ht="7.5" customHeight="1" x14ac:dyDescent="0.15">
      <c r="B25" s="21"/>
      <c r="C25" s="4"/>
      <c r="D25" s="4"/>
      <c r="E25" s="3"/>
      <c r="F25" s="13"/>
      <c r="G25" s="25"/>
      <c r="H25" s="25"/>
      <c r="I25" s="4"/>
      <c r="J25" s="4"/>
      <c r="K25" s="10"/>
      <c r="M25" s="25"/>
      <c r="N25" s="15"/>
    </row>
    <row r="26" spans="1:15" ht="24" customHeight="1" x14ac:dyDescent="0.15">
      <c r="B26" s="21" t="s">
        <v>46</v>
      </c>
      <c r="C26" s="126">
        <v>81</v>
      </c>
      <c r="D26" s="127"/>
      <c r="E26" s="3" t="s">
        <v>7</v>
      </c>
      <c r="F26" s="13"/>
      <c r="G26" s="122" t="s">
        <v>47</v>
      </c>
      <c r="H26" s="122"/>
      <c r="I26" s="126">
        <v>80</v>
      </c>
      <c r="J26" s="127"/>
      <c r="K26" s="10" t="s">
        <v>7</v>
      </c>
      <c r="M26" s="25"/>
      <c r="N26" s="15"/>
    </row>
    <row r="27" spans="1:15" ht="7.5" customHeight="1" x14ac:dyDescent="0.15">
      <c r="F27" s="13"/>
      <c r="G27" s="13"/>
      <c r="M27" s="16"/>
      <c r="N27" s="16"/>
    </row>
    <row r="28" spans="1:15" ht="24" customHeight="1" x14ac:dyDescent="0.15">
      <c r="A28" s="7" t="s">
        <v>50</v>
      </c>
      <c r="B28" s="8" t="s">
        <v>75</v>
      </c>
      <c r="C28" s="8"/>
      <c r="D28" s="8"/>
      <c r="E28" s="8"/>
      <c r="F28" s="10"/>
      <c r="G28" s="26"/>
      <c r="H28" s="26"/>
      <c r="I28" s="26"/>
      <c r="J28" s="17"/>
      <c r="K28" s="17"/>
      <c r="L28" s="17"/>
      <c r="M28" s="17"/>
      <c r="N28" s="17"/>
    </row>
    <row r="29" spans="1:15" s="7" customFormat="1" ht="24" customHeight="1" x14ac:dyDescent="0.15">
      <c r="B29" s="130" t="s">
        <v>74</v>
      </c>
      <c r="C29" s="130"/>
      <c r="D29" s="123" t="s">
        <v>170</v>
      </c>
      <c r="E29" s="124"/>
      <c r="F29" s="124"/>
      <c r="G29" s="131" t="s">
        <v>23</v>
      </c>
      <c r="H29" s="130"/>
      <c r="I29" s="132"/>
      <c r="J29" s="123" t="s">
        <v>171</v>
      </c>
      <c r="K29" s="124"/>
      <c r="L29" s="124"/>
      <c r="M29" s="124"/>
      <c r="N29" s="125"/>
      <c r="O29" s="23" t="str">
        <f>IF(OR(D29="",J29=""),"入力してください","")</f>
        <v/>
      </c>
    </row>
    <row r="30" spans="1:15" ht="7.5" customHeight="1" x14ac:dyDescent="0.15">
      <c r="F30" s="13"/>
      <c r="G30" s="13"/>
      <c r="M30" s="16"/>
      <c r="N30" s="16"/>
    </row>
    <row r="31" spans="1:15" ht="24" customHeight="1" x14ac:dyDescent="0.15">
      <c r="A31" s="7" t="s">
        <v>54</v>
      </c>
      <c r="B31" s="8" t="s">
        <v>80</v>
      </c>
      <c r="C31" s="8"/>
      <c r="D31" s="8"/>
      <c r="E31" s="8"/>
      <c r="F31" s="10"/>
      <c r="G31" s="17"/>
      <c r="H31" s="17"/>
      <c r="I31" s="17"/>
      <c r="J31" s="17"/>
      <c r="K31" s="17"/>
      <c r="L31" s="17"/>
      <c r="M31" s="17"/>
      <c r="N31" s="17"/>
    </row>
    <row r="32" spans="1:15" ht="24" customHeight="1" x14ac:dyDescent="0.15">
      <c r="B32" s="123" t="s">
        <v>200</v>
      </c>
      <c r="C32" s="124"/>
      <c r="D32" s="124"/>
      <c r="E32" s="124"/>
      <c r="F32" s="124"/>
      <c r="G32" s="124"/>
      <c r="H32" s="124"/>
      <c r="I32" s="124"/>
      <c r="J32" s="124"/>
      <c r="K32" s="124"/>
      <c r="L32" s="124"/>
      <c r="M32" s="124"/>
      <c r="N32" s="125"/>
      <c r="O32" s="23" t="str">
        <f>IF(B32="","入力してください","")</f>
        <v/>
      </c>
    </row>
    <row r="33" spans="1:15" ht="7.5" customHeight="1" x14ac:dyDescent="0.15">
      <c r="B33" s="5"/>
      <c r="C33" s="5"/>
      <c r="D33" s="5"/>
      <c r="E33" s="5"/>
      <c r="F33" s="5"/>
      <c r="G33" s="5"/>
      <c r="H33" s="5"/>
      <c r="I33" s="5"/>
      <c r="J33" s="5"/>
      <c r="K33" s="5"/>
      <c r="L33" s="5"/>
      <c r="M33" s="5"/>
      <c r="N33" s="5"/>
    </row>
    <row r="34" spans="1:15" s="7" customFormat="1" ht="24" customHeight="1" x14ac:dyDescent="0.15">
      <c r="B34" s="130" t="s">
        <v>74</v>
      </c>
      <c r="C34" s="130"/>
      <c r="D34" s="123" t="s">
        <v>172</v>
      </c>
      <c r="E34" s="124"/>
      <c r="F34" s="124"/>
      <c r="G34" s="131" t="s">
        <v>55</v>
      </c>
      <c r="H34" s="130"/>
      <c r="I34" s="132"/>
      <c r="J34" s="123" t="s">
        <v>201</v>
      </c>
      <c r="K34" s="124"/>
      <c r="L34" s="124"/>
      <c r="M34" s="124"/>
      <c r="N34" s="125"/>
      <c r="O34" s="23" t="str">
        <f>IF(OR(D34="",J34=""),"入力してください","")</f>
        <v/>
      </c>
    </row>
    <row r="35" spans="1:15" ht="7.5" customHeight="1" x14ac:dyDescent="0.15">
      <c r="F35" s="26"/>
      <c r="G35" s="26"/>
      <c r="H35" s="26"/>
      <c r="I35" s="26"/>
      <c r="J35" s="26"/>
      <c r="K35" s="26"/>
      <c r="L35" s="26"/>
      <c r="M35" s="26"/>
      <c r="N35" s="26"/>
    </row>
    <row r="36" spans="1:15" ht="24" customHeight="1" x14ac:dyDescent="0.15">
      <c r="A36" s="7" t="s">
        <v>61</v>
      </c>
      <c r="B36" s="7" t="s">
        <v>81</v>
      </c>
      <c r="M36" s="16"/>
      <c r="N36" s="16"/>
    </row>
    <row r="37" spans="1:15" ht="24" customHeight="1" x14ac:dyDescent="0.15">
      <c r="B37" s="123" t="s">
        <v>202</v>
      </c>
      <c r="C37" s="124"/>
      <c r="D37" s="124"/>
      <c r="E37" s="124"/>
      <c r="F37" s="124"/>
      <c r="G37" s="124"/>
      <c r="H37" s="124"/>
      <c r="I37" s="124"/>
      <c r="J37" s="124"/>
      <c r="K37" s="124"/>
      <c r="L37" s="124"/>
      <c r="M37" s="124"/>
      <c r="N37" s="125"/>
      <c r="O37" s="23" t="str">
        <f>IF(B37="","入力してください","")</f>
        <v/>
      </c>
    </row>
    <row r="38" spans="1:15" ht="7.5" customHeight="1" x14ac:dyDescent="0.15">
      <c r="F38" s="26"/>
      <c r="G38" s="26"/>
      <c r="H38" s="26"/>
      <c r="I38" s="26"/>
      <c r="J38" s="26"/>
      <c r="K38" s="26"/>
      <c r="L38" s="26"/>
      <c r="M38" s="26"/>
      <c r="N38" s="26"/>
    </row>
    <row r="39" spans="1:15" s="7" customFormat="1" ht="24" customHeight="1" x14ac:dyDescent="0.15">
      <c r="B39" s="130" t="s">
        <v>74</v>
      </c>
      <c r="C39" s="130"/>
      <c r="D39" s="123" t="s">
        <v>174</v>
      </c>
      <c r="E39" s="124"/>
      <c r="F39" s="124"/>
      <c r="G39" s="131" t="s">
        <v>55</v>
      </c>
      <c r="H39" s="130"/>
      <c r="I39" s="132"/>
      <c r="J39" s="123" t="s">
        <v>173</v>
      </c>
      <c r="K39" s="124"/>
      <c r="L39" s="124"/>
      <c r="M39" s="124"/>
      <c r="N39" s="125"/>
      <c r="O39" s="23" t="str">
        <f>IF(OR(D39="",J39=""),"入力してください","")</f>
        <v/>
      </c>
    </row>
    <row r="40" spans="1:15" ht="7.5" customHeight="1" x14ac:dyDescent="0.15">
      <c r="F40" s="26"/>
      <c r="G40" s="26"/>
      <c r="H40" s="26"/>
      <c r="I40" s="26"/>
      <c r="J40" s="26"/>
      <c r="K40" s="26"/>
      <c r="L40" s="26"/>
      <c r="M40" s="26"/>
      <c r="N40" s="26"/>
    </row>
    <row r="41" spans="1:15" ht="24" customHeight="1" x14ac:dyDescent="0.15">
      <c r="A41" s="7" t="s">
        <v>88</v>
      </c>
      <c r="B41" s="57" t="s">
        <v>69</v>
      </c>
      <c r="E41" s="58"/>
      <c r="F41" s="123" t="s">
        <v>183</v>
      </c>
      <c r="G41" s="124"/>
      <c r="H41" s="124"/>
      <c r="I41" s="124"/>
      <c r="J41" s="124"/>
      <c r="K41" s="124"/>
      <c r="L41" s="124"/>
      <c r="M41" s="124"/>
      <c r="N41" s="125"/>
      <c r="O41" s="23" t="str">
        <f>IF(F41="","入力してください","")</f>
        <v/>
      </c>
    </row>
    <row r="42" spans="1:15" ht="7.5" customHeight="1" x14ac:dyDescent="0.15">
      <c r="F42" s="26"/>
      <c r="G42" s="26"/>
      <c r="H42" s="26"/>
      <c r="I42" s="26"/>
      <c r="J42" s="26"/>
      <c r="K42" s="26"/>
      <c r="L42" s="26"/>
      <c r="M42" s="26"/>
      <c r="N42" s="26"/>
    </row>
    <row r="43" spans="1:15" ht="24" customHeight="1" x14ac:dyDescent="0.15">
      <c r="A43" s="7" t="s">
        <v>98</v>
      </c>
    </row>
    <row r="44" spans="1:15" ht="24" customHeight="1" x14ac:dyDescent="0.15">
      <c r="B44" s="22" t="s">
        <v>1</v>
      </c>
      <c r="C44" s="128" t="s">
        <v>153</v>
      </c>
      <c r="D44" s="129"/>
      <c r="E44" s="129"/>
      <c r="F44" s="129"/>
      <c r="G44" s="129"/>
      <c r="H44" s="129"/>
      <c r="I44" s="19" t="s">
        <v>2</v>
      </c>
      <c r="J44" s="20"/>
      <c r="K44" s="123" t="s">
        <v>154</v>
      </c>
      <c r="L44" s="124"/>
      <c r="M44" s="124"/>
      <c r="N44" s="125"/>
      <c r="O44" s="23" t="str">
        <f>IF(OR(C44="",K44=""),"入力してください","")</f>
        <v/>
      </c>
    </row>
    <row r="45" spans="1:15" ht="24" customHeight="1" x14ac:dyDescent="0.15">
      <c r="B45" s="18" t="s">
        <v>4</v>
      </c>
      <c r="C45" s="116" t="s">
        <v>155</v>
      </c>
      <c r="D45" s="117"/>
      <c r="E45" s="117"/>
      <c r="F45" s="117"/>
      <c r="G45" s="117"/>
      <c r="H45" s="118"/>
      <c r="I45" s="19" t="s">
        <v>3</v>
      </c>
      <c r="J45" s="20"/>
      <c r="K45" s="119" t="s">
        <v>156</v>
      </c>
      <c r="L45" s="120"/>
      <c r="M45" s="120"/>
      <c r="N45" s="121"/>
      <c r="O45" s="23"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0" zoomScaleNormal="100" zoomScaleSheetLayoutView="100" workbookViewId="0">
      <selection activeCell="O108" sqref="O108"/>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x14ac:dyDescent="0.15">
      <c r="W1" s="242" t="s">
        <v>197</v>
      </c>
      <c r="X1" s="242"/>
      <c r="Y1" s="242"/>
      <c r="Z1" s="242"/>
    </row>
    <row r="2" spans="1:26" ht="18" customHeight="1" x14ac:dyDescent="0.15">
      <c r="A2" s="200" t="s">
        <v>67</v>
      </c>
      <c r="B2" s="200"/>
      <c r="C2" s="200"/>
      <c r="D2" s="200"/>
      <c r="E2" s="200"/>
      <c r="F2" s="200"/>
      <c r="G2" s="200"/>
      <c r="H2" s="200"/>
      <c r="I2" s="200"/>
      <c r="J2" s="200"/>
      <c r="K2" s="200"/>
      <c r="L2" s="200"/>
      <c r="M2" s="200"/>
      <c r="N2" s="200"/>
      <c r="O2" s="200"/>
      <c r="P2" s="200"/>
      <c r="Q2" s="200"/>
      <c r="R2" s="200"/>
      <c r="S2" s="200"/>
      <c r="T2" s="200"/>
      <c r="U2" s="200"/>
      <c r="V2" s="200"/>
      <c r="W2" s="200"/>
      <c r="X2" s="200"/>
      <c r="Y2" s="200"/>
      <c r="Z2" s="200"/>
    </row>
    <row r="3" spans="1:26" ht="15" customHeight="1" x14ac:dyDescent="0.15">
      <c r="B3" s="21"/>
      <c r="C3" s="21"/>
      <c r="D3" s="21"/>
      <c r="E3" s="21"/>
      <c r="F3" s="21"/>
      <c r="G3" s="21"/>
      <c r="H3" s="21"/>
      <c r="I3" s="21"/>
      <c r="J3" s="21"/>
      <c r="K3" s="21"/>
      <c r="L3" s="21"/>
      <c r="M3" s="21"/>
      <c r="N3" s="21"/>
      <c r="O3" s="21"/>
      <c r="P3" s="21"/>
      <c r="Q3" s="21"/>
      <c r="R3" s="21"/>
      <c r="S3" s="21"/>
      <c r="T3" s="21"/>
      <c r="U3" s="21"/>
      <c r="V3" s="21"/>
      <c r="W3" s="21"/>
      <c r="X3" s="21"/>
      <c r="Y3" s="21"/>
      <c r="Z3" s="21"/>
    </row>
    <row r="4" spans="1:26" ht="18" customHeight="1" x14ac:dyDescent="0.15">
      <c r="A4" s="6" t="s">
        <v>99</v>
      </c>
      <c r="B4" s="21"/>
      <c r="C4" s="21"/>
      <c r="D4" s="21"/>
      <c r="E4" s="21"/>
      <c r="F4" s="21"/>
      <c r="G4" s="21"/>
      <c r="H4" s="8" t="s">
        <v>112</v>
      </c>
      <c r="I4" s="21"/>
      <c r="J4" s="21"/>
      <c r="K4" s="21"/>
      <c r="L4" s="21"/>
      <c r="M4" s="21"/>
      <c r="N4" s="21"/>
      <c r="O4" s="140" t="s">
        <v>157</v>
      </c>
      <c r="P4" s="141"/>
      <c r="Q4" s="141"/>
      <c r="R4" s="141"/>
      <c r="S4" s="141"/>
      <c r="T4" s="141"/>
      <c r="U4" s="141"/>
      <c r="V4" s="141"/>
      <c r="W4" s="141"/>
      <c r="X4" s="141"/>
      <c r="Y4" s="141"/>
      <c r="Z4" s="142"/>
    </row>
    <row r="5" spans="1:26" ht="6" customHeight="1" x14ac:dyDescent="0.15">
      <c r="B5" s="21"/>
      <c r="C5" s="21"/>
      <c r="D5" s="21"/>
      <c r="E5" s="21"/>
      <c r="F5" s="21"/>
      <c r="G5" s="21"/>
      <c r="H5" s="21"/>
      <c r="I5" s="21"/>
      <c r="J5" s="21"/>
      <c r="K5" s="21"/>
      <c r="L5" s="21"/>
      <c r="M5" s="21"/>
      <c r="N5" s="21"/>
      <c r="O5" s="9"/>
      <c r="P5" s="21"/>
      <c r="Q5" s="21"/>
      <c r="R5" s="21"/>
      <c r="S5" s="21"/>
      <c r="T5" s="21"/>
      <c r="U5" s="21"/>
      <c r="V5" s="21"/>
      <c r="W5" s="21"/>
      <c r="X5" s="21"/>
      <c r="Y5" s="21"/>
      <c r="Z5" s="21"/>
    </row>
    <row r="6" spans="1:26" ht="18" customHeight="1" x14ac:dyDescent="0.15">
      <c r="B6" s="201" t="s">
        <v>203</v>
      </c>
      <c r="C6" s="202"/>
      <c r="D6" s="202"/>
      <c r="E6" s="202"/>
      <c r="F6" s="202"/>
      <c r="G6" s="202"/>
      <c r="H6" s="202"/>
      <c r="I6" s="202"/>
      <c r="J6" s="202"/>
      <c r="K6" s="202"/>
      <c r="L6" s="202"/>
      <c r="M6" s="202"/>
      <c r="N6" s="202"/>
      <c r="O6" s="202"/>
      <c r="P6" s="202"/>
      <c r="Q6" s="202"/>
      <c r="R6" s="202"/>
      <c r="S6" s="202"/>
      <c r="T6" s="202"/>
      <c r="U6" s="202"/>
      <c r="V6" s="202"/>
      <c r="W6" s="202"/>
      <c r="X6" s="202"/>
      <c r="Y6" s="202"/>
      <c r="Z6" s="203"/>
    </row>
    <row r="7" spans="1:26" ht="18" customHeight="1" x14ac:dyDescent="0.15">
      <c r="B7" s="204"/>
      <c r="C7" s="205"/>
      <c r="D7" s="205"/>
      <c r="E7" s="205"/>
      <c r="F7" s="205"/>
      <c r="G7" s="205"/>
      <c r="H7" s="205"/>
      <c r="I7" s="205"/>
      <c r="J7" s="205"/>
      <c r="K7" s="205"/>
      <c r="L7" s="205"/>
      <c r="M7" s="205"/>
      <c r="N7" s="205"/>
      <c r="O7" s="205"/>
      <c r="P7" s="205"/>
      <c r="Q7" s="205"/>
      <c r="R7" s="205"/>
      <c r="S7" s="205"/>
      <c r="T7" s="205"/>
      <c r="U7" s="205"/>
      <c r="V7" s="205"/>
      <c r="W7" s="205"/>
      <c r="X7" s="205"/>
      <c r="Y7" s="205"/>
      <c r="Z7" s="206"/>
    </row>
    <row r="8" spans="1:26" ht="18" customHeight="1" x14ac:dyDescent="0.15">
      <c r="B8" s="204"/>
      <c r="C8" s="205"/>
      <c r="D8" s="205"/>
      <c r="E8" s="205"/>
      <c r="F8" s="205"/>
      <c r="G8" s="205"/>
      <c r="H8" s="205"/>
      <c r="I8" s="205"/>
      <c r="J8" s="205"/>
      <c r="K8" s="205"/>
      <c r="L8" s="205"/>
      <c r="M8" s="205"/>
      <c r="N8" s="205"/>
      <c r="O8" s="205"/>
      <c r="P8" s="205"/>
      <c r="Q8" s="205"/>
      <c r="R8" s="205"/>
      <c r="S8" s="205"/>
      <c r="T8" s="205"/>
      <c r="U8" s="205"/>
      <c r="V8" s="205"/>
      <c r="W8" s="205"/>
      <c r="X8" s="205"/>
      <c r="Y8" s="205"/>
      <c r="Z8" s="206"/>
    </row>
    <row r="9" spans="1:26" ht="18" customHeight="1" x14ac:dyDescent="0.15">
      <c r="B9" s="204"/>
      <c r="C9" s="205"/>
      <c r="D9" s="205"/>
      <c r="E9" s="205"/>
      <c r="F9" s="205"/>
      <c r="G9" s="205"/>
      <c r="H9" s="205"/>
      <c r="I9" s="205"/>
      <c r="J9" s="205"/>
      <c r="K9" s="205"/>
      <c r="L9" s="205"/>
      <c r="M9" s="205"/>
      <c r="N9" s="205"/>
      <c r="O9" s="205"/>
      <c r="P9" s="205"/>
      <c r="Q9" s="205"/>
      <c r="R9" s="205"/>
      <c r="S9" s="205"/>
      <c r="T9" s="205"/>
      <c r="U9" s="205"/>
      <c r="V9" s="205"/>
      <c r="W9" s="205"/>
      <c r="X9" s="205"/>
      <c r="Y9" s="205"/>
      <c r="Z9" s="206"/>
    </row>
    <row r="10" spans="1:26" ht="18" customHeight="1" x14ac:dyDescent="0.15">
      <c r="B10" s="204"/>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6"/>
    </row>
    <row r="11" spans="1:26" ht="18" customHeight="1" x14ac:dyDescent="0.15">
      <c r="B11" s="208"/>
      <c r="C11" s="209"/>
      <c r="D11" s="209"/>
      <c r="E11" s="209"/>
      <c r="F11" s="209"/>
      <c r="G11" s="209"/>
      <c r="H11" s="209"/>
      <c r="I11" s="209"/>
      <c r="J11" s="209"/>
      <c r="K11" s="209"/>
      <c r="L11" s="209"/>
      <c r="M11" s="209"/>
      <c r="N11" s="209"/>
      <c r="O11" s="209"/>
      <c r="P11" s="209"/>
      <c r="Q11" s="209"/>
      <c r="R11" s="209"/>
      <c r="S11" s="209"/>
      <c r="T11" s="209"/>
      <c r="U11" s="209"/>
      <c r="V11" s="209"/>
      <c r="W11" s="209"/>
      <c r="X11" s="209"/>
      <c r="Y11" s="209"/>
      <c r="Z11" s="210"/>
    </row>
    <row r="12" spans="1:26" ht="7.5" customHeight="1" x14ac:dyDescent="0.15">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x14ac:dyDescent="0.15">
      <c r="A13" s="196" t="s">
        <v>125</v>
      </c>
      <c r="B13" s="196"/>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row>
    <row r="14" spans="1:26" ht="18" customHeight="1" x14ac:dyDescent="0.15">
      <c r="A14" s="196"/>
      <c r="B14" s="196"/>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row>
    <row r="15" spans="1:26" ht="18" customHeight="1" x14ac:dyDescent="0.15">
      <c r="A15" s="7"/>
      <c r="B15" s="140" t="s">
        <v>100</v>
      </c>
      <c r="C15" s="141"/>
      <c r="D15" s="141"/>
      <c r="E15" s="141"/>
      <c r="F15" s="142"/>
      <c r="G15" s="22" t="s">
        <v>141</v>
      </c>
      <c r="H15" s="89" t="s">
        <v>140</v>
      </c>
      <c r="I15" s="141" t="s">
        <v>101</v>
      </c>
      <c r="J15" s="141"/>
      <c r="K15" s="141"/>
      <c r="L15" s="59" t="s">
        <v>104</v>
      </c>
      <c r="M15" s="59" t="s">
        <v>107</v>
      </c>
      <c r="N15" s="140" t="s">
        <v>100</v>
      </c>
      <c r="O15" s="141"/>
      <c r="P15" s="141"/>
      <c r="Q15" s="141"/>
      <c r="R15" s="141"/>
      <c r="S15" s="142"/>
      <c r="T15" s="22" t="s">
        <v>141</v>
      </c>
      <c r="U15" s="89" t="s">
        <v>140</v>
      </c>
      <c r="V15" s="141" t="s">
        <v>101</v>
      </c>
      <c r="W15" s="141"/>
      <c r="X15" s="141"/>
      <c r="Y15" s="59" t="s">
        <v>104</v>
      </c>
      <c r="Z15" s="59" t="s">
        <v>107</v>
      </c>
    </row>
    <row r="16" spans="1:26" ht="18" customHeight="1" x14ac:dyDescent="0.15">
      <c r="A16" s="7"/>
      <c r="B16" s="187" t="s">
        <v>158</v>
      </c>
      <c r="C16" s="188"/>
      <c r="D16" s="188"/>
      <c r="E16" s="188"/>
      <c r="F16" s="189"/>
      <c r="G16" s="90">
        <v>1</v>
      </c>
      <c r="H16" s="90" t="s">
        <v>159</v>
      </c>
      <c r="I16" s="181" t="s">
        <v>160</v>
      </c>
      <c r="J16" s="182"/>
      <c r="K16" s="183"/>
      <c r="L16" s="90" t="s">
        <v>159</v>
      </c>
      <c r="M16" s="90" t="s">
        <v>159</v>
      </c>
      <c r="N16" s="147"/>
      <c r="O16" s="148"/>
      <c r="P16" s="148"/>
      <c r="Q16" s="148"/>
      <c r="R16" s="148"/>
      <c r="S16" s="149"/>
      <c r="T16" s="90"/>
      <c r="U16" s="90"/>
      <c r="V16" s="181"/>
      <c r="W16" s="182"/>
      <c r="X16" s="183"/>
      <c r="Y16" s="90"/>
      <c r="Z16" s="90"/>
    </row>
    <row r="17" spans="1:26" ht="18" customHeight="1" x14ac:dyDescent="0.15">
      <c r="A17" s="7"/>
      <c r="B17" s="190"/>
      <c r="C17" s="191"/>
      <c r="D17" s="191"/>
      <c r="E17" s="191"/>
      <c r="F17" s="192"/>
      <c r="G17" s="91"/>
      <c r="H17" s="91"/>
      <c r="I17" s="184"/>
      <c r="J17" s="185"/>
      <c r="K17" s="186"/>
      <c r="L17" s="91"/>
      <c r="M17" s="91"/>
      <c r="N17" s="156"/>
      <c r="O17" s="157"/>
      <c r="P17" s="157"/>
      <c r="Q17" s="157"/>
      <c r="R17" s="157"/>
      <c r="S17" s="158"/>
      <c r="T17" s="91"/>
      <c r="U17" s="91"/>
      <c r="V17" s="184"/>
      <c r="W17" s="185"/>
      <c r="X17" s="186"/>
      <c r="Y17" s="91"/>
      <c r="Z17" s="91"/>
    </row>
    <row r="18" spans="1:26" ht="18" customHeight="1" x14ac:dyDescent="0.15">
      <c r="A18" s="7"/>
      <c r="B18" s="190"/>
      <c r="C18" s="191"/>
      <c r="D18" s="191"/>
      <c r="E18" s="191"/>
      <c r="F18" s="192"/>
      <c r="G18" s="91"/>
      <c r="H18" s="91"/>
      <c r="I18" s="184"/>
      <c r="J18" s="185"/>
      <c r="K18" s="186"/>
      <c r="L18" s="91"/>
      <c r="M18" s="91"/>
      <c r="N18" s="156"/>
      <c r="O18" s="157"/>
      <c r="P18" s="157"/>
      <c r="Q18" s="157"/>
      <c r="R18" s="157"/>
      <c r="S18" s="158"/>
      <c r="T18" s="91"/>
      <c r="U18" s="91"/>
      <c r="V18" s="184"/>
      <c r="W18" s="185"/>
      <c r="X18" s="186"/>
      <c r="Y18" s="91"/>
      <c r="Z18" s="91"/>
    </row>
    <row r="19" spans="1:26" ht="18" customHeight="1" x14ac:dyDescent="0.15">
      <c r="A19" s="7"/>
      <c r="B19" s="190"/>
      <c r="C19" s="191"/>
      <c r="D19" s="191"/>
      <c r="E19" s="191"/>
      <c r="F19" s="192"/>
      <c r="G19" s="91"/>
      <c r="H19" s="91"/>
      <c r="I19" s="184"/>
      <c r="J19" s="185"/>
      <c r="K19" s="186"/>
      <c r="L19" s="91"/>
      <c r="M19" s="91"/>
      <c r="N19" s="156"/>
      <c r="O19" s="157"/>
      <c r="P19" s="157"/>
      <c r="Q19" s="157"/>
      <c r="R19" s="157"/>
      <c r="S19" s="158"/>
      <c r="T19" s="91"/>
      <c r="U19" s="91"/>
      <c r="V19" s="184"/>
      <c r="W19" s="185"/>
      <c r="X19" s="186"/>
      <c r="Y19" s="91"/>
      <c r="Z19" s="91"/>
    </row>
    <row r="20" spans="1:26" ht="18" customHeight="1" x14ac:dyDescent="0.15">
      <c r="A20" s="7"/>
      <c r="B20" s="190"/>
      <c r="C20" s="191"/>
      <c r="D20" s="191"/>
      <c r="E20" s="191"/>
      <c r="F20" s="192"/>
      <c r="G20" s="91"/>
      <c r="H20" s="91"/>
      <c r="I20" s="184"/>
      <c r="J20" s="185"/>
      <c r="K20" s="186"/>
      <c r="L20" s="91"/>
      <c r="M20" s="91"/>
      <c r="N20" s="156"/>
      <c r="O20" s="157"/>
      <c r="P20" s="157"/>
      <c r="Q20" s="157"/>
      <c r="R20" s="157"/>
      <c r="S20" s="158"/>
      <c r="T20" s="91"/>
      <c r="U20" s="91"/>
      <c r="V20" s="184"/>
      <c r="W20" s="185"/>
      <c r="X20" s="186"/>
      <c r="Y20" s="91"/>
      <c r="Z20" s="91"/>
    </row>
    <row r="21" spans="1:26" ht="18" customHeight="1" x14ac:dyDescent="0.15">
      <c r="A21" s="21"/>
      <c r="B21" s="190"/>
      <c r="C21" s="191"/>
      <c r="D21" s="191"/>
      <c r="E21" s="191"/>
      <c r="F21" s="192"/>
      <c r="G21" s="91"/>
      <c r="H21" s="91"/>
      <c r="I21" s="184"/>
      <c r="J21" s="185"/>
      <c r="K21" s="186"/>
      <c r="L21" s="91"/>
      <c r="M21" s="91"/>
      <c r="N21" s="156"/>
      <c r="O21" s="157"/>
      <c r="P21" s="157"/>
      <c r="Q21" s="157"/>
      <c r="R21" s="157"/>
      <c r="S21" s="158"/>
      <c r="T21" s="91"/>
      <c r="U21" s="91"/>
      <c r="V21" s="184"/>
      <c r="W21" s="185"/>
      <c r="X21" s="186"/>
      <c r="Y21" s="91"/>
      <c r="Z21" s="91"/>
    </row>
    <row r="22" spans="1:26" ht="18" customHeight="1" x14ac:dyDescent="0.15">
      <c r="A22" s="21"/>
      <c r="B22" s="197"/>
      <c r="C22" s="198"/>
      <c r="D22" s="198"/>
      <c r="E22" s="198"/>
      <c r="F22" s="199"/>
      <c r="G22" s="92"/>
      <c r="H22" s="92"/>
      <c r="I22" s="193"/>
      <c r="J22" s="194"/>
      <c r="K22" s="195"/>
      <c r="L22" s="98"/>
      <c r="M22" s="98"/>
      <c r="N22" s="223"/>
      <c r="O22" s="224"/>
      <c r="P22" s="224"/>
      <c r="Q22" s="224"/>
      <c r="R22" s="224"/>
      <c r="S22" s="225"/>
      <c r="T22" s="92"/>
      <c r="U22" s="92"/>
      <c r="V22" s="193"/>
      <c r="W22" s="194"/>
      <c r="X22" s="195"/>
      <c r="Y22" s="98"/>
      <c r="Z22" s="98"/>
    </row>
    <row r="23" spans="1:26" ht="7.5" customHeight="1" x14ac:dyDescent="0.15">
      <c r="A23" s="21"/>
      <c r="B23" s="60"/>
      <c r="C23" s="60"/>
      <c r="D23" s="21"/>
      <c r="E23" s="21"/>
      <c r="F23" s="21"/>
      <c r="G23" s="21"/>
      <c r="H23" s="21"/>
      <c r="I23" s="21"/>
      <c r="J23" s="21"/>
      <c r="K23" s="21"/>
      <c r="L23" s="60"/>
      <c r="M23" s="60"/>
      <c r="N23" s="60"/>
      <c r="O23" s="60"/>
      <c r="P23" s="60"/>
      <c r="Q23" s="60"/>
      <c r="R23" s="60"/>
      <c r="S23" s="60"/>
      <c r="T23" s="60"/>
      <c r="U23" s="60"/>
      <c r="V23" s="60"/>
      <c r="W23" s="60"/>
      <c r="X23" s="60"/>
      <c r="Y23" s="60"/>
      <c r="Z23" s="21"/>
    </row>
    <row r="24" spans="1:26" ht="18" customHeight="1" x14ac:dyDescent="0.15">
      <c r="A24" s="196" t="s">
        <v>126</v>
      </c>
      <c r="B24" s="196"/>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row>
    <row r="25" spans="1:26" ht="18" customHeight="1" x14ac:dyDescent="0.15">
      <c r="A25" s="196"/>
      <c r="B25" s="196"/>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row>
    <row r="26" spans="1:26" ht="18" customHeight="1" x14ac:dyDescent="0.15">
      <c r="A26" s="7"/>
      <c r="B26" s="140" t="s">
        <v>100</v>
      </c>
      <c r="C26" s="141"/>
      <c r="D26" s="141"/>
      <c r="E26" s="141"/>
      <c r="F26" s="142"/>
      <c r="G26" s="22" t="s">
        <v>141</v>
      </c>
      <c r="H26" s="89" t="s">
        <v>140</v>
      </c>
      <c r="I26" s="141" t="s">
        <v>101</v>
      </c>
      <c r="J26" s="141"/>
      <c r="K26" s="141"/>
      <c r="L26" s="59" t="s">
        <v>127</v>
      </c>
      <c r="M26" s="59" t="s">
        <v>128</v>
      </c>
      <c r="N26" s="140" t="s">
        <v>100</v>
      </c>
      <c r="O26" s="141"/>
      <c r="P26" s="141"/>
      <c r="Q26" s="141"/>
      <c r="R26" s="141"/>
      <c r="S26" s="142"/>
      <c r="T26" s="22" t="s">
        <v>141</v>
      </c>
      <c r="U26" s="89" t="s">
        <v>140</v>
      </c>
      <c r="V26" s="141" t="s">
        <v>101</v>
      </c>
      <c r="W26" s="141"/>
      <c r="X26" s="141"/>
      <c r="Y26" s="59" t="s">
        <v>127</v>
      </c>
      <c r="Z26" s="59" t="s">
        <v>128</v>
      </c>
    </row>
    <row r="27" spans="1:26" ht="18" customHeight="1" x14ac:dyDescent="0.15">
      <c r="A27" s="7"/>
      <c r="B27" s="187" t="s">
        <v>161</v>
      </c>
      <c r="C27" s="188"/>
      <c r="D27" s="188"/>
      <c r="E27" s="188"/>
      <c r="F27" s="189"/>
      <c r="G27" s="90">
        <v>1</v>
      </c>
      <c r="H27" s="90" t="s">
        <v>159</v>
      </c>
      <c r="I27" s="181" t="s">
        <v>160</v>
      </c>
      <c r="J27" s="182"/>
      <c r="K27" s="183"/>
      <c r="L27" s="90" t="s">
        <v>159</v>
      </c>
      <c r="M27" s="90" t="s">
        <v>159</v>
      </c>
      <c r="N27" s="147"/>
      <c r="O27" s="148"/>
      <c r="P27" s="148"/>
      <c r="Q27" s="148"/>
      <c r="R27" s="148"/>
      <c r="S27" s="149"/>
      <c r="T27" s="90"/>
      <c r="U27" s="90"/>
      <c r="V27" s="181"/>
      <c r="W27" s="182"/>
      <c r="X27" s="183"/>
      <c r="Y27" s="90"/>
      <c r="Z27" s="90"/>
    </row>
    <row r="28" spans="1:26" ht="18" customHeight="1" x14ac:dyDescent="0.15">
      <c r="A28" s="7"/>
      <c r="B28" s="190"/>
      <c r="C28" s="191"/>
      <c r="D28" s="191"/>
      <c r="E28" s="191"/>
      <c r="F28" s="192"/>
      <c r="G28" s="91"/>
      <c r="H28" s="91"/>
      <c r="I28" s="184"/>
      <c r="J28" s="185"/>
      <c r="K28" s="186"/>
      <c r="L28" s="91"/>
      <c r="M28" s="91"/>
      <c r="N28" s="156"/>
      <c r="O28" s="157"/>
      <c r="P28" s="157"/>
      <c r="Q28" s="157"/>
      <c r="R28" s="157"/>
      <c r="S28" s="158"/>
      <c r="T28" s="91"/>
      <c r="U28" s="91"/>
      <c r="V28" s="184"/>
      <c r="W28" s="185"/>
      <c r="X28" s="186"/>
      <c r="Y28" s="91"/>
      <c r="Z28" s="91"/>
    </row>
    <row r="29" spans="1:26" ht="18" customHeight="1" x14ac:dyDescent="0.15">
      <c r="A29" s="7"/>
      <c r="B29" s="190"/>
      <c r="C29" s="191"/>
      <c r="D29" s="191"/>
      <c r="E29" s="191"/>
      <c r="F29" s="192"/>
      <c r="G29" s="91"/>
      <c r="H29" s="91"/>
      <c r="I29" s="184"/>
      <c r="J29" s="185"/>
      <c r="K29" s="186"/>
      <c r="L29" s="91"/>
      <c r="M29" s="91"/>
      <c r="N29" s="156"/>
      <c r="O29" s="157"/>
      <c r="P29" s="157"/>
      <c r="Q29" s="157"/>
      <c r="R29" s="157"/>
      <c r="S29" s="158"/>
      <c r="T29" s="91"/>
      <c r="U29" s="91"/>
      <c r="V29" s="184"/>
      <c r="W29" s="185"/>
      <c r="X29" s="186"/>
      <c r="Y29" s="91"/>
      <c r="Z29" s="91"/>
    </row>
    <row r="30" spans="1:26" ht="18" customHeight="1" x14ac:dyDescent="0.15">
      <c r="A30" s="7"/>
      <c r="B30" s="190"/>
      <c r="C30" s="191"/>
      <c r="D30" s="191"/>
      <c r="E30" s="191"/>
      <c r="F30" s="192"/>
      <c r="G30" s="91"/>
      <c r="H30" s="91"/>
      <c r="I30" s="184"/>
      <c r="J30" s="185"/>
      <c r="K30" s="186"/>
      <c r="L30" s="91"/>
      <c r="M30" s="91"/>
      <c r="N30" s="156"/>
      <c r="O30" s="157"/>
      <c r="P30" s="157"/>
      <c r="Q30" s="157"/>
      <c r="R30" s="157"/>
      <c r="S30" s="158"/>
      <c r="T30" s="91"/>
      <c r="U30" s="91"/>
      <c r="V30" s="184"/>
      <c r="W30" s="185"/>
      <c r="X30" s="186"/>
      <c r="Y30" s="91"/>
      <c r="Z30" s="91"/>
    </row>
    <row r="31" spans="1:26" ht="18" customHeight="1" x14ac:dyDescent="0.15">
      <c r="A31" s="7"/>
      <c r="B31" s="190"/>
      <c r="C31" s="191"/>
      <c r="D31" s="191"/>
      <c r="E31" s="191"/>
      <c r="F31" s="192"/>
      <c r="G31" s="91"/>
      <c r="H31" s="91"/>
      <c r="I31" s="184"/>
      <c r="J31" s="185"/>
      <c r="K31" s="186"/>
      <c r="L31" s="91"/>
      <c r="M31" s="91"/>
      <c r="N31" s="156"/>
      <c r="O31" s="157"/>
      <c r="P31" s="157"/>
      <c r="Q31" s="157"/>
      <c r="R31" s="157"/>
      <c r="S31" s="158"/>
      <c r="T31" s="91"/>
      <c r="U31" s="91"/>
      <c r="V31" s="184"/>
      <c r="W31" s="185"/>
      <c r="X31" s="186"/>
      <c r="Y31" s="91"/>
      <c r="Z31" s="91"/>
    </row>
    <row r="32" spans="1:26" ht="18" customHeight="1" x14ac:dyDescent="0.15">
      <c r="A32" s="7"/>
      <c r="B32" s="190"/>
      <c r="C32" s="191"/>
      <c r="D32" s="191"/>
      <c r="E32" s="191"/>
      <c r="F32" s="192"/>
      <c r="G32" s="91"/>
      <c r="H32" s="91"/>
      <c r="I32" s="184"/>
      <c r="J32" s="185"/>
      <c r="K32" s="186"/>
      <c r="L32" s="91"/>
      <c r="M32" s="91"/>
      <c r="N32" s="156"/>
      <c r="O32" s="157"/>
      <c r="P32" s="157"/>
      <c r="Q32" s="157"/>
      <c r="R32" s="157"/>
      <c r="S32" s="158"/>
      <c r="T32" s="91"/>
      <c r="U32" s="91"/>
      <c r="V32" s="184"/>
      <c r="W32" s="185"/>
      <c r="X32" s="186"/>
      <c r="Y32" s="91"/>
      <c r="Z32" s="91"/>
    </row>
    <row r="33" spans="1:26" ht="18" customHeight="1" x14ac:dyDescent="0.15">
      <c r="A33" s="7"/>
      <c r="B33" s="197"/>
      <c r="C33" s="198"/>
      <c r="D33" s="198"/>
      <c r="E33" s="198"/>
      <c r="F33" s="199"/>
      <c r="G33" s="92"/>
      <c r="H33" s="92"/>
      <c r="I33" s="193"/>
      <c r="J33" s="194"/>
      <c r="K33" s="195"/>
      <c r="L33" s="98"/>
      <c r="M33" s="98"/>
      <c r="N33" s="223"/>
      <c r="O33" s="224"/>
      <c r="P33" s="224"/>
      <c r="Q33" s="224"/>
      <c r="R33" s="224"/>
      <c r="S33" s="225"/>
      <c r="T33" s="92"/>
      <c r="U33" s="92"/>
      <c r="V33" s="193"/>
      <c r="W33" s="194"/>
      <c r="X33" s="195"/>
      <c r="Y33" s="98"/>
      <c r="Z33" s="98"/>
    </row>
    <row r="34" spans="1:26" ht="7.5" customHeight="1" x14ac:dyDescent="0.15">
      <c r="A34" s="21"/>
      <c r="B34" s="60"/>
      <c r="C34" s="60"/>
      <c r="D34" s="21"/>
      <c r="E34" s="21"/>
      <c r="F34" s="21"/>
      <c r="G34" s="21"/>
      <c r="H34" s="21"/>
      <c r="I34" s="21"/>
      <c r="J34" s="21"/>
      <c r="K34" s="21"/>
      <c r="L34" s="60"/>
      <c r="M34" s="60"/>
      <c r="N34" s="60"/>
      <c r="O34" s="60"/>
      <c r="P34" s="60"/>
      <c r="Q34" s="60"/>
      <c r="R34" s="60"/>
      <c r="S34" s="60"/>
      <c r="T34" s="60"/>
      <c r="U34" s="60"/>
      <c r="V34" s="60"/>
      <c r="W34" s="60"/>
      <c r="X34" s="60"/>
      <c r="Y34" s="60"/>
      <c r="Z34" s="21"/>
    </row>
    <row r="35" spans="1:26" ht="18" customHeight="1" x14ac:dyDescent="0.15">
      <c r="A35" s="196" t="s">
        <v>129</v>
      </c>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row>
    <row r="36" spans="1:26" ht="18" customHeight="1" x14ac:dyDescent="0.15">
      <c r="A36" s="196"/>
      <c r="B36" s="196"/>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row>
    <row r="37" spans="1:26" ht="18" customHeight="1" x14ac:dyDescent="0.15">
      <c r="A37" s="7"/>
      <c r="B37" s="140" t="s">
        <v>100</v>
      </c>
      <c r="C37" s="141"/>
      <c r="D37" s="141"/>
      <c r="E37" s="141"/>
      <c r="F37" s="142"/>
      <c r="G37" s="22" t="s">
        <v>141</v>
      </c>
      <c r="H37" s="89" t="s">
        <v>140</v>
      </c>
      <c r="I37" s="140" t="s">
        <v>101</v>
      </c>
      <c r="J37" s="141"/>
      <c r="K37" s="142"/>
      <c r="L37" s="59" t="s">
        <v>130</v>
      </c>
      <c r="M37" s="59" t="s">
        <v>131</v>
      </c>
      <c r="N37" s="140" t="s">
        <v>100</v>
      </c>
      <c r="O37" s="141"/>
      <c r="P37" s="141"/>
      <c r="Q37" s="141"/>
      <c r="R37" s="141"/>
      <c r="S37" s="142"/>
      <c r="T37" s="22" t="s">
        <v>141</v>
      </c>
      <c r="U37" s="89" t="s">
        <v>140</v>
      </c>
      <c r="V37" s="140" t="s">
        <v>101</v>
      </c>
      <c r="W37" s="141"/>
      <c r="X37" s="142"/>
      <c r="Y37" s="59" t="s">
        <v>130</v>
      </c>
      <c r="Z37" s="59" t="s">
        <v>131</v>
      </c>
    </row>
    <row r="38" spans="1:26" ht="18" customHeight="1" x14ac:dyDescent="0.15">
      <c r="A38" s="21"/>
      <c r="B38" s="187" t="s">
        <v>178</v>
      </c>
      <c r="C38" s="188"/>
      <c r="D38" s="188"/>
      <c r="E38" s="188"/>
      <c r="F38" s="189"/>
      <c r="G38" s="90">
        <v>1</v>
      </c>
      <c r="H38" s="90" t="s">
        <v>159</v>
      </c>
      <c r="I38" s="181" t="s">
        <v>160</v>
      </c>
      <c r="J38" s="182"/>
      <c r="K38" s="183"/>
      <c r="L38" s="90" t="s">
        <v>159</v>
      </c>
      <c r="M38" s="90" t="s">
        <v>159</v>
      </c>
      <c r="N38" s="147"/>
      <c r="O38" s="148"/>
      <c r="P38" s="148"/>
      <c r="Q38" s="148"/>
      <c r="R38" s="148"/>
      <c r="S38" s="149"/>
      <c r="T38" s="90"/>
      <c r="U38" s="90"/>
      <c r="V38" s="181"/>
      <c r="W38" s="182"/>
      <c r="X38" s="183"/>
      <c r="Y38" s="90"/>
      <c r="Z38" s="90"/>
    </row>
    <row r="39" spans="1:26" ht="18" customHeight="1" x14ac:dyDescent="0.15">
      <c r="A39" s="21"/>
      <c r="B39" s="190"/>
      <c r="C39" s="191"/>
      <c r="D39" s="191"/>
      <c r="E39" s="191"/>
      <c r="F39" s="192"/>
      <c r="G39" s="91"/>
      <c r="H39" s="91"/>
      <c r="I39" s="184"/>
      <c r="J39" s="185"/>
      <c r="K39" s="186"/>
      <c r="L39" s="91"/>
      <c r="M39" s="91"/>
      <c r="N39" s="156"/>
      <c r="O39" s="157"/>
      <c r="P39" s="157"/>
      <c r="Q39" s="157"/>
      <c r="R39" s="157"/>
      <c r="S39" s="158"/>
      <c r="T39" s="91"/>
      <c r="U39" s="91"/>
      <c r="V39" s="184"/>
      <c r="W39" s="185"/>
      <c r="X39" s="186"/>
      <c r="Y39" s="91"/>
      <c r="Z39" s="91"/>
    </row>
    <row r="40" spans="1:26" ht="18" customHeight="1" x14ac:dyDescent="0.15">
      <c r="A40" s="21"/>
      <c r="B40" s="190"/>
      <c r="C40" s="191"/>
      <c r="D40" s="191"/>
      <c r="E40" s="191"/>
      <c r="F40" s="192"/>
      <c r="G40" s="91"/>
      <c r="H40" s="91"/>
      <c r="I40" s="184"/>
      <c r="J40" s="185"/>
      <c r="K40" s="186"/>
      <c r="L40" s="91"/>
      <c r="M40" s="91"/>
      <c r="N40" s="156"/>
      <c r="O40" s="157"/>
      <c r="P40" s="157"/>
      <c r="Q40" s="157"/>
      <c r="R40" s="157"/>
      <c r="S40" s="158"/>
      <c r="T40" s="91"/>
      <c r="U40" s="91"/>
      <c r="V40" s="184"/>
      <c r="W40" s="185"/>
      <c r="X40" s="186"/>
      <c r="Y40" s="91"/>
      <c r="Z40" s="91"/>
    </row>
    <row r="41" spans="1:26" ht="18" customHeight="1" x14ac:dyDescent="0.15">
      <c r="A41" s="21"/>
      <c r="B41" s="190"/>
      <c r="C41" s="191"/>
      <c r="D41" s="191"/>
      <c r="E41" s="191"/>
      <c r="F41" s="192"/>
      <c r="G41" s="91"/>
      <c r="H41" s="91"/>
      <c r="I41" s="184"/>
      <c r="J41" s="185"/>
      <c r="K41" s="186"/>
      <c r="L41" s="91"/>
      <c r="M41" s="91"/>
      <c r="N41" s="156"/>
      <c r="O41" s="157"/>
      <c r="P41" s="157"/>
      <c r="Q41" s="157"/>
      <c r="R41" s="157"/>
      <c r="S41" s="158"/>
      <c r="T41" s="91"/>
      <c r="U41" s="91"/>
      <c r="V41" s="184"/>
      <c r="W41" s="185"/>
      <c r="X41" s="186"/>
      <c r="Y41" s="91"/>
      <c r="Z41" s="91"/>
    </row>
    <row r="42" spans="1:26" ht="18" customHeight="1" x14ac:dyDescent="0.15">
      <c r="A42" s="21"/>
      <c r="B42" s="190"/>
      <c r="C42" s="191"/>
      <c r="D42" s="191"/>
      <c r="E42" s="191"/>
      <c r="F42" s="192"/>
      <c r="G42" s="91"/>
      <c r="H42" s="91"/>
      <c r="I42" s="184"/>
      <c r="J42" s="185"/>
      <c r="K42" s="186"/>
      <c r="L42" s="91"/>
      <c r="M42" s="91"/>
      <c r="N42" s="156"/>
      <c r="O42" s="157"/>
      <c r="P42" s="157"/>
      <c r="Q42" s="157"/>
      <c r="R42" s="157"/>
      <c r="S42" s="158"/>
      <c r="T42" s="91"/>
      <c r="U42" s="91"/>
      <c r="V42" s="184"/>
      <c r="W42" s="185"/>
      <c r="X42" s="186"/>
      <c r="Y42" s="91"/>
      <c r="Z42" s="91"/>
    </row>
    <row r="43" spans="1:26" ht="18" customHeight="1" x14ac:dyDescent="0.15">
      <c r="A43" s="21"/>
      <c r="B43" s="190"/>
      <c r="C43" s="191"/>
      <c r="D43" s="191"/>
      <c r="E43" s="191"/>
      <c r="F43" s="192"/>
      <c r="G43" s="91"/>
      <c r="H43" s="91"/>
      <c r="I43" s="184"/>
      <c r="J43" s="185"/>
      <c r="K43" s="186"/>
      <c r="L43" s="91"/>
      <c r="M43" s="91"/>
      <c r="N43" s="156"/>
      <c r="O43" s="157"/>
      <c r="P43" s="157"/>
      <c r="Q43" s="157"/>
      <c r="R43" s="157"/>
      <c r="S43" s="158"/>
      <c r="T43" s="91"/>
      <c r="U43" s="91"/>
      <c r="V43" s="184"/>
      <c r="W43" s="185"/>
      <c r="X43" s="186"/>
      <c r="Y43" s="91"/>
      <c r="Z43" s="91"/>
    </row>
    <row r="44" spans="1:26" ht="18" customHeight="1" x14ac:dyDescent="0.15">
      <c r="A44" s="21"/>
      <c r="B44" s="197"/>
      <c r="C44" s="198"/>
      <c r="D44" s="198"/>
      <c r="E44" s="198"/>
      <c r="F44" s="199"/>
      <c r="G44" s="92"/>
      <c r="H44" s="92"/>
      <c r="I44" s="193"/>
      <c r="J44" s="194"/>
      <c r="K44" s="195"/>
      <c r="L44" s="98"/>
      <c r="M44" s="98"/>
      <c r="N44" s="223"/>
      <c r="O44" s="224"/>
      <c r="P44" s="224"/>
      <c r="Q44" s="224"/>
      <c r="R44" s="224"/>
      <c r="S44" s="225"/>
      <c r="T44" s="92"/>
      <c r="U44" s="92"/>
      <c r="V44" s="193"/>
      <c r="W44" s="194"/>
      <c r="X44" s="195"/>
      <c r="Y44" s="98"/>
      <c r="Z44" s="98"/>
    </row>
    <row r="45" spans="1:26" ht="7.5" customHeight="1" x14ac:dyDescent="0.15">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15">
      <c r="A46" s="196" t="s">
        <v>132</v>
      </c>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row>
    <row r="47" spans="1:26" ht="18" customHeight="1" x14ac:dyDescent="0.15">
      <c r="A47" s="196"/>
      <c r="B47" s="196"/>
      <c r="C47" s="196"/>
      <c r="D47" s="196"/>
      <c r="E47" s="196"/>
      <c r="F47" s="196"/>
      <c r="G47" s="196"/>
      <c r="H47" s="196"/>
      <c r="I47" s="196"/>
      <c r="J47" s="196"/>
      <c r="K47" s="196"/>
      <c r="L47" s="196"/>
      <c r="M47" s="196"/>
      <c r="N47" s="196"/>
      <c r="O47" s="196"/>
      <c r="P47" s="196"/>
      <c r="Q47" s="196"/>
      <c r="R47" s="196"/>
      <c r="S47" s="196"/>
      <c r="T47" s="196"/>
      <c r="U47" s="196"/>
      <c r="V47" s="196"/>
      <c r="W47" s="196"/>
      <c r="X47" s="196"/>
      <c r="Y47" s="196"/>
      <c r="Z47" s="196"/>
    </row>
    <row r="48" spans="1:26" ht="18" customHeight="1" x14ac:dyDescent="0.15">
      <c r="A48" s="7"/>
      <c r="B48" s="140" t="s">
        <v>100</v>
      </c>
      <c r="C48" s="141"/>
      <c r="D48" s="141"/>
      <c r="E48" s="141"/>
      <c r="F48" s="142"/>
      <c r="G48" s="22" t="s">
        <v>141</v>
      </c>
      <c r="H48" s="89" t="s">
        <v>140</v>
      </c>
      <c r="I48" s="140" t="s">
        <v>101</v>
      </c>
      <c r="J48" s="141"/>
      <c r="K48" s="142"/>
      <c r="L48" s="59" t="s">
        <v>106</v>
      </c>
      <c r="M48" s="59" t="s">
        <v>108</v>
      </c>
      <c r="N48" s="140" t="s">
        <v>100</v>
      </c>
      <c r="O48" s="141"/>
      <c r="P48" s="141"/>
      <c r="Q48" s="141"/>
      <c r="R48" s="141"/>
      <c r="S48" s="142"/>
      <c r="T48" s="22" t="s">
        <v>141</v>
      </c>
      <c r="U48" s="89" t="s">
        <v>140</v>
      </c>
      <c r="V48" s="140" t="s">
        <v>101</v>
      </c>
      <c r="W48" s="141"/>
      <c r="X48" s="142"/>
      <c r="Y48" s="59" t="s">
        <v>106</v>
      </c>
      <c r="Z48" s="59" t="s">
        <v>108</v>
      </c>
    </row>
    <row r="49" spans="1:26" ht="18" customHeight="1" x14ac:dyDescent="0.15">
      <c r="A49" s="21"/>
      <c r="B49" s="187" t="s">
        <v>180</v>
      </c>
      <c r="C49" s="188"/>
      <c r="D49" s="188"/>
      <c r="E49" s="188"/>
      <c r="F49" s="189"/>
      <c r="G49" s="90">
        <v>1</v>
      </c>
      <c r="H49" s="90" t="s">
        <v>159</v>
      </c>
      <c r="I49" s="181" t="s">
        <v>160</v>
      </c>
      <c r="J49" s="182"/>
      <c r="K49" s="183"/>
      <c r="L49" s="90" t="s">
        <v>159</v>
      </c>
      <c r="M49" s="90" t="s">
        <v>159</v>
      </c>
      <c r="N49" s="147"/>
      <c r="O49" s="148"/>
      <c r="P49" s="148"/>
      <c r="Q49" s="148"/>
      <c r="R49" s="148"/>
      <c r="S49" s="149"/>
      <c r="T49" s="90"/>
      <c r="U49" s="90"/>
      <c r="V49" s="181"/>
      <c r="W49" s="182"/>
      <c r="X49" s="183"/>
      <c r="Y49" s="90"/>
      <c r="Z49" s="90"/>
    </row>
    <row r="50" spans="1:26" ht="18" customHeight="1" x14ac:dyDescent="0.15">
      <c r="A50" s="21"/>
      <c r="B50" s="190" t="s">
        <v>158</v>
      </c>
      <c r="C50" s="191"/>
      <c r="D50" s="191"/>
      <c r="E50" s="191"/>
      <c r="F50" s="192"/>
      <c r="G50" s="91">
        <v>1</v>
      </c>
      <c r="H50" s="91" t="s">
        <v>159</v>
      </c>
      <c r="I50" s="184" t="s">
        <v>160</v>
      </c>
      <c r="J50" s="185"/>
      <c r="K50" s="186"/>
      <c r="L50" s="91" t="s">
        <v>159</v>
      </c>
      <c r="M50" s="91" t="s">
        <v>159</v>
      </c>
      <c r="N50" s="156"/>
      <c r="O50" s="157"/>
      <c r="P50" s="157"/>
      <c r="Q50" s="157"/>
      <c r="R50" s="157"/>
      <c r="S50" s="158"/>
      <c r="T50" s="91"/>
      <c r="U50" s="91"/>
      <c r="V50" s="184"/>
      <c r="W50" s="185"/>
      <c r="X50" s="186"/>
      <c r="Y50" s="91"/>
      <c r="Z50" s="91"/>
    </row>
    <row r="51" spans="1:26" ht="18" customHeight="1" x14ac:dyDescent="0.15">
      <c r="A51" s="21"/>
      <c r="B51" s="190"/>
      <c r="C51" s="191"/>
      <c r="D51" s="191"/>
      <c r="E51" s="191"/>
      <c r="F51" s="192"/>
      <c r="G51" s="91"/>
      <c r="H51" s="91"/>
      <c r="I51" s="184"/>
      <c r="J51" s="185"/>
      <c r="K51" s="186"/>
      <c r="L51" s="91"/>
      <c r="M51" s="91"/>
      <c r="N51" s="156"/>
      <c r="O51" s="157"/>
      <c r="P51" s="157"/>
      <c r="Q51" s="157"/>
      <c r="R51" s="157"/>
      <c r="S51" s="158"/>
      <c r="T51" s="91"/>
      <c r="U51" s="91"/>
      <c r="V51" s="184"/>
      <c r="W51" s="185"/>
      <c r="X51" s="186"/>
      <c r="Y51" s="91"/>
      <c r="Z51" s="91"/>
    </row>
    <row r="52" spans="1:26" ht="18" customHeight="1" x14ac:dyDescent="0.15">
      <c r="A52" s="21"/>
      <c r="B52" s="190"/>
      <c r="C52" s="191"/>
      <c r="D52" s="191"/>
      <c r="E52" s="191"/>
      <c r="F52" s="192"/>
      <c r="G52" s="91"/>
      <c r="H52" s="91"/>
      <c r="I52" s="184"/>
      <c r="J52" s="185"/>
      <c r="K52" s="186"/>
      <c r="L52" s="91"/>
      <c r="M52" s="91"/>
      <c r="N52" s="156"/>
      <c r="O52" s="157"/>
      <c r="P52" s="157"/>
      <c r="Q52" s="157"/>
      <c r="R52" s="157"/>
      <c r="S52" s="158"/>
      <c r="T52" s="91"/>
      <c r="U52" s="91"/>
      <c r="V52" s="184"/>
      <c r="W52" s="185"/>
      <c r="X52" s="186"/>
      <c r="Y52" s="91"/>
      <c r="Z52" s="91"/>
    </row>
    <row r="53" spans="1:26" ht="18" customHeight="1" x14ac:dyDescent="0.15">
      <c r="A53" s="21"/>
      <c r="B53" s="190"/>
      <c r="C53" s="191"/>
      <c r="D53" s="191"/>
      <c r="E53" s="191"/>
      <c r="F53" s="192"/>
      <c r="G53" s="91"/>
      <c r="H53" s="91"/>
      <c r="I53" s="184"/>
      <c r="J53" s="185"/>
      <c r="K53" s="186"/>
      <c r="L53" s="91"/>
      <c r="M53" s="91"/>
      <c r="N53" s="156"/>
      <c r="O53" s="157"/>
      <c r="P53" s="157"/>
      <c r="Q53" s="157"/>
      <c r="R53" s="157"/>
      <c r="S53" s="158"/>
      <c r="T53" s="91"/>
      <c r="U53" s="91"/>
      <c r="V53" s="184"/>
      <c r="W53" s="185"/>
      <c r="X53" s="186"/>
      <c r="Y53" s="91"/>
      <c r="Z53" s="91"/>
    </row>
    <row r="54" spans="1:26" ht="18" customHeight="1" x14ac:dyDescent="0.15">
      <c r="A54" s="21"/>
      <c r="B54" s="190"/>
      <c r="C54" s="191"/>
      <c r="D54" s="191"/>
      <c r="E54" s="191"/>
      <c r="F54" s="192"/>
      <c r="G54" s="91"/>
      <c r="H54" s="91"/>
      <c r="I54" s="184"/>
      <c r="J54" s="185"/>
      <c r="K54" s="186"/>
      <c r="L54" s="91"/>
      <c r="M54" s="91"/>
      <c r="N54" s="156"/>
      <c r="O54" s="157"/>
      <c r="P54" s="157"/>
      <c r="Q54" s="157"/>
      <c r="R54" s="157"/>
      <c r="S54" s="158"/>
      <c r="T54" s="91"/>
      <c r="U54" s="91"/>
      <c r="V54" s="184"/>
      <c r="W54" s="185"/>
      <c r="X54" s="186"/>
      <c r="Y54" s="91"/>
      <c r="Z54" s="91"/>
    </row>
    <row r="55" spans="1:26" ht="18" customHeight="1" x14ac:dyDescent="0.15">
      <c r="A55" s="21"/>
      <c r="B55" s="197"/>
      <c r="C55" s="198"/>
      <c r="D55" s="198"/>
      <c r="E55" s="198"/>
      <c r="F55" s="199"/>
      <c r="G55" s="92"/>
      <c r="H55" s="92"/>
      <c r="I55" s="193"/>
      <c r="J55" s="194"/>
      <c r="K55" s="195"/>
      <c r="L55" s="98"/>
      <c r="M55" s="98"/>
      <c r="N55" s="223"/>
      <c r="O55" s="224"/>
      <c r="P55" s="224"/>
      <c r="Q55" s="224"/>
      <c r="R55" s="224"/>
      <c r="S55" s="225"/>
      <c r="T55" s="92"/>
      <c r="U55" s="92"/>
      <c r="V55" s="193"/>
      <c r="W55" s="194"/>
      <c r="X55" s="195"/>
      <c r="Y55" s="98"/>
      <c r="Z55" s="98"/>
    </row>
    <row r="56" spans="1:26" ht="7.5" customHeight="1" x14ac:dyDescent="0.15">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15">
      <c r="A57" s="196" t="s">
        <v>133</v>
      </c>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row>
    <row r="58" spans="1:26" ht="18" customHeight="1" x14ac:dyDescent="0.15">
      <c r="A58" s="196"/>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row>
    <row r="59" spans="1:26" ht="18" customHeight="1" x14ac:dyDescent="0.15">
      <c r="A59" s="7"/>
      <c r="B59" s="140" t="s">
        <v>100</v>
      </c>
      <c r="C59" s="141"/>
      <c r="D59" s="141"/>
      <c r="E59" s="142"/>
      <c r="F59" s="22" t="s">
        <v>141</v>
      </c>
      <c r="G59" s="89" t="s">
        <v>140</v>
      </c>
      <c r="H59" s="84" t="s">
        <v>101</v>
      </c>
      <c r="I59" s="85"/>
      <c r="J59" s="86"/>
      <c r="K59" s="59" t="s">
        <v>105</v>
      </c>
      <c r="L59" s="59" t="s">
        <v>134</v>
      </c>
      <c r="M59" s="59" t="s">
        <v>135</v>
      </c>
      <c r="N59" s="140" t="s">
        <v>100</v>
      </c>
      <c r="O59" s="141"/>
      <c r="P59" s="141"/>
      <c r="Q59" s="141"/>
      <c r="R59" s="142"/>
      <c r="S59" s="22" t="s">
        <v>141</v>
      </c>
      <c r="T59" s="89" t="s">
        <v>140</v>
      </c>
      <c r="U59" s="84" t="s">
        <v>101</v>
      </c>
      <c r="V59" s="85"/>
      <c r="W59" s="86"/>
      <c r="X59" s="59" t="s">
        <v>105</v>
      </c>
      <c r="Y59" s="59" t="s">
        <v>134</v>
      </c>
      <c r="Z59" s="59" t="s">
        <v>135</v>
      </c>
    </row>
    <row r="60" spans="1:26" ht="18" customHeight="1" x14ac:dyDescent="0.15">
      <c r="A60" s="21"/>
      <c r="B60" s="147" t="s">
        <v>182</v>
      </c>
      <c r="C60" s="148"/>
      <c r="D60" s="148"/>
      <c r="E60" s="149"/>
      <c r="F60" s="90">
        <v>1</v>
      </c>
      <c r="G60" s="90" t="s">
        <v>159</v>
      </c>
      <c r="H60" s="181" t="s">
        <v>160</v>
      </c>
      <c r="I60" s="182"/>
      <c r="J60" s="183"/>
      <c r="K60" s="97" t="s">
        <v>162</v>
      </c>
      <c r="L60" s="90" t="s">
        <v>159</v>
      </c>
      <c r="M60" s="90" t="s">
        <v>159</v>
      </c>
      <c r="N60" s="147"/>
      <c r="O60" s="148"/>
      <c r="P60" s="148"/>
      <c r="Q60" s="148"/>
      <c r="R60" s="149"/>
      <c r="S60" s="90"/>
      <c r="T60" s="90"/>
      <c r="U60" s="181"/>
      <c r="V60" s="182"/>
      <c r="W60" s="183"/>
      <c r="X60" s="97"/>
      <c r="Y60" s="90"/>
      <c r="Z60" s="90"/>
    </row>
    <row r="61" spans="1:26" ht="18" customHeight="1" x14ac:dyDescent="0.15">
      <c r="A61" s="21"/>
      <c r="B61" s="156"/>
      <c r="C61" s="157"/>
      <c r="D61" s="157"/>
      <c r="E61" s="158"/>
      <c r="F61" s="91"/>
      <c r="G61" s="91"/>
      <c r="H61" s="184"/>
      <c r="I61" s="185"/>
      <c r="J61" s="186"/>
      <c r="K61" s="95"/>
      <c r="L61" s="91"/>
      <c r="M61" s="91"/>
      <c r="N61" s="156"/>
      <c r="O61" s="157"/>
      <c r="P61" s="157"/>
      <c r="Q61" s="157"/>
      <c r="R61" s="158"/>
      <c r="S61" s="91"/>
      <c r="T61" s="91"/>
      <c r="U61" s="184"/>
      <c r="V61" s="185"/>
      <c r="W61" s="186"/>
      <c r="X61" s="95"/>
      <c r="Y61" s="91"/>
      <c r="Z61" s="91"/>
    </row>
    <row r="62" spans="1:26" ht="18" customHeight="1" x14ac:dyDescent="0.15">
      <c r="A62" s="21"/>
      <c r="B62" s="156"/>
      <c r="C62" s="157"/>
      <c r="D62" s="157"/>
      <c r="E62" s="158"/>
      <c r="F62" s="91"/>
      <c r="G62" s="91"/>
      <c r="H62" s="184"/>
      <c r="I62" s="185"/>
      <c r="J62" s="186"/>
      <c r="K62" s="95"/>
      <c r="L62" s="91"/>
      <c r="M62" s="91"/>
      <c r="N62" s="156"/>
      <c r="O62" s="157"/>
      <c r="P62" s="157"/>
      <c r="Q62" s="157"/>
      <c r="R62" s="158"/>
      <c r="S62" s="91"/>
      <c r="T62" s="91"/>
      <c r="U62" s="184"/>
      <c r="V62" s="185"/>
      <c r="W62" s="186"/>
      <c r="X62" s="95"/>
      <c r="Y62" s="91"/>
      <c r="Z62" s="91"/>
    </row>
    <row r="63" spans="1:26" ht="18" customHeight="1" x14ac:dyDescent="0.15">
      <c r="A63" s="21"/>
      <c r="B63" s="156"/>
      <c r="C63" s="157"/>
      <c r="D63" s="157"/>
      <c r="E63" s="158"/>
      <c r="F63" s="91"/>
      <c r="G63" s="91"/>
      <c r="H63" s="184"/>
      <c r="I63" s="185"/>
      <c r="J63" s="186"/>
      <c r="K63" s="95"/>
      <c r="L63" s="91"/>
      <c r="M63" s="91"/>
      <c r="N63" s="156"/>
      <c r="O63" s="157"/>
      <c r="P63" s="157"/>
      <c r="Q63" s="157"/>
      <c r="R63" s="158"/>
      <c r="S63" s="91"/>
      <c r="T63" s="91"/>
      <c r="U63" s="184"/>
      <c r="V63" s="185"/>
      <c r="W63" s="186"/>
      <c r="X63" s="95"/>
      <c r="Y63" s="91"/>
      <c r="Z63" s="91"/>
    </row>
    <row r="64" spans="1:26" ht="18" customHeight="1" x14ac:dyDescent="0.15">
      <c r="A64" s="21"/>
      <c r="B64" s="156"/>
      <c r="C64" s="157"/>
      <c r="D64" s="157"/>
      <c r="E64" s="158"/>
      <c r="F64" s="91"/>
      <c r="G64" s="91"/>
      <c r="H64" s="184"/>
      <c r="I64" s="185"/>
      <c r="J64" s="186"/>
      <c r="K64" s="95"/>
      <c r="L64" s="91"/>
      <c r="M64" s="91"/>
      <c r="N64" s="156"/>
      <c r="O64" s="157"/>
      <c r="P64" s="157"/>
      <c r="Q64" s="157"/>
      <c r="R64" s="158"/>
      <c r="S64" s="91"/>
      <c r="T64" s="91"/>
      <c r="U64" s="184"/>
      <c r="V64" s="185"/>
      <c r="W64" s="186"/>
      <c r="X64" s="95"/>
      <c r="Y64" s="91"/>
      <c r="Z64" s="91"/>
    </row>
    <row r="65" spans="1:26" ht="18" customHeight="1" x14ac:dyDescent="0.15">
      <c r="A65" s="21"/>
      <c r="B65" s="156"/>
      <c r="C65" s="157"/>
      <c r="D65" s="157"/>
      <c r="E65" s="158"/>
      <c r="F65" s="91"/>
      <c r="G65" s="91"/>
      <c r="H65" s="184"/>
      <c r="I65" s="185"/>
      <c r="J65" s="186"/>
      <c r="K65" s="95"/>
      <c r="L65" s="91"/>
      <c r="M65" s="91"/>
      <c r="N65" s="156"/>
      <c r="O65" s="157"/>
      <c r="P65" s="157"/>
      <c r="Q65" s="157"/>
      <c r="R65" s="158"/>
      <c r="S65" s="91"/>
      <c r="T65" s="91"/>
      <c r="U65" s="184"/>
      <c r="V65" s="185"/>
      <c r="W65" s="186"/>
      <c r="X65" s="95"/>
      <c r="Y65" s="91"/>
      <c r="Z65" s="91"/>
    </row>
    <row r="66" spans="1:26" ht="18" customHeight="1" x14ac:dyDescent="0.15">
      <c r="A66" s="21"/>
      <c r="B66" s="223"/>
      <c r="C66" s="224"/>
      <c r="D66" s="224"/>
      <c r="E66" s="225"/>
      <c r="F66" s="92"/>
      <c r="G66" s="92"/>
      <c r="H66" s="193"/>
      <c r="I66" s="194"/>
      <c r="J66" s="195"/>
      <c r="K66" s="96"/>
      <c r="L66" s="98"/>
      <c r="M66" s="98"/>
      <c r="N66" s="223"/>
      <c r="O66" s="224"/>
      <c r="P66" s="224"/>
      <c r="Q66" s="224"/>
      <c r="R66" s="225"/>
      <c r="S66" s="92"/>
      <c r="T66" s="92"/>
      <c r="U66" s="193"/>
      <c r="V66" s="194"/>
      <c r="W66" s="195"/>
      <c r="X66" s="96"/>
      <c r="Y66" s="98"/>
      <c r="Z66" s="98"/>
    </row>
    <row r="67" spans="1:26" ht="7.5" customHeight="1" x14ac:dyDescent="0.15">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15">
      <c r="A68" s="7" t="s">
        <v>136</v>
      </c>
      <c r="B68" s="7"/>
      <c r="C68" s="7"/>
      <c r="D68" s="7"/>
      <c r="E68" s="7"/>
      <c r="F68" s="7"/>
      <c r="G68" s="7"/>
      <c r="H68" s="7"/>
      <c r="I68" s="7"/>
      <c r="J68" s="7"/>
      <c r="K68" s="7"/>
      <c r="L68" s="21"/>
      <c r="M68" s="21"/>
      <c r="N68" s="21"/>
      <c r="O68" s="21"/>
      <c r="P68" s="21"/>
      <c r="Q68" s="21"/>
      <c r="R68" s="21"/>
      <c r="S68" s="21"/>
      <c r="T68" s="21"/>
      <c r="U68" s="21"/>
      <c r="V68" s="21"/>
      <c r="W68" s="21"/>
      <c r="X68" s="21"/>
      <c r="Y68" s="21"/>
      <c r="Z68" s="21"/>
    </row>
    <row r="69" spans="1:26" ht="18" customHeight="1" x14ac:dyDescent="0.15">
      <c r="A69" s="7"/>
      <c r="B69" s="140" t="s">
        <v>100</v>
      </c>
      <c r="C69" s="141"/>
      <c r="D69" s="141"/>
      <c r="E69" s="141"/>
      <c r="F69" s="142"/>
      <c r="G69" s="140" t="s">
        <v>146</v>
      </c>
      <c r="H69" s="141"/>
      <c r="I69" s="141"/>
      <c r="J69" s="141"/>
      <c r="K69" s="141"/>
      <c r="L69" s="141"/>
      <c r="M69" s="142"/>
      <c r="N69" s="229" t="s">
        <v>100</v>
      </c>
      <c r="O69" s="230"/>
      <c r="P69" s="230"/>
      <c r="Q69" s="230"/>
      <c r="R69" s="230"/>
      <c r="S69" s="231"/>
      <c r="T69" s="140" t="s">
        <v>146</v>
      </c>
      <c r="U69" s="141"/>
      <c r="V69" s="141"/>
      <c r="W69" s="141"/>
      <c r="X69" s="141"/>
      <c r="Y69" s="141"/>
      <c r="Z69" s="142"/>
    </row>
    <row r="70" spans="1:26" ht="18" customHeight="1" x14ac:dyDescent="0.15">
      <c r="A70" s="21"/>
      <c r="B70" s="147" t="s">
        <v>178</v>
      </c>
      <c r="C70" s="148"/>
      <c r="D70" s="148"/>
      <c r="E70" s="148"/>
      <c r="F70" s="149"/>
      <c r="G70" s="150" t="s">
        <v>179</v>
      </c>
      <c r="H70" s="151"/>
      <c r="I70" s="151"/>
      <c r="J70" s="151"/>
      <c r="K70" s="151"/>
      <c r="L70" s="151"/>
      <c r="M70" s="152"/>
      <c r="N70" s="147"/>
      <c r="O70" s="148"/>
      <c r="P70" s="148"/>
      <c r="Q70" s="148"/>
      <c r="R70" s="148"/>
      <c r="S70" s="149"/>
      <c r="T70" s="150"/>
      <c r="U70" s="151"/>
      <c r="V70" s="151"/>
      <c r="W70" s="151"/>
      <c r="X70" s="151"/>
      <c r="Y70" s="151"/>
      <c r="Z70" s="152"/>
    </row>
    <row r="71" spans="1:26" ht="18" customHeight="1" x14ac:dyDescent="0.15">
      <c r="A71" s="21"/>
      <c r="B71" s="156" t="s">
        <v>176</v>
      </c>
      <c r="C71" s="157"/>
      <c r="D71" s="157"/>
      <c r="E71" s="157"/>
      <c r="F71" s="158"/>
      <c r="G71" s="159" t="s">
        <v>175</v>
      </c>
      <c r="H71" s="160"/>
      <c r="I71" s="160"/>
      <c r="J71" s="160"/>
      <c r="K71" s="160"/>
      <c r="L71" s="160"/>
      <c r="M71" s="161"/>
      <c r="N71" s="156"/>
      <c r="O71" s="157"/>
      <c r="P71" s="157"/>
      <c r="Q71" s="157"/>
      <c r="R71" s="157"/>
      <c r="S71" s="158"/>
      <c r="T71" s="159"/>
      <c r="U71" s="160"/>
      <c r="V71" s="160"/>
      <c r="W71" s="160"/>
      <c r="X71" s="160"/>
      <c r="Y71" s="160"/>
      <c r="Z71" s="161"/>
    </row>
    <row r="72" spans="1:26" ht="18" customHeight="1" x14ac:dyDescent="0.15">
      <c r="A72" s="21"/>
      <c r="B72" s="156" t="s">
        <v>176</v>
      </c>
      <c r="C72" s="157"/>
      <c r="D72" s="157"/>
      <c r="E72" s="157"/>
      <c r="F72" s="158"/>
      <c r="G72" s="159" t="s">
        <v>177</v>
      </c>
      <c r="H72" s="160"/>
      <c r="I72" s="160"/>
      <c r="J72" s="160"/>
      <c r="K72" s="160"/>
      <c r="L72" s="160"/>
      <c r="M72" s="161"/>
      <c r="N72" s="156"/>
      <c r="O72" s="157"/>
      <c r="P72" s="157"/>
      <c r="Q72" s="157"/>
      <c r="R72" s="157"/>
      <c r="S72" s="158"/>
      <c r="T72" s="159"/>
      <c r="U72" s="160"/>
      <c r="V72" s="160"/>
      <c r="W72" s="160"/>
      <c r="X72" s="160"/>
      <c r="Y72" s="160"/>
      <c r="Z72" s="161"/>
    </row>
    <row r="73" spans="1:26" ht="18" customHeight="1" x14ac:dyDescent="0.15">
      <c r="A73" s="21"/>
      <c r="B73" s="156"/>
      <c r="C73" s="157"/>
      <c r="D73" s="157"/>
      <c r="E73" s="157"/>
      <c r="F73" s="158"/>
      <c r="G73" s="159"/>
      <c r="H73" s="160"/>
      <c r="I73" s="160"/>
      <c r="J73" s="160"/>
      <c r="K73" s="160"/>
      <c r="L73" s="160"/>
      <c r="M73" s="161"/>
      <c r="N73" s="156"/>
      <c r="O73" s="157"/>
      <c r="P73" s="157"/>
      <c r="Q73" s="157"/>
      <c r="R73" s="157"/>
      <c r="S73" s="158"/>
      <c r="T73" s="159"/>
      <c r="U73" s="160"/>
      <c r="V73" s="160"/>
      <c r="W73" s="160"/>
      <c r="X73" s="160"/>
      <c r="Y73" s="160"/>
      <c r="Z73" s="161"/>
    </row>
    <row r="74" spans="1:26" ht="18" customHeight="1" x14ac:dyDescent="0.15">
      <c r="A74" s="21"/>
      <c r="B74" s="156"/>
      <c r="C74" s="157"/>
      <c r="D74" s="157"/>
      <c r="E74" s="157"/>
      <c r="F74" s="158"/>
      <c r="G74" s="159"/>
      <c r="H74" s="160"/>
      <c r="I74" s="160"/>
      <c r="J74" s="160"/>
      <c r="K74" s="160"/>
      <c r="L74" s="160"/>
      <c r="M74" s="161"/>
      <c r="N74" s="156"/>
      <c r="O74" s="157"/>
      <c r="P74" s="157"/>
      <c r="Q74" s="157"/>
      <c r="R74" s="157"/>
      <c r="S74" s="158"/>
      <c r="T74" s="159"/>
      <c r="U74" s="160"/>
      <c r="V74" s="160"/>
      <c r="W74" s="160"/>
      <c r="X74" s="160"/>
      <c r="Y74" s="160"/>
      <c r="Z74" s="161"/>
    </row>
    <row r="75" spans="1:26" ht="18" customHeight="1" x14ac:dyDescent="0.15">
      <c r="A75" s="21"/>
      <c r="B75" s="156"/>
      <c r="C75" s="157"/>
      <c r="D75" s="157"/>
      <c r="E75" s="157"/>
      <c r="F75" s="158"/>
      <c r="G75" s="159"/>
      <c r="H75" s="160"/>
      <c r="I75" s="160"/>
      <c r="J75" s="160"/>
      <c r="K75" s="160"/>
      <c r="L75" s="160"/>
      <c r="M75" s="161"/>
      <c r="N75" s="156"/>
      <c r="O75" s="157"/>
      <c r="P75" s="157"/>
      <c r="Q75" s="157"/>
      <c r="R75" s="157"/>
      <c r="S75" s="158"/>
      <c r="T75" s="159"/>
      <c r="U75" s="160"/>
      <c r="V75" s="160"/>
      <c r="W75" s="160"/>
      <c r="X75" s="160"/>
      <c r="Y75" s="160"/>
      <c r="Z75" s="161"/>
    </row>
    <row r="76" spans="1:26" ht="18" customHeight="1" x14ac:dyDescent="0.15">
      <c r="A76" s="21"/>
      <c r="B76" s="223"/>
      <c r="C76" s="224"/>
      <c r="D76" s="224"/>
      <c r="E76" s="224"/>
      <c r="F76" s="225"/>
      <c r="G76" s="226"/>
      <c r="H76" s="227"/>
      <c r="I76" s="227"/>
      <c r="J76" s="227"/>
      <c r="K76" s="227"/>
      <c r="L76" s="227"/>
      <c r="M76" s="228"/>
      <c r="N76" s="223"/>
      <c r="O76" s="224"/>
      <c r="P76" s="224"/>
      <c r="Q76" s="224"/>
      <c r="R76" s="224"/>
      <c r="S76" s="225"/>
      <c r="T76" s="226"/>
      <c r="U76" s="227"/>
      <c r="V76" s="227"/>
      <c r="W76" s="227"/>
      <c r="X76" s="227"/>
      <c r="Y76" s="227"/>
      <c r="Z76" s="228"/>
    </row>
    <row r="77" spans="1:26" ht="18" customHeight="1" x14ac:dyDescent="0.15">
      <c r="A77" s="21"/>
      <c r="B77" s="56"/>
      <c r="C77" s="56"/>
      <c r="D77" s="56"/>
      <c r="E77" s="56"/>
      <c r="F77" s="56"/>
      <c r="G77" s="5"/>
      <c r="H77" s="5"/>
      <c r="I77" s="5"/>
      <c r="J77" s="5"/>
      <c r="K77" s="5"/>
      <c r="L77" s="5"/>
      <c r="M77" s="5"/>
      <c r="N77" s="56"/>
      <c r="O77" s="56"/>
      <c r="P77" s="56"/>
      <c r="Q77" s="56"/>
      <c r="R77" s="56"/>
      <c r="S77" s="56"/>
      <c r="T77" s="5"/>
      <c r="U77" s="5"/>
      <c r="V77" s="5"/>
      <c r="W77" s="5"/>
      <c r="X77" s="5"/>
      <c r="Y77" s="5"/>
      <c r="Z77" s="5"/>
    </row>
    <row r="78" spans="1:26" ht="18.75" customHeight="1" x14ac:dyDescent="0.15">
      <c r="A78" s="6" t="s">
        <v>142</v>
      </c>
    </row>
    <row r="79" spans="1:26" ht="18.75" customHeight="1" x14ac:dyDescent="0.15">
      <c r="B79" s="62" t="s">
        <v>102</v>
      </c>
      <c r="C79" s="63"/>
      <c r="D79" s="179" t="s">
        <v>103</v>
      </c>
      <c r="E79" s="179"/>
      <c r="F79" s="179"/>
      <c r="G79" s="179"/>
      <c r="H79" s="179"/>
      <c r="I79" s="179"/>
      <c r="J79" s="179"/>
      <c r="K79" s="179"/>
      <c r="L79" s="179"/>
      <c r="M79" s="179"/>
      <c r="N79" s="179"/>
      <c r="O79" s="179"/>
      <c r="P79" s="179"/>
      <c r="Q79" s="179"/>
      <c r="R79" s="179"/>
      <c r="S79" s="179"/>
      <c r="T79" s="179"/>
      <c r="U79" s="179"/>
      <c r="V79" s="179"/>
      <c r="W79" s="179"/>
      <c r="X79" s="179"/>
      <c r="Y79" s="179"/>
      <c r="Z79" s="180"/>
    </row>
    <row r="80" spans="1:26" ht="78" customHeight="1" x14ac:dyDescent="0.15">
      <c r="B80" s="164" t="s">
        <v>109</v>
      </c>
      <c r="C80" s="69" t="s">
        <v>104</v>
      </c>
      <c r="D80" s="173" t="s">
        <v>208</v>
      </c>
      <c r="E80" s="174"/>
      <c r="F80" s="174"/>
      <c r="G80" s="174"/>
      <c r="H80" s="174"/>
      <c r="I80" s="174"/>
      <c r="J80" s="174"/>
      <c r="K80" s="174"/>
      <c r="L80" s="174"/>
      <c r="M80" s="174"/>
      <c r="N80" s="174"/>
      <c r="O80" s="174"/>
      <c r="P80" s="174"/>
      <c r="Q80" s="174"/>
      <c r="R80" s="174"/>
      <c r="S80" s="174"/>
      <c r="T80" s="174"/>
      <c r="U80" s="174"/>
      <c r="V80" s="174"/>
      <c r="W80" s="174"/>
      <c r="X80" s="174"/>
      <c r="Y80" s="174"/>
      <c r="Z80" s="175"/>
    </row>
    <row r="81" spans="1:26" ht="78" customHeight="1" x14ac:dyDescent="0.15">
      <c r="B81" s="165"/>
      <c r="C81" s="87" t="s">
        <v>137</v>
      </c>
      <c r="D81" s="211" t="s">
        <v>209</v>
      </c>
      <c r="E81" s="212"/>
      <c r="F81" s="212"/>
      <c r="G81" s="212"/>
      <c r="H81" s="212"/>
      <c r="I81" s="212"/>
      <c r="J81" s="212"/>
      <c r="K81" s="212"/>
      <c r="L81" s="212"/>
      <c r="M81" s="212"/>
      <c r="N81" s="212"/>
      <c r="O81" s="212"/>
      <c r="P81" s="212"/>
      <c r="Q81" s="212"/>
      <c r="R81" s="212"/>
      <c r="S81" s="212"/>
      <c r="T81" s="212"/>
      <c r="U81" s="212"/>
      <c r="V81" s="212"/>
      <c r="W81" s="212"/>
      <c r="X81" s="212"/>
      <c r="Y81" s="212"/>
      <c r="Z81" s="213"/>
    </row>
    <row r="82" spans="1:26" ht="78" customHeight="1" x14ac:dyDescent="0.15">
      <c r="B82" s="162" t="s">
        <v>110</v>
      </c>
      <c r="C82" s="64" t="s">
        <v>127</v>
      </c>
      <c r="D82" s="214" t="s">
        <v>213</v>
      </c>
      <c r="E82" s="215"/>
      <c r="F82" s="215"/>
      <c r="G82" s="215"/>
      <c r="H82" s="215"/>
      <c r="I82" s="215"/>
      <c r="J82" s="215"/>
      <c r="K82" s="215"/>
      <c r="L82" s="215"/>
      <c r="M82" s="215"/>
      <c r="N82" s="215"/>
      <c r="O82" s="215"/>
      <c r="P82" s="215"/>
      <c r="Q82" s="215"/>
      <c r="R82" s="215"/>
      <c r="S82" s="215"/>
      <c r="T82" s="215"/>
      <c r="U82" s="215"/>
      <c r="V82" s="215"/>
      <c r="W82" s="215"/>
      <c r="X82" s="215"/>
      <c r="Y82" s="215"/>
      <c r="Z82" s="216"/>
    </row>
    <row r="83" spans="1:26" ht="78" customHeight="1" x14ac:dyDescent="0.15">
      <c r="B83" s="163"/>
      <c r="C83" s="88" t="s">
        <v>128</v>
      </c>
      <c r="D83" s="220" t="s">
        <v>213</v>
      </c>
      <c r="E83" s="221"/>
      <c r="F83" s="221"/>
      <c r="G83" s="221"/>
      <c r="H83" s="221"/>
      <c r="I83" s="221"/>
      <c r="J83" s="221"/>
      <c r="K83" s="221"/>
      <c r="L83" s="221"/>
      <c r="M83" s="221"/>
      <c r="N83" s="221"/>
      <c r="O83" s="221"/>
      <c r="P83" s="221"/>
      <c r="Q83" s="221"/>
      <c r="R83" s="221"/>
      <c r="S83" s="221"/>
      <c r="T83" s="221"/>
      <c r="U83" s="221"/>
      <c r="V83" s="221"/>
      <c r="W83" s="221"/>
      <c r="X83" s="221"/>
      <c r="Y83" s="221"/>
      <c r="Z83" s="222"/>
    </row>
    <row r="84" spans="1:26" ht="66" customHeight="1" x14ac:dyDescent="0.15">
      <c r="B84" s="162" t="s">
        <v>111</v>
      </c>
      <c r="C84" s="64" t="s">
        <v>130</v>
      </c>
      <c r="D84" s="214" t="s">
        <v>213</v>
      </c>
      <c r="E84" s="215"/>
      <c r="F84" s="215"/>
      <c r="G84" s="215"/>
      <c r="H84" s="215"/>
      <c r="I84" s="215"/>
      <c r="J84" s="215"/>
      <c r="K84" s="215"/>
      <c r="L84" s="215"/>
      <c r="M84" s="215"/>
      <c r="N84" s="215"/>
      <c r="O84" s="215"/>
      <c r="P84" s="215"/>
      <c r="Q84" s="215"/>
      <c r="R84" s="215"/>
      <c r="S84" s="215"/>
      <c r="T84" s="215"/>
      <c r="U84" s="215"/>
      <c r="V84" s="215"/>
      <c r="W84" s="215"/>
      <c r="X84" s="215"/>
      <c r="Y84" s="215"/>
      <c r="Z84" s="216"/>
    </row>
    <row r="85" spans="1:26" ht="66" customHeight="1" x14ac:dyDescent="0.15">
      <c r="B85" s="163"/>
      <c r="C85" s="66" t="s">
        <v>131</v>
      </c>
      <c r="D85" s="217" t="s">
        <v>213</v>
      </c>
      <c r="E85" s="218"/>
      <c r="F85" s="218"/>
      <c r="G85" s="218"/>
      <c r="H85" s="218"/>
      <c r="I85" s="218"/>
      <c r="J85" s="218"/>
      <c r="K85" s="218"/>
      <c r="L85" s="218"/>
      <c r="M85" s="218"/>
      <c r="N85" s="218"/>
      <c r="O85" s="218"/>
      <c r="P85" s="218"/>
      <c r="Q85" s="218"/>
      <c r="R85" s="218"/>
      <c r="S85" s="218"/>
      <c r="T85" s="218"/>
      <c r="U85" s="218"/>
      <c r="V85" s="218"/>
      <c r="W85" s="218"/>
      <c r="X85" s="218"/>
      <c r="Y85" s="218"/>
      <c r="Z85" s="219"/>
    </row>
    <row r="86" spans="1:26" ht="66" customHeight="1" x14ac:dyDescent="0.15">
      <c r="B86" s="164" t="s">
        <v>138</v>
      </c>
      <c r="C86" s="69" t="s">
        <v>106</v>
      </c>
      <c r="D86" s="173" t="s">
        <v>210</v>
      </c>
      <c r="E86" s="174"/>
      <c r="F86" s="174"/>
      <c r="G86" s="174"/>
      <c r="H86" s="174"/>
      <c r="I86" s="174"/>
      <c r="J86" s="174"/>
      <c r="K86" s="174"/>
      <c r="L86" s="174"/>
      <c r="M86" s="174"/>
      <c r="N86" s="174"/>
      <c r="O86" s="174"/>
      <c r="P86" s="174"/>
      <c r="Q86" s="174"/>
      <c r="R86" s="174"/>
      <c r="S86" s="174"/>
      <c r="T86" s="174"/>
      <c r="U86" s="174"/>
      <c r="V86" s="174"/>
      <c r="W86" s="174"/>
      <c r="X86" s="174"/>
      <c r="Y86" s="174"/>
      <c r="Z86" s="175"/>
    </row>
    <row r="87" spans="1:26" ht="66" customHeight="1" x14ac:dyDescent="0.15">
      <c r="B87" s="172"/>
      <c r="C87" s="65" t="s">
        <v>108</v>
      </c>
      <c r="D87" s="176" t="s">
        <v>210</v>
      </c>
      <c r="E87" s="177"/>
      <c r="F87" s="177"/>
      <c r="G87" s="177"/>
      <c r="H87" s="177"/>
      <c r="I87" s="177"/>
      <c r="J87" s="177"/>
      <c r="K87" s="177"/>
      <c r="L87" s="177"/>
      <c r="M87" s="177"/>
      <c r="N87" s="177"/>
      <c r="O87" s="177"/>
      <c r="P87" s="177"/>
      <c r="Q87" s="177"/>
      <c r="R87" s="177"/>
      <c r="S87" s="177"/>
      <c r="T87" s="177"/>
      <c r="U87" s="177"/>
      <c r="V87" s="177"/>
      <c r="W87" s="177"/>
      <c r="X87" s="177"/>
      <c r="Y87" s="177"/>
      <c r="Z87" s="178"/>
    </row>
    <row r="88" spans="1:26" ht="66" customHeight="1" x14ac:dyDescent="0.15">
      <c r="B88" s="164" t="s">
        <v>139</v>
      </c>
      <c r="C88" s="64" t="s">
        <v>105</v>
      </c>
      <c r="D88" s="166" t="s">
        <v>211</v>
      </c>
      <c r="E88" s="167"/>
      <c r="F88" s="167"/>
      <c r="G88" s="167"/>
      <c r="H88" s="167"/>
      <c r="I88" s="167"/>
      <c r="J88" s="167"/>
      <c r="K88" s="167"/>
      <c r="L88" s="167"/>
      <c r="M88" s="167"/>
      <c r="N88" s="167"/>
      <c r="O88" s="167"/>
      <c r="P88" s="167"/>
      <c r="Q88" s="167"/>
      <c r="R88" s="167"/>
      <c r="S88" s="167"/>
      <c r="T88" s="167"/>
      <c r="U88" s="167"/>
      <c r="V88" s="167"/>
      <c r="W88" s="167"/>
      <c r="X88" s="167"/>
      <c r="Y88" s="167"/>
      <c r="Z88" s="168"/>
    </row>
    <row r="89" spans="1:26" ht="66" customHeight="1" x14ac:dyDescent="0.15">
      <c r="B89" s="165"/>
      <c r="C89" s="65" t="s">
        <v>134</v>
      </c>
      <c r="D89" s="153" t="s">
        <v>212</v>
      </c>
      <c r="E89" s="154"/>
      <c r="F89" s="154"/>
      <c r="G89" s="154"/>
      <c r="H89" s="154"/>
      <c r="I89" s="154"/>
      <c r="J89" s="154"/>
      <c r="K89" s="154"/>
      <c r="L89" s="154"/>
      <c r="M89" s="154"/>
      <c r="N89" s="154"/>
      <c r="O89" s="154"/>
      <c r="P89" s="154"/>
      <c r="Q89" s="154"/>
      <c r="R89" s="154"/>
      <c r="S89" s="154"/>
      <c r="T89" s="154"/>
      <c r="U89" s="154"/>
      <c r="V89" s="154"/>
      <c r="W89" s="154"/>
      <c r="X89" s="154"/>
      <c r="Y89" s="154"/>
      <c r="Z89" s="155"/>
    </row>
    <row r="90" spans="1:26" ht="66" customHeight="1" x14ac:dyDescent="0.15">
      <c r="B90" s="163"/>
      <c r="C90" s="66" t="s">
        <v>135</v>
      </c>
      <c r="D90" s="169" t="s">
        <v>212</v>
      </c>
      <c r="E90" s="170"/>
      <c r="F90" s="170"/>
      <c r="G90" s="170"/>
      <c r="H90" s="170"/>
      <c r="I90" s="170"/>
      <c r="J90" s="170"/>
      <c r="K90" s="170"/>
      <c r="L90" s="170"/>
      <c r="M90" s="170"/>
      <c r="N90" s="170"/>
      <c r="O90" s="170"/>
      <c r="P90" s="170"/>
      <c r="Q90" s="170"/>
      <c r="R90" s="170"/>
      <c r="S90" s="170"/>
      <c r="T90" s="170"/>
      <c r="U90" s="170"/>
      <c r="V90" s="170"/>
      <c r="W90" s="170"/>
      <c r="X90" s="170"/>
      <c r="Y90" s="170"/>
      <c r="Z90" s="171"/>
    </row>
    <row r="91" spans="1:26" ht="6" customHeight="1" x14ac:dyDescent="0.15"/>
    <row r="92" spans="1:26" ht="18.75" customHeight="1" x14ac:dyDescent="0.15">
      <c r="A92" s="6" t="s">
        <v>143</v>
      </c>
    </row>
    <row r="93" spans="1:26" ht="21.75" customHeight="1" x14ac:dyDescent="0.15">
      <c r="B93" s="232" t="s">
        <v>198</v>
      </c>
      <c r="C93" s="233"/>
      <c r="D93" s="233"/>
      <c r="E93" s="233"/>
      <c r="F93" s="233"/>
      <c r="G93" s="233"/>
      <c r="H93" s="233"/>
      <c r="I93" s="233"/>
      <c r="J93" s="233"/>
      <c r="K93" s="233"/>
      <c r="L93" s="233"/>
      <c r="M93" s="233"/>
      <c r="N93" s="233"/>
      <c r="O93" s="233"/>
      <c r="P93" s="233"/>
      <c r="Q93" s="233"/>
      <c r="R93" s="233"/>
      <c r="S93" s="233"/>
      <c r="T93" s="233"/>
      <c r="U93" s="233"/>
      <c r="V93" s="233"/>
      <c r="W93" s="233"/>
      <c r="X93" s="233"/>
      <c r="Y93" s="233"/>
      <c r="Z93" s="234"/>
    </row>
    <row r="94" spans="1:26" ht="21.75" customHeight="1" x14ac:dyDescent="0.15">
      <c r="B94" s="235"/>
      <c r="C94" s="236"/>
      <c r="D94" s="236"/>
      <c r="E94" s="236"/>
      <c r="F94" s="236"/>
      <c r="G94" s="236"/>
      <c r="H94" s="236"/>
      <c r="I94" s="236"/>
      <c r="J94" s="236"/>
      <c r="K94" s="236"/>
      <c r="L94" s="236"/>
      <c r="M94" s="236"/>
      <c r="N94" s="236"/>
      <c r="O94" s="236"/>
      <c r="P94" s="236"/>
      <c r="Q94" s="236"/>
      <c r="R94" s="236"/>
      <c r="S94" s="236"/>
      <c r="T94" s="236"/>
      <c r="U94" s="236"/>
      <c r="V94" s="236"/>
      <c r="W94" s="236"/>
      <c r="X94" s="236"/>
      <c r="Y94" s="236"/>
      <c r="Z94" s="237"/>
    </row>
    <row r="95" spans="1:26" ht="21.75" customHeight="1" x14ac:dyDescent="0.15">
      <c r="B95" s="238"/>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1"/>
    </row>
    <row r="96" spans="1:26" ht="6" customHeight="1" x14ac:dyDescent="0.15"/>
    <row r="97" spans="1:26" ht="15" customHeight="1" x14ac:dyDescent="0.15">
      <c r="A97" s="6" t="s">
        <v>144</v>
      </c>
    </row>
    <row r="98" spans="1:26" ht="15" customHeight="1" x14ac:dyDescent="0.15">
      <c r="B98" s="239" t="s">
        <v>214</v>
      </c>
      <c r="C98" s="240"/>
      <c r="D98" s="240"/>
      <c r="E98" s="240"/>
      <c r="F98" s="240"/>
      <c r="G98" s="240"/>
      <c r="H98" s="240"/>
      <c r="I98" s="240"/>
      <c r="J98" s="240"/>
      <c r="K98" s="240"/>
      <c r="L98" s="240"/>
      <c r="M98" s="240"/>
      <c r="N98" s="240"/>
      <c r="O98" s="240"/>
      <c r="P98" s="240"/>
      <c r="Q98" s="240"/>
      <c r="R98" s="240"/>
      <c r="S98" s="240"/>
      <c r="T98" s="240"/>
      <c r="U98" s="240"/>
      <c r="V98" s="240"/>
      <c r="W98" s="240"/>
      <c r="X98" s="240"/>
      <c r="Y98" s="240"/>
      <c r="Z98" s="241"/>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1"/>
  <sheetViews>
    <sheetView view="pageBreakPreview" topLeftCell="A4" zoomScaleNormal="100" zoomScaleSheetLayoutView="100" workbookViewId="0">
      <selection activeCell="N31" sqref="N31"/>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3" t="s">
        <v>63</v>
      </c>
      <c r="G1" s="243"/>
      <c r="H1" s="243"/>
      <c r="I1" s="243"/>
      <c r="J1" s="243"/>
      <c r="K1" s="243"/>
      <c r="L1" s="243"/>
      <c r="M1" s="243"/>
      <c r="N1" s="243"/>
      <c r="O1" s="243"/>
      <c r="P1" s="243"/>
      <c r="Q1" s="243"/>
      <c r="R1" s="243"/>
    </row>
    <row r="2" spans="1:20" ht="18" customHeight="1" x14ac:dyDescent="0.15">
      <c r="A2" s="244" t="s">
        <v>89</v>
      </c>
      <c r="B2" s="244"/>
      <c r="C2" s="244"/>
      <c r="D2" s="244"/>
      <c r="E2" s="244"/>
      <c r="F2" s="244"/>
      <c r="G2" s="244"/>
      <c r="H2" s="244"/>
      <c r="I2" s="244"/>
      <c r="J2" s="244"/>
      <c r="K2" s="244"/>
      <c r="L2" s="244"/>
      <c r="M2" s="244"/>
      <c r="N2" s="244"/>
      <c r="O2" s="244"/>
      <c r="P2" s="244"/>
      <c r="Q2" s="244"/>
      <c r="R2" s="244"/>
      <c r="S2" s="2"/>
    </row>
    <row r="3" spans="1:20" ht="7.5" customHeight="1" x14ac:dyDescent="0.15">
      <c r="A3" s="27"/>
      <c r="B3" s="27"/>
      <c r="C3" s="27"/>
      <c r="D3" s="27"/>
      <c r="E3" s="27"/>
      <c r="F3" s="27"/>
      <c r="G3" s="27"/>
      <c r="H3" s="27"/>
      <c r="I3" s="27"/>
      <c r="J3" s="27"/>
      <c r="K3" s="27"/>
      <c r="L3" s="27"/>
      <c r="M3" s="27"/>
      <c r="N3" s="27"/>
      <c r="O3" s="27"/>
      <c r="P3" s="27"/>
      <c r="Q3" s="27"/>
      <c r="R3" s="27"/>
    </row>
    <row r="4" spans="1:20" ht="18" customHeight="1" x14ac:dyDescent="0.15">
      <c r="A4" s="2" t="s">
        <v>147</v>
      </c>
      <c r="B4" s="2"/>
      <c r="C4" s="245" t="str">
        <f>'様式１　大学等概要'!E12</f>
        <v>平成30</v>
      </c>
      <c r="D4" s="246"/>
      <c r="E4" s="27" t="s">
        <v>113</v>
      </c>
      <c r="F4" s="27"/>
      <c r="G4" s="27"/>
      <c r="H4" s="27"/>
      <c r="I4" s="27"/>
      <c r="J4" s="70"/>
      <c r="K4" s="27"/>
      <c r="L4" s="27"/>
      <c r="M4" s="93"/>
      <c r="N4" s="93"/>
      <c r="O4" s="93"/>
      <c r="P4" s="93"/>
      <c r="Q4" s="93"/>
      <c r="R4" s="93"/>
    </row>
    <row r="5" spans="1:20" ht="6" customHeight="1" x14ac:dyDescent="0.15">
      <c r="A5" s="27"/>
      <c r="B5" s="27"/>
      <c r="C5" s="27"/>
      <c r="D5" s="27"/>
      <c r="E5" s="27"/>
      <c r="F5" s="27"/>
      <c r="G5" s="27"/>
      <c r="H5" s="27"/>
      <c r="I5" s="27"/>
      <c r="J5" s="27"/>
      <c r="K5" s="27"/>
      <c r="L5" s="27"/>
      <c r="M5" s="27"/>
      <c r="N5" s="27"/>
      <c r="O5" s="27"/>
      <c r="P5" s="27"/>
      <c r="Q5" s="27"/>
      <c r="R5" s="27"/>
    </row>
    <row r="6" spans="1:20" ht="18" customHeight="1" x14ac:dyDescent="0.15">
      <c r="A6" s="2" t="s">
        <v>145</v>
      </c>
      <c r="B6" s="27"/>
      <c r="C6" s="27"/>
      <c r="D6" s="27"/>
      <c r="E6" s="27"/>
      <c r="F6" s="27"/>
      <c r="G6" s="27"/>
      <c r="H6" s="27"/>
      <c r="I6" s="27"/>
      <c r="J6" s="27"/>
      <c r="K6" s="27"/>
      <c r="L6" s="27"/>
      <c r="M6" s="27"/>
      <c r="N6" s="27"/>
      <c r="O6" s="27"/>
      <c r="P6" s="27"/>
      <c r="Q6" s="27"/>
      <c r="R6" s="27"/>
    </row>
    <row r="7" spans="1:20" ht="6" customHeight="1" x14ac:dyDescent="0.15">
      <c r="A7" s="2"/>
      <c r="B7" s="27"/>
      <c r="C7" s="27"/>
      <c r="D7" s="27"/>
      <c r="E7" s="27"/>
      <c r="F7" s="27"/>
      <c r="G7" s="27"/>
      <c r="H7" s="27"/>
      <c r="I7" s="27"/>
      <c r="J7" s="27"/>
      <c r="K7" s="27"/>
      <c r="L7" s="27"/>
      <c r="M7" s="27"/>
      <c r="N7" s="27"/>
      <c r="O7" s="27"/>
      <c r="P7" s="27"/>
      <c r="Q7" s="27"/>
      <c r="R7" s="27"/>
    </row>
    <row r="8" spans="1:20" ht="18" customHeight="1" x14ac:dyDescent="0.15">
      <c r="B8" s="247" t="s">
        <v>79</v>
      </c>
      <c r="C8" s="249" t="s">
        <v>84</v>
      </c>
      <c r="D8" s="251" t="s">
        <v>68</v>
      </c>
      <c r="E8" s="253" t="s">
        <v>90</v>
      </c>
      <c r="F8" s="253"/>
      <c r="G8" s="253" t="s">
        <v>91</v>
      </c>
      <c r="H8" s="253"/>
      <c r="I8" s="253" t="s">
        <v>92</v>
      </c>
      <c r="J8" s="253"/>
      <c r="K8" s="254" t="s">
        <v>93</v>
      </c>
      <c r="L8" s="255"/>
      <c r="M8" s="254" t="s">
        <v>94</v>
      </c>
      <c r="N8" s="255"/>
      <c r="O8" s="254" t="s">
        <v>95</v>
      </c>
      <c r="P8" s="255"/>
      <c r="Q8" s="256" t="s">
        <v>62</v>
      </c>
      <c r="R8" s="258" t="s">
        <v>56</v>
      </c>
      <c r="T8" s="24"/>
    </row>
    <row r="9" spans="1:20" ht="18" customHeight="1" x14ac:dyDescent="0.15">
      <c r="A9" s="2"/>
      <c r="B9" s="248"/>
      <c r="C9" s="250"/>
      <c r="D9" s="252"/>
      <c r="E9" s="28" t="s">
        <v>44</v>
      </c>
      <c r="F9" s="29" t="s">
        <v>43</v>
      </c>
      <c r="G9" s="30" t="s">
        <v>44</v>
      </c>
      <c r="H9" s="31" t="s">
        <v>43</v>
      </c>
      <c r="I9" s="28" t="s">
        <v>44</v>
      </c>
      <c r="J9" s="29" t="s">
        <v>43</v>
      </c>
      <c r="K9" s="30" t="s">
        <v>44</v>
      </c>
      <c r="L9" s="31" t="s">
        <v>43</v>
      </c>
      <c r="M9" s="28" t="s">
        <v>44</v>
      </c>
      <c r="N9" s="29" t="s">
        <v>43</v>
      </c>
      <c r="O9" s="30" t="s">
        <v>44</v>
      </c>
      <c r="P9" s="31" t="s">
        <v>43</v>
      </c>
      <c r="Q9" s="257"/>
      <c r="R9" s="259"/>
      <c r="T9" s="24"/>
    </row>
    <row r="10" spans="1:20" ht="18" customHeight="1" x14ac:dyDescent="0.15">
      <c r="A10" s="32"/>
      <c r="B10" s="71" t="s">
        <v>163</v>
      </c>
      <c r="C10" s="32">
        <v>230</v>
      </c>
      <c r="D10" s="33">
        <v>928</v>
      </c>
      <c r="E10" s="34">
        <v>197</v>
      </c>
      <c r="F10" s="35">
        <v>195</v>
      </c>
      <c r="G10" s="36">
        <v>224</v>
      </c>
      <c r="H10" s="37">
        <v>219</v>
      </c>
      <c r="I10" s="34">
        <v>262</v>
      </c>
      <c r="J10" s="35">
        <v>254</v>
      </c>
      <c r="K10" s="36">
        <v>259</v>
      </c>
      <c r="L10" s="37">
        <v>251</v>
      </c>
      <c r="M10" s="34"/>
      <c r="N10" s="35"/>
      <c r="O10" s="36"/>
      <c r="P10" s="37"/>
      <c r="Q10" s="38">
        <f>E10+G10+I10+K10+M10+O10</f>
        <v>942</v>
      </c>
      <c r="R10" s="39">
        <f>Q10/D10</f>
        <v>1.0150862068965518</v>
      </c>
    </row>
    <row r="11" spans="1:20" ht="18" customHeight="1" x14ac:dyDescent="0.15">
      <c r="A11" s="32"/>
      <c r="B11" s="72" t="s">
        <v>164</v>
      </c>
      <c r="C11" s="48">
        <v>150</v>
      </c>
      <c r="D11" s="41">
        <v>620</v>
      </c>
      <c r="E11" s="42">
        <v>151</v>
      </c>
      <c r="F11" s="43">
        <v>150</v>
      </c>
      <c r="G11" s="44">
        <v>114</v>
      </c>
      <c r="H11" s="45">
        <v>113</v>
      </c>
      <c r="I11" s="42">
        <v>156</v>
      </c>
      <c r="J11" s="43">
        <v>156</v>
      </c>
      <c r="K11" s="44">
        <v>135</v>
      </c>
      <c r="L11" s="45">
        <v>134</v>
      </c>
      <c r="M11" s="42"/>
      <c r="N11" s="43"/>
      <c r="O11" s="44"/>
      <c r="P11" s="45"/>
      <c r="Q11" s="46">
        <f t="shared" ref="Q11:Q29" si="0">E11+G11+I11+K11+M11+O11</f>
        <v>556</v>
      </c>
      <c r="R11" s="47">
        <f t="shared" ref="R11:R29" si="1">Q11/D11</f>
        <v>0.89677419354838706</v>
      </c>
    </row>
    <row r="12" spans="1:20" ht="18" customHeight="1" x14ac:dyDescent="0.15">
      <c r="A12" s="32"/>
      <c r="B12" s="72" t="s">
        <v>165</v>
      </c>
      <c r="C12" s="48">
        <v>120</v>
      </c>
      <c r="D12" s="41">
        <v>484</v>
      </c>
      <c r="E12" s="42">
        <v>143</v>
      </c>
      <c r="F12" s="43">
        <v>143</v>
      </c>
      <c r="G12" s="44">
        <v>121</v>
      </c>
      <c r="H12" s="45">
        <v>115</v>
      </c>
      <c r="I12" s="42">
        <v>109</v>
      </c>
      <c r="J12" s="43">
        <v>108</v>
      </c>
      <c r="K12" s="44">
        <v>129</v>
      </c>
      <c r="L12" s="45">
        <v>128</v>
      </c>
      <c r="M12" s="42"/>
      <c r="N12" s="43"/>
      <c r="O12" s="44"/>
      <c r="P12" s="45"/>
      <c r="Q12" s="46">
        <f t="shared" si="0"/>
        <v>502</v>
      </c>
      <c r="R12" s="47">
        <f t="shared" si="1"/>
        <v>1.0371900826446281</v>
      </c>
    </row>
    <row r="13" spans="1:20" ht="18" customHeight="1" x14ac:dyDescent="0.15">
      <c r="A13" s="32"/>
      <c r="B13" s="72" t="s">
        <v>166</v>
      </c>
      <c r="C13" s="48">
        <v>240</v>
      </c>
      <c r="D13" s="41">
        <v>876</v>
      </c>
      <c r="E13" s="42">
        <v>253</v>
      </c>
      <c r="F13" s="43">
        <v>248</v>
      </c>
      <c r="G13" s="44">
        <v>230</v>
      </c>
      <c r="H13" s="45">
        <v>225</v>
      </c>
      <c r="I13" s="42">
        <v>211</v>
      </c>
      <c r="J13" s="43">
        <v>211</v>
      </c>
      <c r="K13" s="44">
        <v>147</v>
      </c>
      <c r="L13" s="45">
        <v>147</v>
      </c>
      <c r="M13" s="42"/>
      <c r="N13" s="43"/>
      <c r="O13" s="44"/>
      <c r="P13" s="45"/>
      <c r="Q13" s="46">
        <f t="shared" si="0"/>
        <v>841</v>
      </c>
      <c r="R13" s="47">
        <f t="shared" si="1"/>
        <v>0.96004566210045661</v>
      </c>
    </row>
    <row r="14" spans="1:20" ht="18" customHeight="1" x14ac:dyDescent="0.15">
      <c r="A14" s="32"/>
      <c r="B14" s="72" t="s">
        <v>167</v>
      </c>
      <c r="C14" s="48">
        <v>330</v>
      </c>
      <c r="D14" s="104">
        <v>1299</v>
      </c>
      <c r="E14" s="42">
        <v>340</v>
      </c>
      <c r="F14" s="43">
        <v>334</v>
      </c>
      <c r="G14" s="44">
        <v>311</v>
      </c>
      <c r="H14" s="45">
        <v>306</v>
      </c>
      <c r="I14" s="42">
        <v>312</v>
      </c>
      <c r="J14" s="43">
        <v>305</v>
      </c>
      <c r="K14" s="44">
        <v>284</v>
      </c>
      <c r="L14" s="45">
        <v>283</v>
      </c>
      <c r="M14" s="42"/>
      <c r="N14" s="43"/>
      <c r="O14" s="44"/>
      <c r="P14" s="45"/>
      <c r="Q14" s="46">
        <f t="shared" si="0"/>
        <v>1247</v>
      </c>
      <c r="R14" s="47">
        <f t="shared" si="1"/>
        <v>0.9599692070823711</v>
      </c>
    </row>
    <row r="15" spans="1:20" ht="18" customHeight="1" x14ac:dyDescent="0.15">
      <c r="A15" s="32"/>
      <c r="B15" s="72" t="s">
        <v>168</v>
      </c>
      <c r="C15" s="48">
        <v>100</v>
      </c>
      <c r="D15" s="41">
        <v>680</v>
      </c>
      <c r="E15" s="42">
        <v>105</v>
      </c>
      <c r="F15" s="43">
        <v>104</v>
      </c>
      <c r="G15" s="44">
        <v>100</v>
      </c>
      <c r="H15" s="45">
        <v>100</v>
      </c>
      <c r="I15" s="42">
        <v>83</v>
      </c>
      <c r="J15" s="43">
        <v>83</v>
      </c>
      <c r="K15" s="44">
        <v>100</v>
      </c>
      <c r="L15" s="45">
        <v>99</v>
      </c>
      <c r="M15" s="42"/>
      <c r="N15" s="43"/>
      <c r="O15" s="44"/>
      <c r="P15" s="45"/>
      <c r="Q15" s="46">
        <f t="shared" si="0"/>
        <v>388</v>
      </c>
      <c r="R15" s="47">
        <f t="shared" si="1"/>
        <v>0.57058823529411762</v>
      </c>
    </row>
    <row r="16" spans="1:20" ht="18" customHeight="1" x14ac:dyDescent="0.15">
      <c r="A16" s="32"/>
      <c r="B16" s="72" t="s">
        <v>169</v>
      </c>
      <c r="C16" s="48">
        <v>120</v>
      </c>
      <c r="D16" s="41">
        <v>480</v>
      </c>
      <c r="E16" s="42">
        <v>145</v>
      </c>
      <c r="F16" s="43">
        <v>144</v>
      </c>
      <c r="G16" s="44">
        <v>114</v>
      </c>
      <c r="H16" s="45">
        <v>114</v>
      </c>
      <c r="I16" s="42">
        <v>123</v>
      </c>
      <c r="J16" s="43">
        <v>122</v>
      </c>
      <c r="K16" s="44">
        <v>106</v>
      </c>
      <c r="L16" s="45">
        <v>105</v>
      </c>
      <c r="M16" s="42"/>
      <c r="N16" s="43"/>
      <c r="O16" s="44"/>
      <c r="P16" s="45"/>
      <c r="Q16" s="46">
        <f t="shared" si="0"/>
        <v>488</v>
      </c>
      <c r="R16" s="47">
        <f t="shared" si="1"/>
        <v>1.0166666666666666</v>
      </c>
    </row>
    <row r="17" spans="1:18" ht="18" customHeight="1" x14ac:dyDescent="0.15">
      <c r="A17" s="32"/>
      <c r="B17" s="72"/>
      <c r="C17" s="48"/>
      <c r="D17" s="41"/>
      <c r="E17" s="42"/>
      <c r="F17" s="43"/>
      <c r="G17" s="44"/>
      <c r="H17" s="45"/>
      <c r="I17" s="42"/>
      <c r="J17" s="43"/>
      <c r="K17" s="44"/>
      <c r="L17" s="45"/>
      <c r="M17" s="42"/>
      <c r="N17" s="43"/>
      <c r="O17" s="44"/>
      <c r="P17" s="45"/>
      <c r="Q17" s="46">
        <f t="shared" si="0"/>
        <v>0</v>
      </c>
      <c r="R17" s="47" t="e">
        <f t="shared" si="1"/>
        <v>#DIV/0!</v>
      </c>
    </row>
    <row r="18" spans="1:18" ht="18" customHeight="1" x14ac:dyDescent="0.15">
      <c r="A18" s="32"/>
      <c r="B18" s="72"/>
      <c r="C18" s="48"/>
      <c r="D18" s="41"/>
      <c r="E18" s="42"/>
      <c r="F18" s="43"/>
      <c r="G18" s="44"/>
      <c r="H18" s="45"/>
      <c r="I18" s="42"/>
      <c r="J18" s="43"/>
      <c r="K18" s="44"/>
      <c r="L18" s="45"/>
      <c r="M18" s="42"/>
      <c r="N18" s="43"/>
      <c r="O18" s="44"/>
      <c r="P18" s="45"/>
      <c r="Q18" s="46">
        <f>E18+G18+I18+K18+M18+O18</f>
        <v>0</v>
      </c>
      <c r="R18" s="47" t="e">
        <f t="shared" si="1"/>
        <v>#DIV/0!</v>
      </c>
    </row>
    <row r="19" spans="1:18" ht="18" customHeight="1" x14ac:dyDescent="0.15">
      <c r="A19" s="32"/>
      <c r="B19" s="72"/>
      <c r="C19" s="48"/>
      <c r="D19" s="41"/>
      <c r="E19" s="42"/>
      <c r="F19" s="43"/>
      <c r="G19" s="44"/>
      <c r="H19" s="45"/>
      <c r="I19" s="42"/>
      <c r="J19" s="43"/>
      <c r="K19" s="44"/>
      <c r="L19" s="45"/>
      <c r="M19" s="42"/>
      <c r="N19" s="43"/>
      <c r="O19" s="44"/>
      <c r="P19" s="45"/>
      <c r="Q19" s="46">
        <f t="shared" si="0"/>
        <v>0</v>
      </c>
      <c r="R19" s="47" t="e">
        <f t="shared" si="1"/>
        <v>#DIV/0!</v>
      </c>
    </row>
    <row r="20" spans="1:18" ht="18" customHeight="1" x14ac:dyDescent="0.15">
      <c r="A20" s="32"/>
      <c r="B20" s="72"/>
      <c r="C20" s="48"/>
      <c r="D20" s="41"/>
      <c r="E20" s="42"/>
      <c r="F20" s="43"/>
      <c r="G20" s="44"/>
      <c r="H20" s="45"/>
      <c r="I20" s="42"/>
      <c r="J20" s="43"/>
      <c r="K20" s="44"/>
      <c r="L20" s="45"/>
      <c r="M20" s="42"/>
      <c r="N20" s="43"/>
      <c r="O20" s="44"/>
      <c r="P20" s="45"/>
      <c r="Q20" s="46">
        <f t="shared" si="0"/>
        <v>0</v>
      </c>
      <c r="R20" s="47" t="e">
        <f t="shared" si="1"/>
        <v>#DIV/0!</v>
      </c>
    </row>
    <row r="21" spans="1:18" ht="18" customHeight="1" x14ac:dyDescent="0.15">
      <c r="A21" s="32"/>
      <c r="B21" s="72"/>
      <c r="C21" s="48"/>
      <c r="D21" s="41"/>
      <c r="E21" s="42"/>
      <c r="F21" s="43"/>
      <c r="G21" s="44"/>
      <c r="H21" s="45"/>
      <c r="I21" s="42"/>
      <c r="J21" s="43"/>
      <c r="K21" s="44"/>
      <c r="L21" s="45"/>
      <c r="M21" s="42"/>
      <c r="N21" s="43"/>
      <c r="O21" s="44"/>
      <c r="P21" s="45"/>
      <c r="Q21" s="46">
        <f t="shared" si="0"/>
        <v>0</v>
      </c>
      <c r="R21" s="47" t="e">
        <f t="shared" si="1"/>
        <v>#DIV/0!</v>
      </c>
    </row>
    <row r="22" spans="1:18" ht="18" customHeight="1" x14ac:dyDescent="0.15">
      <c r="A22" s="32"/>
      <c r="B22" s="72"/>
      <c r="C22" s="48"/>
      <c r="D22" s="41"/>
      <c r="E22" s="42"/>
      <c r="F22" s="43"/>
      <c r="G22" s="44"/>
      <c r="H22" s="45"/>
      <c r="I22" s="42"/>
      <c r="J22" s="43"/>
      <c r="K22" s="44"/>
      <c r="L22" s="45"/>
      <c r="M22" s="42"/>
      <c r="N22" s="43"/>
      <c r="O22" s="44"/>
      <c r="P22" s="45"/>
      <c r="Q22" s="46">
        <f t="shared" si="0"/>
        <v>0</v>
      </c>
      <c r="R22" s="47" t="e">
        <f t="shared" si="1"/>
        <v>#DIV/0!</v>
      </c>
    </row>
    <row r="23" spans="1:18" ht="18" customHeight="1" x14ac:dyDescent="0.15">
      <c r="A23" s="32"/>
      <c r="B23" s="72"/>
      <c r="C23" s="48"/>
      <c r="D23" s="41"/>
      <c r="E23" s="42"/>
      <c r="F23" s="43"/>
      <c r="G23" s="44"/>
      <c r="H23" s="45"/>
      <c r="I23" s="42"/>
      <c r="J23" s="43"/>
      <c r="K23" s="44"/>
      <c r="L23" s="45"/>
      <c r="M23" s="42"/>
      <c r="N23" s="43"/>
      <c r="O23" s="44"/>
      <c r="P23" s="45"/>
      <c r="Q23" s="46">
        <f t="shared" si="0"/>
        <v>0</v>
      </c>
      <c r="R23" s="47" t="e">
        <f t="shared" si="1"/>
        <v>#DIV/0!</v>
      </c>
    </row>
    <row r="24" spans="1:18" ht="18" customHeight="1" x14ac:dyDescent="0.15">
      <c r="A24" s="32"/>
      <c r="B24" s="72"/>
      <c r="C24" s="48"/>
      <c r="D24" s="41"/>
      <c r="E24" s="42"/>
      <c r="F24" s="43"/>
      <c r="G24" s="44"/>
      <c r="H24" s="45"/>
      <c r="I24" s="42"/>
      <c r="J24" s="43"/>
      <c r="K24" s="44"/>
      <c r="L24" s="45"/>
      <c r="M24" s="42"/>
      <c r="N24" s="43"/>
      <c r="O24" s="44"/>
      <c r="P24" s="45"/>
      <c r="Q24" s="46">
        <f t="shared" si="0"/>
        <v>0</v>
      </c>
      <c r="R24" s="47" t="e">
        <f t="shared" si="1"/>
        <v>#DIV/0!</v>
      </c>
    </row>
    <row r="25" spans="1:18" ht="18" customHeight="1" x14ac:dyDescent="0.15">
      <c r="A25" s="32"/>
      <c r="B25" s="72"/>
      <c r="C25" s="48"/>
      <c r="D25" s="41"/>
      <c r="E25" s="42"/>
      <c r="F25" s="43"/>
      <c r="G25" s="44"/>
      <c r="H25" s="45"/>
      <c r="I25" s="42"/>
      <c r="J25" s="43"/>
      <c r="K25" s="44"/>
      <c r="L25" s="45"/>
      <c r="M25" s="42"/>
      <c r="N25" s="43"/>
      <c r="O25" s="44"/>
      <c r="P25" s="45"/>
      <c r="Q25" s="46">
        <f t="shared" si="0"/>
        <v>0</v>
      </c>
      <c r="R25" s="47" t="e">
        <f t="shared" si="1"/>
        <v>#DIV/0!</v>
      </c>
    </row>
    <row r="26" spans="1:18" ht="18" customHeight="1" x14ac:dyDescent="0.15">
      <c r="A26" s="32"/>
      <c r="B26" s="72"/>
      <c r="C26" s="48"/>
      <c r="D26" s="41"/>
      <c r="E26" s="42"/>
      <c r="F26" s="43"/>
      <c r="G26" s="44"/>
      <c r="H26" s="45"/>
      <c r="I26" s="42"/>
      <c r="J26" s="43"/>
      <c r="K26" s="44"/>
      <c r="L26" s="45"/>
      <c r="M26" s="42"/>
      <c r="N26" s="43"/>
      <c r="O26" s="44"/>
      <c r="P26" s="45"/>
      <c r="Q26" s="46">
        <f t="shared" si="0"/>
        <v>0</v>
      </c>
      <c r="R26" s="47" t="e">
        <f t="shared" si="1"/>
        <v>#DIV/0!</v>
      </c>
    </row>
    <row r="27" spans="1:18" ht="18" customHeight="1" x14ac:dyDescent="0.15">
      <c r="A27" s="32"/>
      <c r="B27" s="72"/>
      <c r="C27" s="40"/>
      <c r="D27" s="41"/>
      <c r="E27" s="42"/>
      <c r="F27" s="43"/>
      <c r="G27" s="44"/>
      <c r="H27" s="45"/>
      <c r="I27" s="42"/>
      <c r="J27" s="43"/>
      <c r="K27" s="44"/>
      <c r="L27" s="45"/>
      <c r="M27" s="42"/>
      <c r="N27" s="43"/>
      <c r="O27" s="44"/>
      <c r="P27" s="45"/>
      <c r="Q27" s="46">
        <f t="shared" si="0"/>
        <v>0</v>
      </c>
      <c r="R27" s="47" t="e">
        <f t="shared" si="1"/>
        <v>#DIV/0!</v>
      </c>
    </row>
    <row r="28" spans="1:18" ht="18" customHeight="1" x14ac:dyDescent="0.15">
      <c r="A28" s="32"/>
      <c r="B28" s="72"/>
      <c r="C28" s="40"/>
      <c r="D28" s="41"/>
      <c r="E28" s="42"/>
      <c r="F28" s="43"/>
      <c r="G28" s="44"/>
      <c r="H28" s="45"/>
      <c r="I28" s="42"/>
      <c r="J28" s="43"/>
      <c r="K28" s="44"/>
      <c r="L28" s="45"/>
      <c r="M28" s="42"/>
      <c r="N28" s="43"/>
      <c r="O28" s="44"/>
      <c r="P28" s="45"/>
      <c r="Q28" s="46">
        <f t="shared" si="0"/>
        <v>0</v>
      </c>
      <c r="R28" s="47" t="e">
        <f t="shared" si="1"/>
        <v>#DIV/0!</v>
      </c>
    </row>
    <row r="29" spans="1:18" ht="18" customHeight="1" thickBot="1" x14ac:dyDescent="0.2">
      <c r="A29" s="32"/>
      <c r="B29" s="73"/>
      <c r="C29" s="74"/>
      <c r="D29" s="33"/>
      <c r="E29" s="34"/>
      <c r="F29" s="35"/>
      <c r="G29" s="36"/>
      <c r="H29" s="37"/>
      <c r="I29" s="34"/>
      <c r="J29" s="35"/>
      <c r="K29" s="36"/>
      <c r="L29" s="37"/>
      <c r="M29" s="34"/>
      <c r="N29" s="35"/>
      <c r="O29" s="36"/>
      <c r="P29" s="37"/>
      <c r="Q29" s="49">
        <f t="shared" si="0"/>
        <v>0</v>
      </c>
      <c r="R29" s="39" t="e">
        <f t="shared" si="1"/>
        <v>#DIV/0!</v>
      </c>
    </row>
    <row r="30" spans="1:18" ht="18" customHeight="1" thickTop="1" x14ac:dyDescent="0.15">
      <c r="B30" s="75" t="s">
        <v>57</v>
      </c>
      <c r="C30" s="102">
        <f t="shared" ref="C30:P30" si="2">SUM(C10:C29)</f>
        <v>1290</v>
      </c>
      <c r="D30" s="103">
        <f t="shared" si="2"/>
        <v>5367</v>
      </c>
      <c r="E30" s="50">
        <f t="shared" si="2"/>
        <v>1334</v>
      </c>
      <c r="F30" s="51">
        <f t="shared" si="2"/>
        <v>1318</v>
      </c>
      <c r="G30" s="52">
        <f t="shared" si="2"/>
        <v>1214</v>
      </c>
      <c r="H30" s="53">
        <f t="shared" si="2"/>
        <v>1192</v>
      </c>
      <c r="I30" s="50">
        <f t="shared" si="2"/>
        <v>1256</v>
      </c>
      <c r="J30" s="51">
        <f t="shared" si="2"/>
        <v>1239</v>
      </c>
      <c r="K30" s="52">
        <f t="shared" si="2"/>
        <v>1160</v>
      </c>
      <c r="L30" s="53">
        <f t="shared" si="2"/>
        <v>1147</v>
      </c>
      <c r="M30" s="50">
        <f t="shared" si="2"/>
        <v>0</v>
      </c>
      <c r="N30" s="51">
        <f t="shared" si="2"/>
        <v>0</v>
      </c>
      <c r="O30" s="52">
        <f t="shared" si="2"/>
        <v>0</v>
      </c>
      <c r="P30" s="53">
        <f t="shared" si="2"/>
        <v>0</v>
      </c>
      <c r="Q30" s="54">
        <f>SUM(Q10:Q29)</f>
        <v>4964</v>
      </c>
      <c r="R30" s="55">
        <f>Q30/D30</f>
        <v>0.9249114961803615</v>
      </c>
    </row>
    <row r="31" spans="1:18" ht="18.75" customHeight="1" x14ac:dyDescent="0.15">
      <c r="E31" s="1">
        <v>1290</v>
      </c>
      <c r="G31" s="1">
        <v>1290</v>
      </c>
      <c r="I31" s="1">
        <v>1280</v>
      </c>
      <c r="K31" s="1">
        <v>1225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61" zoomScaleNormal="100" zoomScaleSheetLayoutView="100" workbookViewId="0">
      <selection activeCell="B31" sqref="B31:J44"/>
    </sheetView>
  </sheetViews>
  <sheetFormatPr defaultColWidth="11.375" defaultRowHeight="18.75" customHeight="1" x14ac:dyDescent="0.15"/>
  <cols>
    <col min="1" max="1" width="2.75" style="105" customWidth="1"/>
    <col min="2" max="2" width="16.625" style="7" customWidth="1"/>
    <col min="3" max="3" width="8.875" style="7" customWidth="1"/>
    <col min="4" max="4" width="2.25" style="7" customWidth="1"/>
    <col min="5" max="5" width="16.625" style="7" customWidth="1"/>
    <col min="6" max="6" width="8.875" style="7" customWidth="1"/>
    <col min="7" max="7" width="2.25" style="7" customWidth="1"/>
    <col min="8" max="8" width="16.625" style="7" customWidth="1"/>
    <col min="9" max="9" width="8.875" style="7" customWidth="1"/>
    <col min="10" max="10" width="2.25" style="7" customWidth="1"/>
    <col min="11" max="16384" width="11.375" style="7"/>
  </cols>
  <sheetData>
    <row r="1" spans="1:11" ht="18.75" customHeight="1" x14ac:dyDescent="0.15">
      <c r="A1" s="105" t="s">
        <v>114</v>
      </c>
      <c r="J1" s="99" t="s">
        <v>115</v>
      </c>
    </row>
    <row r="2" spans="1:11" ht="18.75" customHeight="1" x14ac:dyDescent="0.15">
      <c r="A2" s="200" t="s">
        <v>64</v>
      </c>
      <c r="B2" s="200"/>
      <c r="C2" s="200"/>
      <c r="D2" s="200"/>
      <c r="E2" s="200"/>
      <c r="F2" s="200"/>
      <c r="G2" s="200"/>
      <c r="H2" s="200"/>
      <c r="I2" s="200"/>
      <c r="J2" s="200"/>
    </row>
    <row r="3" spans="1:11" ht="7.5" customHeight="1" x14ac:dyDescent="0.15">
      <c r="B3" s="21"/>
      <c r="C3" s="21"/>
      <c r="D3" s="21"/>
      <c r="E3" s="21"/>
      <c r="F3" s="21"/>
      <c r="G3" s="21"/>
      <c r="H3" s="21"/>
      <c r="I3" s="21"/>
      <c r="J3" s="21"/>
    </row>
    <row r="4" spans="1:11" ht="18.75" customHeight="1" x14ac:dyDescent="0.15">
      <c r="A4" s="7" t="s">
        <v>6</v>
      </c>
      <c r="B4" s="7" t="s">
        <v>72</v>
      </c>
      <c r="I4" s="21"/>
      <c r="J4" s="21"/>
    </row>
    <row r="5" spans="1:11" ht="18.75" customHeight="1" x14ac:dyDescent="0.15">
      <c r="A5" s="7"/>
      <c r="B5" s="128" t="s">
        <v>204</v>
      </c>
      <c r="C5" s="129"/>
      <c r="D5" s="129"/>
      <c r="E5" s="129"/>
      <c r="F5" s="129"/>
      <c r="G5" s="129"/>
      <c r="H5" s="129"/>
      <c r="I5" s="129"/>
      <c r="J5" s="269"/>
      <c r="K5" s="7" t="str">
        <f>IF(B5="","入力してください","")</f>
        <v/>
      </c>
    </row>
    <row r="6" spans="1:11" ht="7.5" customHeight="1" x14ac:dyDescent="0.15">
      <c r="B6" s="21"/>
      <c r="C6" s="21"/>
      <c r="D6" s="21"/>
      <c r="E6" s="21"/>
      <c r="F6" s="21"/>
      <c r="G6" s="21"/>
      <c r="H6" s="21"/>
      <c r="I6" s="21"/>
      <c r="J6" s="21"/>
    </row>
    <row r="7" spans="1:11" ht="18.75" customHeight="1" x14ac:dyDescent="0.15">
      <c r="A7" s="7" t="s">
        <v>9</v>
      </c>
      <c r="B7" s="7" t="s">
        <v>39</v>
      </c>
      <c r="K7" s="8"/>
    </row>
    <row r="8" spans="1:11" ht="18.75" customHeight="1" x14ac:dyDescent="0.15">
      <c r="A8" s="61"/>
      <c r="B8" s="270" t="s">
        <v>181</v>
      </c>
      <c r="C8" s="271"/>
      <c r="D8" s="271"/>
      <c r="E8" s="271"/>
      <c r="F8" s="271"/>
      <c r="G8" s="271"/>
      <c r="H8" s="271"/>
      <c r="I8" s="272"/>
      <c r="J8" s="273"/>
      <c r="K8" s="7" t="str">
        <f>IF(B8="","入力してください","")</f>
        <v/>
      </c>
    </row>
    <row r="9" spans="1:11" ht="18.75" customHeight="1" x14ac:dyDescent="0.15">
      <c r="A9" s="61"/>
      <c r="B9" s="263"/>
      <c r="C9" s="264"/>
      <c r="D9" s="264"/>
      <c r="E9" s="264"/>
      <c r="F9" s="264"/>
      <c r="G9" s="264"/>
      <c r="H9" s="264"/>
      <c r="I9" s="264"/>
      <c r="J9" s="265"/>
    </row>
    <row r="10" spans="1:11" ht="3.75" customHeight="1" x14ac:dyDescent="0.15">
      <c r="A10" s="61"/>
      <c r="B10" s="263"/>
      <c r="C10" s="264"/>
      <c r="D10" s="264"/>
      <c r="E10" s="264"/>
      <c r="F10" s="264"/>
      <c r="G10" s="264"/>
      <c r="H10" s="264"/>
      <c r="I10" s="264"/>
      <c r="J10" s="265"/>
    </row>
    <row r="11" spans="1:11" ht="3.75" customHeight="1" x14ac:dyDescent="0.15">
      <c r="A11" s="61"/>
      <c r="B11" s="263"/>
      <c r="C11" s="264"/>
      <c r="D11" s="264"/>
      <c r="E11" s="264"/>
      <c r="F11" s="264"/>
      <c r="G11" s="264"/>
      <c r="H11" s="264"/>
      <c r="I11" s="264"/>
      <c r="J11" s="265"/>
    </row>
    <row r="12" spans="1:11" ht="3.75" customHeight="1" x14ac:dyDescent="0.15">
      <c r="A12" s="61"/>
      <c r="B12" s="266"/>
      <c r="C12" s="267"/>
      <c r="D12" s="267"/>
      <c r="E12" s="267"/>
      <c r="F12" s="267"/>
      <c r="G12" s="267"/>
      <c r="H12" s="267"/>
      <c r="I12" s="267"/>
      <c r="J12" s="268"/>
    </row>
    <row r="13" spans="1:11" ht="7.5" customHeight="1" x14ac:dyDescent="0.15">
      <c r="A13" s="61"/>
      <c r="B13" s="61"/>
      <c r="C13" s="61"/>
      <c r="D13" s="61"/>
      <c r="E13" s="61"/>
      <c r="F13" s="61"/>
      <c r="G13" s="61"/>
      <c r="H13" s="61"/>
      <c r="I13" s="61"/>
      <c r="J13" s="61"/>
    </row>
    <row r="14" spans="1:11" ht="18.75" customHeight="1" x14ac:dyDescent="0.15">
      <c r="A14" s="100" t="s">
        <v>10</v>
      </c>
      <c r="B14" s="100" t="s">
        <v>15</v>
      </c>
      <c r="C14" s="100"/>
      <c r="D14" s="100"/>
      <c r="E14" s="100"/>
      <c r="F14" s="100"/>
      <c r="G14" s="100"/>
      <c r="H14" s="100"/>
      <c r="I14" s="100"/>
      <c r="J14" s="100"/>
    </row>
    <row r="15" spans="1:11" ht="18.75" customHeight="1" x14ac:dyDescent="0.15">
      <c r="A15" s="61"/>
      <c r="B15" s="270" t="s">
        <v>184</v>
      </c>
      <c r="C15" s="271"/>
      <c r="D15" s="271"/>
      <c r="E15" s="271"/>
      <c r="F15" s="271"/>
      <c r="G15" s="271"/>
      <c r="H15" s="271"/>
      <c r="I15" s="272"/>
      <c r="J15" s="273"/>
      <c r="K15" s="7" t="str">
        <f>IF(B15="","入力してください","")</f>
        <v/>
      </c>
    </row>
    <row r="16" spans="1:11" ht="18.75" customHeight="1" x14ac:dyDescent="0.15">
      <c r="A16" s="61"/>
      <c r="B16" s="263"/>
      <c r="C16" s="264"/>
      <c r="D16" s="264"/>
      <c r="E16" s="264"/>
      <c r="F16" s="264"/>
      <c r="G16" s="264"/>
      <c r="H16" s="264"/>
      <c r="I16" s="264"/>
      <c r="J16" s="265"/>
    </row>
    <row r="17" spans="1:11" ht="18.75" customHeight="1" x14ac:dyDescent="0.15">
      <c r="A17" s="61"/>
      <c r="B17" s="263"/>
      <c r="C17" s="264"/>
      <c r="D17" s="264"/>
      <c r="E17" s="264"/>
      <c r="F17" s="264"/>
      <c r="G17" s="264"/>
      <c r="H17" s="264"/>
      <c r="I17" s="264"/>
      <c r="J17" s="265"/>
    </row>
    <row r="18" spans="1:11" ht="18.75" customHeight="1" x14ac:dyDescent="0.15">
      <c r="A18" s="61"/>
      <c r="B18" s="263"/>
      <c r="C18" s="264"/>
      <c r="D18" s="264"/>
      <c r="E18" s="264"/>
      <c r="F18" s="264"/>
      <c r="G18" s="264"/>
      <c r="H18" s="264"/>
      <c r="I18" s="264"/>
      <c r="J18" s="265"/>
    </row>
    <row r="19" spans="1:11" ht="3" customHeight="1" x14ac:dyDescent="0.15">
      <c r="A19" s="61"/>
      <c r="B19" s="263"/>
      <c r="C19" s="264"/>
      <c r="D19" s="264"/>
      <c r="E19" s="264"/>
      <c r="F19" s="264"/>
      <c r="G19" s="264"/>
      <c r="H19" s="264"/>
      <c r="I19" s="264"/>
      <c r="J19" s="265"/>
    </row>
    <row r="20" spans="1:11" ht="18.75" hidden="1" customHeight="1" x14ac:dyDescent="0.15">
      <c r="A20" s="61"/>
      <c r="B20" s="263"/>
      <c r="C20" s="264"/>
      <c r="D20" s="264"/>
      <c r="E20" s="264"/>
      <c r="F20" s="264"/>
      <c r="G20" s="264"/>
      <c r="H20" s="264"/>
      <c r="I20" s="264"/>
      <c r="J20" s="265"/>
    </row>
    <row r="21" spans="1:11" ht="18.75" hidden="1" customHeight="1" x14ac:dyDescent="0.15">
      <c r="A21" s="61"/>
      <c r="B21" s="263"/>
      <c r="C21" s="264"/>
      <c r="D21" s="264"/>
      <c r="E21" s="264"/>
      <c r="F21" s="264"/>
      <c r="G21" s="264"/>
      <c r="H21" s="264"/>
      <c r="I21" s="264"/>
      <c r="J21" s="265"/>
    </row>
    <row r="22" spans="1:11" ht="18.75" hidden="1" customHeight="1" x14ac:dyDescent="0.15">
      <c r="A22" s="61"/>
      <c r="B22" s="263"/>
      <c r="C22" s="264"/>
      <c r="D22" s="264"/>
      <c r="E22" s="264"/>
      <c r="F22" s="264"/>
      <c r="G22" s="264"/>
      <c r="H22" s="264"/>
      <c r="I22" s="264"/>
      <c r="J22" s="265"/>
    </row>
    <row r="23" spans="1:11" ht="18.75" hidden="1" customHeight="1" x14ac:dyDescent="0.15">
      <c r="A23" s="61"/>
      <c r="B23" s="263"/>
      <c r="C23" s="264"/>
      <c r="D23" s="264"/>
      <c r="E23" s="264"/>
      <c r="F23" s="264"/>
      <c r="G23" s="264"/>
      <c r="H23" s="264"/>
      <c r="I23" s="264"/>
      <c r="J23" s="265"/>
    </row>
    <row r="24" spans="1:11" ht="18.75" hidden="1" customHeight="1" x14ac:dyDescent="0.15">
      <c r="A24" s="61"/>
      <c r="B24" s="263"/>
      <c r="C24" s="264"/>
      <c r="D24" s="264"/>
      <c r="E24" s="264"/>
      <c r="F24" s="264"/>
      <c r="G24" s="264"/>
      <c r="H24" s="264"/>
      <c r="I24" s="264"/>
      <c r="J24" s="265"/>
    </row>
    <row r="25" spans="1:11" ht="7.5" customHeight="1" x14ac:dyDescent="0.15">
      <c r="A25" s="61"/>
      <c r="B25" s="266"/>
      <c r="C25" s="267"/>
      <c r="D25" s="267"/>
      <c r="E25" s="267"/>
      <c r="F25" s="267"/>
      <c r="G25" s="267"/>
      <c r="H25" s="267"/>
      <c r="I25" s="267"/>
      <c r="J25" s="268"/>
    </row>
    <row r="26" spans="1:11" ht="7.5" customHeight="1" x14ac:dyDescent="0.15">
      <c r="A26" s="106"/>
      <c r="B26" s="106"/>
      <c r="C26" s="106"/>
      <c r="D26" s="106"/>
      <c r="E26" s="106"/>
      <c r="F26" s="106"/>
      <c r="G26" s="106"/>
      <c r="H26" s="106"/>
      <c r="I26" s="106"/>
      <c r="J26" s="106"/>
    </row>
    <row r="27" spans="1:11" ht="18.75" customHeight="1" x14ac:dyDescent="0.15">
      <c r="A27" s="7" t="s">
        <v>13</v>
      </c>
      <c r="B27" s="7" t="s">
        <v>26</v>
      </c>
    </row>
    <row r="28" spans="1:11" s="21" customFormat="1" ht="18.75" customHeight="1" x14ac:dyDescent="0.15">
      <c r="B28" s="76" t="s">
        <v>116</v>
      </c>
      <c r="C28" s="77">
        <f>'様式３　履修者等数の実績'!R30</f>
        <v>0.9249114961803615</v>
      </c>
      <c r="D28" s="78"/>
      <c r="E28" s="78" t="s">
        <v>117</v>
      </c>
      <c r="F28" s="77">
        <v>0.94</v>
      </c>
      <c r="G28" s="78"/>
      <c r="H28" s="78" t="s">
        <v>118</v>
      </c>
      <c r="I28" s="79">
        <v>0.96</v>
      </c>
      <c r="J28" s="80"/>
      <c r="K28" s="7"/>
    </row>
    <row r="29" spans="1:11" s="21" customFormat="1" ht="18.75" customHeight="1" x14ac:dyDescent="0.15">
      <c r="B29" s="67" t="s">
        <v>119</v>
      </c>
      <c r="C29" s="81">
        <v>0.98</v>
      </c>
      <c r="D29" s="68"/>
      <c r="E29" s="68" t="s">
        <v>120</v>
      </c>
      <c r="F29" s="81">
        <v>1</v>
      </c>
      <c r="G29" s="68"/>
      <c r="H29" s="68" t="s">
        <v>121</v>
      </c>
      <c r="I29" s="82">
        <f>'様式３　履修者等数の実績'!D30</f>
        <v>5367</v>
      </c>
      <c r="J29" s="83"/>
      <c r="K29" s="8"/>
    </row>
    <row r="30" spans="1:11" ht="18.75" customHeight="1" x14ac:dyDescent="0.15">
      <c r="A30" s="7"/>
      <c r="B30" s="159" t="s">
        <v>122</v>
      </c>
      <c r="C30" s="160"/>
      <c r="D30" s="160"/>
      <c r="E30" s="160"/>
      <c r="F30" s="160"/>
      <c r="G30" s="160"/>
      <c r="H30" s="160"/>
      <c r="I30" s="160"/>
      <c r="J30" s="161"/>
      <c r="K30" s="8"/>
    </row>
    <row r="31" spans="1:11" ht="18.75" customHeight="1" x14ac:dyDescent="0.15">
      <c r="A31" s="7"/>
      <c r="B31" s="260" t="s">
        <v>189</v>
      </c>
      <c r="C31" s="261"/>
      <c r="D31" s="261"/>
      <c r="E31" s="261"/>
      <c r="F31" s="261"/>
      <c r="G31" s="261"/>
      <c r="H31" s="261"/>
      <c r="I31" s="261"/>
      <c r="J31" s="262"/>
      <c r="K31" s="8" t="str">
        <f>IF(B31="","入力してください","")</f>
        <v/>
      </c>
    </row>
    <row r="32" spans="1:11" ht="18.75" customHeight="1" x14ac:dyDescent="0.15">
      <c r="A32" s="7"/>
      <c r="B32" s="263"/>
      <c r="C32" s="264"/>
      <c r="D32" s="264"/>
      <c r="E32" s="264"/>
      <c r="F32" s="264"/>
      <c r="G32" s="264"/>
      <c r="H32" s="264"/>
      <c r="I32" s="264"/>
      <c r="J32" s="265"/>
      <c r="K32" s="8"/>
    </row>
    <row r="33" spans="1:11" ht="18.75" customHeight="1" x14ac:dyDescent="0.15">
      <c r="A33" s="7"/>
      <c r="B33" s="263"/>
      <c r="C33" s="264"/>
      <c r="D33" s="264"/>
      <c r="E33" s="264"/>
      <c r="F33" s="264"/>
      <c r="G33" s="264"/>
      <c r="H33" s="264"/>
      <c r="I33" s="264"/>
      <c r="J33" s="265"/>
      <c r="K33" s="8"/>
    </row>
    <row r="34" spans="1:11" ht="18.75" customHeight="1" x14ac:dyDescent="0.15">
      <c r="A34" s="7"/>
      <c r="B34" s="263"/>
      <c r="C34" s="264"/>
      <c r="D34" s="264"/>
      <c r="E34" s="264"/>
      <c r="F34" s="264"/>
      <c r="G34" s="264"/>
      <c r="H34" s="264"/>
      <c r="I34" s="264"/>
      <c r="J34" s="265"/>
      <c r="K34" s="8"/>
    </row>
    <row r="35" spans="1:11" ht="18.75" customHeight="1" x14ac:dyDescent="0.15">
      <c r="A35" s="7"/>
      <c r="B35" s="263"/>
      <c r="C35" s="264"/>
      <c r="D35" s="264"/>
      <c r="E35" s="264"/>
      <c r="F35" s="264"/>
      <c r="G35" s="264"/>
      <c r="H35" s="264"/>
      <c r="I35" s="264"/>
      <c r="J35" s="265"/>
      <c r="K35" s="8"/>
    </row>
    <row r="36" spans="1:11" ht="18.75" customHeight="1" x14ac:dyDescent="0.15">
      <c r="A36" s="7"/>
      <c r="B36" s="263"/>
      <c r="C36" s="264"/>
      <c r="D36" s="264"/>
      <c r="E36" s="264"/>
      <c r="F36" s="264"/>
      <c r="G36" s="264"/>
      <c r="H36" s="264"/>
      <c r="I36" s="264"/>
      <c r="J36" s="265"/>
      <c r="K36" s="8"/>
    </row>
    <row r="37" spans="1:11" ht="2.25" customHeight="1" x14ac:dyDescent="0.15">
      <c r="A37" s="7"/>
      <c r="B37" s="263"/>
      <c r="C37" s="264"/>
      <c r="D37" s="264"/>
      <c r="E37" s="264"/>
      <c r="F37" s="264"/>
      <c r="G37" s="264"/>
      <c r="H37" s="264"/>
      <c r="I37" s="264"/>
      <c r="J37" s="265"/>
      <c r="K37" s="8"/>
    </row>
    <row r="38" spans="1:11" ht="2.25" customHeight="1" x14ac:dyDescent="0.15">
      <c r="A38" s="7"/>
      <c r="B38" s="263"/>
      <c r="C38" s="264"/>
      <c r="D38" s="264"/>
      <c r="E38" s="264"/>
      <c r="F38" s="264"/>
      <c r="G38" s="264"/>
      <c r="H38" s="264"/>
      <c r="I38" s="264"/>
      <c r="J38" s="265"/>
      <c r="K38" s="8"/>
    </row>
    <row r="39" spans="1:11" ht="2.25" customHeight="1" x14ac:dyDescent="0.15">
      <c r="A39" s="7"/>
      <c r="B39" s="263"/>
      <c r="C39" s="264"/>
      <c r="D39" s="264"/>
      <c r="E39" s="264"/>
      <c r="F39" s="264"/>
      <c r="G39" s="264"/>
      <c r="H39" s="264"/>
      <c r="I39" s="264"/>
      <c r="J39" s="265"/>
      <c r="K39" s="8"/>
    </row>
    <row r="40" spans="1:11" ht="2.25" customHeight="1" x14ac:dyDescent="0.15">
      <c r="A40" s="7"/>
      <c r="B40" s="263"/>
      <c r="C40" s="264"/>
      <c r="D40" s="264"/>
      <c r="E40" s="264"/>
      <c r="F40" s="264"/>
      <c r="G40" s="264"/>
      <c r="H40" s="264"/>
      <c r="I40" s="264"/>
      <c r="J40" s="265"/>
      <c r="K40" s="8"/>
    </row>
    <row r="41" spans="1:11" ht="2.25" customHeight="1" x14ac:dyDescent="0.15">
      <c r="A41" s="7"/>
      <c r="B41" s="263"/>
      <c r="C41" s="264"/>
      <c r="D41" s="264"/>
      <c r="E41" s="264"/>
      <c r="F41" s="264"/>
      <c r="G41" s="264"/>
      <c r="H41" s="264"/>
      <c r="I41" s="264"/>
      <c r="J41" s="265"/>
      <c r="K41" s="8"/>
    </row>
    <row r="42" spans="1:11" ht="2.25" customHeight="1" x14ac:dyDescent="0.15">
      <c r="A42" s="7"/>
      <c r="B42" s="263"/>
      <c r="C42" s="264"/>
      <c r="D42" s="264"/>
      <c r="E42" s="264"/>
      <c r="F42" s="264"/>
      <c r="G42" s="264"/>
      <c r="H42" s="264"/>
      <c r="I42" s="264"/>
      <c r="J42" s="265"/>
      <c r="K42" s="8"/>
    </row>
    <row r="43" spans="1:11" ht="2.25" customHeight="1" x14ac:dyDescent="0.15">
      <c r="A43" s="106"/>
      <c r="B43" s="263"/>
      <c r="C43" s="264"/>
      <c r="D43" s="264"/>
      <c r="E43" s="264"/>
      <c r="F43" s="264"/>
      <c r="G43" s="264"/>
      <c r="H43" s="264"/>
      <c r="I43" s="264"/>
      <c r="J43" s="265"/>
      <c r="K43" s="8"/>
    </row>
    <row r="44" spans="1:11" ht="6.75" customHeight="1" x14ac:dyDescent="0.15">
      <c r="A44" s="106"/>
      <c r="B44" s="266"/>
      <c r="C44" s="267"/>
      <c r="D44" s="267"/>
      <c r="E44" s="267"/>
      <c r="F44" s="267"/>
      <c r="G44" s="267"/>
      <c r="H44" s="267"/>
      <c r="I44" s="267"/>
      <c r="J44" s="268"/>
    </row>
    <row r="45" spans="1:11" ht="21.75" customHeight="1" x14ac:dyDescent="0.15">
      <c r="A45" s="100" t="s">
        <v>11</v>
      </c>
      <c r="B45" s="7" t="s">
        <v>65</v>
      </c>
      <c r="I45" s="100"/>
      <c r="J45" s="100"/>
    </row>
    <row r="46" spans="1:11" ht="18.75" customHeight="1" x14ac:dyDescent="0.15">
      <c r="A46" s="106"/>
      <c r="B46" s="270" t="s">
        <v>205</v>
      </c>
      <c r="C46" s="271"/>
      <c r="D46" s="271"/>
      <c r="E46" s="271"/>
      <c r="F46" s="271"/>
      <c r="G46" s="271"/>
      <c r="H46" s="271"/>
      <c r="I46" s="271"/>
      <c r="J46" s="274"/>
      <c r="K46" s="7" t="str">
        <f>IF(B46="","入力してください","")</f>
        <v/>
      </c>
    </row>
    <row r="47" spans="1:11" ht="13.5" customHeight="1" x14ac:dyDescent="0.15">
      <c r="A47" s="106"/>
      <c r="B47" s="275"/>
      <c r="C47" s="276"/>
      <c r="D47" s="276"/>
      <c r="E47" s="276"/>
      <c r="F47" s="276"/>
      <c r="G47" s="276"/>
      <c r="H47" s="276"/>
      <c r="I47" s="276"/>
      <c r="J47" s="277"/>
    </row>
    <row r="48" spans="1:11" ht="5.25" customHeight="1" x14ac:dyDescent="0.15">
      <c r="A48" s="106"/>
      <c r="B48" s="275"/>
      <c r="C48" s="276"/>
      <c r="D48" s="276"/>
      <c r="E48" s="276"/>
      <c r="F48" s="276"/>
      <c r="G48" s="276"/>
      <c r="H48" s="276"/>
      <c r="I48" s="276"/>
      <c r="J48" s="277"/>
    </row>
    <row r="49" spans="1:10" ht="5.25" customHeight="1" x14ac:dyDescent="0.15">
      <c r="A49" s="106"/>
      <c r="B49" s="275"/>
      <c r="C49" s="276"/>
      <c r="D49" s="276"/>
      <c r="E49" s="276"/>
      <c r="F49" s="276"/>
      <c r="G49" s="276"/>
      <c r="H49" s="276"/>
      <c r="I49" s="276"/>
      <c r="J49" s="277"/>
    </row>
    <row r="50" spans="1:10" ht="5.25" customHeight="1" x14ac:dyDescent="0.15">
      <c r="A50" s="106"/>
      <c r="B50" s="275"/>
      <c r="C50" s="276"/>
      <c r="D50" s="276"/>
      <c r="E50" s="276"/>
      <c r="F50" s="276"/>
      <c r="G50" s="276"/>
      <c r="H50" s="276"/>
      <c r="I50" s="276"/>
      <c r="J50" s="277"/>
    </row>
    <row r="51" spans="1:10" ht="5.25" customHeight="1" x14ac:dyDescent="0.15">
      <c r="A51" s="106"/>
      <c r="B51" s="275"/>
      <c r="C51" s="276"/>
      <c r="D51" s="276"/>
      <c r="E51" s="276"/>
      <c r="F51" s="276"/>
      <c r="G51" s="276"/>
      <c r="H51" s="276"/>
      <c r="I51" s="276"/>
      <c r="J51" s="277"/>
    </row>
    <row r="52" spans="1:10" ht="5.25" customHeight="1" x14ac:dyDescent="0.15">
      <c r="A52" s="106"/>
      <c r="B52" s="275"/>
      <c r="C52" s="276"/>
      <c r="D52" s="276"/>
      <c r="E52" s="276"/>
      <c r="F52" s="276"/>
      <c r="G52" s="276"/>
      <c r="H52" s="276"/>
      <c r="I52" s="276"/>
      <c r="J52" s="277"/>
    </row>
    <row r="53" spans="1:10" ht="5.25" customHeight="1" x14ac:dyDescent="0.15">
      <c r="A53" s="106"/>
      <c r="B53" s="275"/>
      <c r="C53" s="276"/>
      <c r="D53" s="276"/>
      <c r="E53" s="276"/>
      <c r="F53" s="276"/>
      <c r="G53" s="276"/>
      <c r="H53" s="276"/>
      <c r="I53" s="276"/>
      <c r="J53" s="277"/>
    </row>
    <row r="54" spans="1:10" ht="5.25" customHeight="1" x14ac:dyDescent="0.15">
      <c r="A54" s="106"/>
      <c r="B54" s="275"/>
      <c r="C54" s="276"/>
      <c r="D54" s="276"/>
      <c r="E54" s="276"/>
      <c r="F54" s="276"/>
      <c r="G54" s="276"/>
      <c r="H54" s="276"/>
      <c r="I54" s="276"/>
      <c r="J54" s="277"/>
    </row>
    <row r="55" spans="1:10" ht="5.25" customHeight="1" x14ac:dyDescent="0.15">
      <c r="A55" s="106"/>
      <c r="B55" s="275"/>
      <c r="C55" s="276"/>
      <c r="D55" s="276"/>
      <c r="E55" s="276"/>
      <c r="F55" s="276"/>
      <c r="G55" s="276"/>
      <c r="H55" s="276"/>
      <c r="I55" s="276"/>
      <c r="J55" s="277"/>
    </row>
    <row r="56" spans="1:10" ht="5.25" customHeight="1" x14ac:dyDescent="0.15">
      <c r="A56" s="106"/>
      <c r="B56" s="275"/>
      <c r="C56" s="276"/>
      <c r="D56" s="276"/>
      <c r="E56" s="276"/>
      <c r="F56" s="276"/>
      <c r="G56" s="276"/>
      <c r="H56" s="276"/>
      <c r="I56" s="276"/>
      <c r="J56" s="277"/>
    </row>
    <row r="57" spans="1:10" ht="5.25" customHeight="1" x14ac:dyDescent="0.15">
      <c r="A57" s="106"/>
      <c r="B57" s="275"/>
      <c r="C57" s="276"/>
      <c r="D57" s="276"/>
      <c r="E57" s="276"/>
      <c r="F57" s="276"/>
      <c r="G57" s="276"/>
      <c r="H57" s="276"/>
      <c r="I57" s="276"/>
      <c r="J57" s="277"/>
    </row>
    <row r="58" spans="1:10" ht="5.25" customHeight="1" x14ac:dyDescent="0.15">
      <c r="A58" s="106"/>
      <c r="B58" s="275"/>
      <c r="C58" s="276"/>
      <c r="D58" s="276"/>
      <c r="E58" s="276"/>
      <c r="F58" s="276"/>
      <c r="G58" s="276"/>
      <c r="H58" s="276"/>
      <c r="I58" s="276"/>
      <c r="J58" s="277"/>
    </row>
    <row r="59" spans="1:10" ht="5.25" customHeight="1" x14ac:dyDescent="0.15">
      <c r="A59" s="106"/>
      <c r="B59" s="275"/>
      <c r="C59" s="276"/>
      <c r="D59" s="276"/>
      <c r="E59" s="276"/>
      <c r="F59" s="276"/>
      <c r="G59" s="276"/>
      <c r="H59" s="276"/>
      <c r="I59" s="276"/>
      <c r="J59" s="277"/>
    </row>
    <row r="60" spans="1:10" ht="5.25" customHeight="1" x14ac:dyDescent="0.15">
      <c r="A60" s="106"/>
      <c r="B60" s="275"/>
      <c r="C60" s="276"/>
      <c r="D60" s="276"/>
      <c r="E60" s="276"/>
      <c r="F60" s="276"/>
      <c r="G60" s="276"/>
      <c r="H60" s="276"/>
      <c r="I60" s="276"/>
      <c r="J60" s="277"/>
    </row>
    <row r="61" spans="1:10" ht="5.25" customHeight="1" x14ac:dyDescent="0.15">
      <c r="A61" s="106"/>
      <c r="B61" s="275"/>
      <c r="C61" s="276"/>
      <c r="D61" s="276"/>
      <c r="E61" s="276"/>
      <c r="F61" s="276"/>
      <c r="G61" s="276"/>
      <c r="H61" s="276"/>
      <c r="I61" s="276"/>
      <c r="J61" s="277"/>
    </row>
    <row r="62" spans="1:10" ht="5.25" customHeight="1" x14ac:dyDescent="0.15">
      <c r="A62" s="106"/>
      <c r="B62" s="275"/>
      <c r="C62" s="276"/>
      <c r="D62" s="276"/>
      <c r="E62" s="276"/>
      <c r="F62" s="276"/>
      <c r="G62" s="276"/>
      <c r="H62" s="276"/>
      <c r="I62" s="276"/>
      <c r="J62" s="277"/>
    </row>
    <row r="63" spans="1:10" ht="5.25" customHeight="1" x14ac:dyDescent="0.15">
      <c r="A63" s="106"/>
      <c r="B63" s="275"/>
      <c r="C63" s="276"/>
      <c r="D63" s="276"/>
      <c r="E63" s="276"/>
      <c r="F63" s="276"/>
      <c r="G63" s="276"/>
      <c r="H63" s="276"/>
      <c r="I63" s="276"/>
      <c r="J63" s="277"/>
    </row>
    <row r="64" spans="1:10" ht="5.25" customHeight="1" x14ac:dyDescent="0.15">
      <c r="A64" s="106"/>
      <c r="B64" s="275"/>
      <c r="C64" s="276"/>
      <c r="D64" s="276"/>
      <c r="E64" s="276"/>
      <c r="F64" s="276"/>
      <c r="G64" s="276"/>
      <c r="H64" s="276"/>
      <c r="I64" s="276"/>
      <c r="J64" s="277"/>
    </row>
    <row r="65" spans="1:11" ht="5.25" customHeight="1" x14ac:dyDescent="0.15">
      <c r="A65" s="106"/>
      <c r="B65" s="275"/>
      <c r="C65" s="276"/>
      <c r="D65" s="276"/>
      <c r="E65" s="276"/>
      <c r="F65" s="276"/>
      <c r="G65" s="276"/>
      <c r="H65" s="276"/>
      <c r="I65" s="276"/>
      <c r="J65" s="277"/>
    </row>
    <row r="66" spans="1:11" ht="6.75" customHeight="1" x14ac:dyDescent="0.15">
      <c r="A66" s="106"/>
      <c r="B66" s="278"/>
      <c r="C66" s="279"/>
      <c r="D66" s="279"/>
      <c r="E66" s="279"/>
      <c r="F66" s="279"/>
      <c r="G66" s="279"/>
      <c r="H66" s="279"/>
      <c r="I66" s="279"/>
      <c r="J66" s="280"/>
    </row>
    <row r="67" spans="1:11" ht="7.5" customHeight="1" x14ac:dyDescent="0.15">
      <c r="A67" s="106"/>
      <c r="B67" s="106"/>
      <c r="C67" s="106"/>
      <c r="D67" s="106"/>
      <c r="E67" s="106"/>
      <c r="F67" s="106"/>
      <c r="G67" s="106"/>
      <c r="H67" s="106"/>
      <c r="I67" s="106"/>
      <c r="J67" s="106"/>
    </row>
    <row r="68" spans="1:11" ht="18.75" customHeight="1" x14ac:dyDescent="0.15">
      <c r="A68" s="7" t="s">
        <v>14</v>
      </c>
      <c r="B68" s="7" t="s">
        <v>71</v>
      </c>
    </row>
    <row r="69" spans="1:11" ht="18.75" customHeight="1" x14ac:dyDescent="0.15">
      <c r="A69" s="7"/>
      <c r="B69" s="270" t="s">
        <v>206</v>
      </c>
      <c r="C69" s="271"/>
      <c r="D69" s="271"/>
      <c r="E69" s="271"/>
      <c r="F69" s="271"/>
      <c r="G69" s="271"/>
      <c r="H69" s="271"/>
      <c r="I69" s="272"/>
      <c r="J69" s="273"/>
      <c r="K69" s="8" t="str">
        <f>IF(B69="","入力してください","")</f>
        <v/>
      </c>
    </row>
    <row r="70" spans="1:11" ht="18.75" customHeight="1" x14ac:dyDescent="0.15">
      <c r="A70" s="7"/>
      <c r="B70" s="263"/>
      <c r="C70" s="264"/>
      <c r="D70" s="264"/>
      <c r="E70" s="264"/>
      <c r="F70" s="264"/>
      <c r="G70" s="264"/>
      <c r="H70" s="264"/>
      <c r="I70" s="264"/>
      <c r="J70" s="265"/>
      <c r="K70" s="8"/>
    </row>
    <row r="71" spans="1:11" ht="5.25" customHeight="1" x14ac:dyDescent="0.15">
      <c r="A71" s="7"/>
      <c r="B71" s="263"/>
      <c r="C71" s="264"/>
      <c r="D71" s="264"/>
      <c r="E71" s="264"/>
      <c r="F71" s="264"/>
      <c r="G71" s="264"/>
      <c r="H71" s="264"/>
      <c r="I71" s="264"/>
      <c r="J71" s="265"/>
      <c r="K71" s="8"/>
    </row>
    <row r="72" spans="1:11" ht="5.25" customHeight="1" x14ac:dyDescent="0.15">
      <c r="A72" s="7"/>
      <c r="B72" s="263"/>
      <c r="C72" s="264"/>
      <c r="D72" s="264"/>
      <c r="E72" s="264"/>
      <c r="F72" s="264"/>
      <c r="G72" s="264"/>
      <c r="H72" s="264"/>
      <c r="I72" s="264"/>
      <c r="J72" s="265"/>
      <c r="K72" s="8"/>
    </row>
    <row r="73" spans="1:11" ht="5.25" customHeight="1" x14ac:dyDescent="0.15">
      <c r="A73" s="7"/>
      <c r="B73" s="263"/>
      <c r="C73" s="264"/>
      <c r="D73" s="264"/>
      <c r="E73" s="264"/>
      <c r="F73" s="264"/>
      <c r="G73" s="264"/>
      <c r="H73" s="264"/>
      <c r="I73" s="264"/>
      <c r="J73" s="265"/>
      <c r="K73" s="8"/>
    </row>
    <row r="74" spans="1:11" ht="5.25" customHeight="1" x14ac:dyDescent="0.15">
      <c r="A74" s="7"/>
      <c r="B74" s="263"/>
      <c r="C74" s="264"/>
      <c r="D74" s="264"/>
      <c r="E74" s="264"/>
      <c r="F74" s="264"/>
      <c r="G74" s="264"/>
      <c r="H74" s="264"/>
      <c r="I74" s="264"/>
      <c r="J74" s="265"/>
      <c r="K74" s="8"/>
    </row>
    <row r="75" spans="1:11" ht="5.25" customHeight="1" x14ac:dyDescent="0.15">
      <c r="A75" s="7"/>
      <c r="B75" s="263"/>
      <c r="C75" s="264"/>
      <c r="D75" s="264"/>
      <c r="E75" s="264"/>
      <c r="F75" s="264"/>
      <c r="G75" s="264"/>
      <c r="H75" s="264"/>
      <c r="I75" s="264"/>
      <c r="J75" s="265"/>
      <c r="K75" s="8"/>
    </row>
    <row r="76" spans="1:11" ht="5.25" customHeight="1" x14ac:dyDescent="0.15">
      <c r="A76" s="7"/>
      <c r="B76" s="263"/>
      <c r="C76" s="264"/>
      <c r="D76" s="264"/>
      <c r="E76" s="264"/>
      <c r="F76" s="264"/>
      <c r="G76" s="264"/>
      <c r="H76" s="264"/>
      <c r="I76" s="264"/>
      <c r="J76" s="265"/>
      <c r="K76" s="8"/>
    </row>
    <row r="77" spans="1:11" ht="5.25" customHeight="1" x14ac:dyDescent="0.15">
      <c r="A77" s="7"/>
      <c r="B77" s="263"/>
      <c r="C77" s="264"/>
      <c r="D77" s="264"/>
      <c r="E77" s="264"/>
      <c r="F77" s="264"/>
      <c r="G77" s="264"/>
      <c r="H77" s="264"/>
      <c r="I77" s="264"/>
      <c r="J77" s="265"/>
      <c r="K77" s="8"/>
    </row>
    <row r="78" spans="1:11" ht="5.25" customHeight="1" x14ac:dyDescent="0.15">
      <c r="A78" s="7"/>
      <c r="B78" s="263"/>
      <c r="C78" s="264"/>
      <c r="D78" s="264"/>
      <c r="E78" s="264"/>
      <c r="F78" s="264"/>
      <c r="G78" s="264"/>
      <c r="H78" s="264"/>
      <c r="I78" s="264"/>
      <c r="J78" s="265"/>
      <c r="K78" s="8"/>
    </row>
    <row r="79" spans="1:11" ht="5.25" customHeight="1" x14ac:dyDescent="0.15">
      <c r="A79" s="7"/>
      <c r="B79" s="263"/>
      <c r="C79" s="264"/>
      <c r="D79" s="264"/>
      <c r="E79" s="264"/>
      <c r="F79" s="264"/>
      <c r="G79" s="264"/>
      <c r="H79" s="264"/>
      <c r="I79" s="264"/>
      <c r="J79" s="265"/>
      <c r="K79" s="8"/>
    </row>
    <row r="80" spans="1:11" ht="5.25" customHeight="1" x14ac:dyDescent="0.15">
      <c r="A80" s="7"/>
      <c r="B80" s="263"/>
      <c r="C80" s="264"/>
      <c r="D80" s="264"/>
      <c r="E80" s="264"/>
      <c r="F80" s="264"/>
      <c r="G80" s="264"/>
      <c r="H80" s="264"/>
      <c r="I80" s="264"/>
      <c r="J80" s="265"/>
      <c r="K80" s="8"/>
    </row>
    <row r="81" spans="1:11" ht="5.25" customHeight="1" x14ac:dyDescent="0.15">
      <c r="A81" s="7"/>
      <c r="B81" s="263"/>
      <c r="C81" s="264"/>
      <c r="D81" s="264"/>
      <c r="E81" s="264"/>
      <c r="F81" s="264"/>
      <c r="G81" s="264"/>
      <c r="H81" s="264"/>
      <c r="I81" s="264"/>
      <c r="J81" s="265"/>
      <c r="K81" s="8"/>
    </row>
    <row r="82" spans="1:11" ht="5.25" customHeight="1" x14ac:dyDescent="0.15">
      <c r="A82" s="7"/>
      <c r="B82" s="263"/>
      <c r="C82" s="264"/>
      <c r="D82" s="264"/>
      <c r="E82" s="264"/>
      <c r="F82" s="264"/>
      <c r="G82" s="264"/>
      <c r="H82" s="264"/>
      <c r="I82" s="264"/>
      <c r="J82" s="265"/>
      <c r="K82" s="8"/>
    </row>
    <row r="83" spans="1:11" ht="5.25" customHeight="1" x14ac:dyDescent="0.15">
      <c r="A83" s="7"/>
      <c r="B83" s="263"/>
      <c r="C83" s="264"/>
      <c r="D83" s="264"/>
      <c r="E83" s="264"/>
      <c r="F83" s="264"/>
      <c r="G83" s="264"/>
      <c r="H83" s="264"/>
      <c r="I83" s="264"/>
      <c r="J83" s="265"/>
      <c r="K83" s="8"/>
    </row>
    <row r="84" spans="1:11" ht="5.25" customHeight="1" x14ac:dyDescent="0.15">
      <c r="A84" s="7"/>
      <c r="B84" s="263"/>
      <c r="C84" s="264"/>
      <c r="D84" s="264"/>
      <c r="E84" s="264"/>
      <c r="F84" s="264"/>
      <c r="G84" s="264"/>
      <c r="H84" s="264"/>
      <c r="I84" s="264"/>
      <c r="J84" s="265"/>
      <c r="K84" s="8"/>
    </row>
    <row r="85" spans="1:11" ht="5.25" customHeight="1" x14ac:dyDescent="0.15">
      <c r="A85" s="106"/>
      <c r="B85" s="263"/>
      <c r="C85" s="264"/>
      <c r="D85" s="264"/>
      <c r="E85" s="264"/>
      <c r="F85" s="264"/>
      <c r="G85" s="264"/>
      <c r="H85" s="264"/>
      <c r="I85" s="264"/>
      <c r="J85" s="265"/>
      <c r="K85" s="8"/>
    </row>
    <row r="86" spans="1:11" ht="5.25" customHeight="1" x14ac:dyDescent="0.15">
      <c r="A86" s="106"/>
      <c r="B86" s="266"/>
      <c r="C86" s="267"/>
      <c r="D86" s="267"/>
      <c r="E86" s="267"/>
      <c r="F86" s="267"/>
      <c r="G86" s="267"/>
      <c r="H86" s="267"/>
      <c r="I86" s="267"/>
      <c r="J86" s="268"/>
      <c r="K86" s="8"/>
    </row>
    <row r="87" spans="1:11" ht="7.5" customHeight="1" x14ac:dyDescent="0.15">
      <c r="A87" s="106"/>
      <c r="B87" s="106"/>
      <c r="C87" s="106"/>
      <c r="D87" s="106"/>
      <c r="E87" s="106"/>
      <c r="F87" s="106"/>
      <c r="G87" s="106"/>
      <c r="H87" s="106"/>
      <c r="I87" s="106"/>
      <c r="J87" s="106"/>
    </row>
    <row r="88" spans="1:11" ht="18.75" customHeight="1" x14ac:dyDescent="0.15">
      <c r="A88" s="7" t="s">
        <v>12</v>
      </c>
      <c r="B88" s="7" t="s">
        <v>27</v>
      </c>
    </row>
    <row r="89" spans="1:11" ht="18.75" customHeight="1" x14ac:dyDescent="0.15">
      <c r="A89" s="7"/>
      <c r="B89" s="270" t="s">
        <v>207</v>
      </c>
      <c r="C89" s="271"/>
      <c r="D89" s="271"/>
      <c r="E89" s="271"/>
      <c r="F89" s="271"/>
      <c r="G89" s="271"/>
      <c r="H89" s="271"/>
      <c r="I89" s="272"/>
      <c r="J89" s="273"/>
    </row>
    <row r="90" spans="1:11" ht="18.75" customHeight="1" x14ac:dyDescent="0.15">
      <c r="A90" s="7"/>
      <c r="B90" s="263"/>
      <c r="C90" s="264"/>
      <c r="D90" s="264"/>
      <c r="E90" s="264"/>
      <c r="F90" s="264"/>
      <c r="G90" s="264"/>
      <c r="H90" s="264"/>
      <c r="I90" s="264"/>
      <c r="J90" s="265"/>
      <c r="K90" s="8"/>
    </row>
    <row r="91" spans="1:11" ht="18.75" customHeight="1" x14ac:dyDescent="0.15">
      <c r="A91" s="7"/>
      <c r="B91" s="263"/>
      <c r="C91" s="264"/>
      <c r="D91" s="264"/>
      <c r="E91" s="264"/>
      <c r="F91" s="264"/>
      <c r="G91" s="264"/>
      <c r="H91" s="264"/>
      <c r="I91" s="264"/>
      <c r="J91" s="265"/>
      <c r="K91" s="8" t="str">
        <f>IF(B89="","入力してください","")</f>
        <v/>
      </c>
    </row>
    <row r="92" spans="1:11" ht="4.5" customHeight="1" x14ac:dyDescent="0.15">
      <c r="A92" s="7"/>
      <c r="B92" s="263"/>
      <c r="C92" s="264"/>
      <c r="D92" s="264"/>
      <c r="E92" s="264"/>
      <c r="F92" s="264"/>
      <c r="G92" s="264"/>
      <c r="H92" s="264"/>
      <c r="I92" s="264"/>
      <c r="J92" s="265"/>
      <c r="K92" s="8"/>
    </row>
    <row r="93" spans="1:11" ht="4.5" customHeight="1" x14ac:dyDescent="0.15">
      <c r="A93" s="7"/>
      <c r="B93" s="263"/>
      <c r="C93" s="264"/>
      <c r="D93" s="264"/>
      <c r="E93" s="264"/>
      <c r="F93" s="264"/>
      <c r="G93" s="264"/>
      <c r="H93" s="264"/>
      <c r="I93" s="264"/>
      <c r="J93" s="265"/>
      <c r="K93" s="8"/>
    </row>
    <row r="94" spans="1:11" ht="4.5" customHeight="1" x14ac:dyDescent="0.15">
      <c r="A94" s="7"/>
      <c r="B94" s="263"/>
      <c r="C94" s="264"/>
      <c r="D94" s="264"/>
      <c r="E94" s="264"/>
      <c r="F94" s="264"/>
      <c r="G94" s="264"/>
      <c r="H94" s="264"/>
      <c r="I94" s="264"/>
      <c r="J94" s="265"/>
      <c r="K94" s="8"/>
    </row>
    <row r="95" spans="1:11" ht="4.5" customHeight="1" x14ac:dyDescent="0.15">
      <c r="A95" s="7"/>
      <c r="B95" s="263"/>
      <c r="C95" s="264"/>
      <c r="D95" s="264"/>
      <c r="E95" s="264"/>
      <c r="F95" s="264"/>
      <c r="G95" s="264"/>
      <c r="H95" s="264"/>
      <c r="I95" s="264"/>
      <c r="J95" s="265"/>
      <c r="K95" s="8"/>
    </row>
    <row r="96" spans="1:11" ht="4.5" customHeight="1" x14ac:dyDescent="0.15">
      <c r="A96" s="7"/>
      <c r="B96" s="263"/>
      <c r="C96" s="264"/>
      <c r="D96" s="264"/>
      <c r="E96" s="264"/>
      <c r="F96" s="264"/>
      <c r="G96" s="264"/>
      <c r="H96" s="264"/>
      <c r="I96" s="264"/>
      <c r="J96" s="265"/>
      <c r="K96" s="8"/>
    </row>
    <row r="97" spans="1:11" ht="4.5" customHeight="1" x14ac:dyDescent="0.15">
      <c r="A97" s="7"/>
      <c r="B97" s="263"/>
      <c r="C97" s="264"/>
      <c r="D97" s="264"/>
      <c r="E97" s="264"/>
      <c r="F97" s="264"/>
      <c r="G97" s="264"/>
      <c r="H97" s="264"/>
      <c r="I97" s="264"/>
      <c r="J97" s="265"/>
      <c r="K97" s="8"/>
    </row>
    <row r="98" spans="1:11" ht="4.5" customHeight="1" x14ac:dyDescent="0.15">
      <c r="A98" s="7"/>
      <c r="B98" s="263"/>
      <c r="C98" s="264"/>
      <c r="D98" s="264"/>
      <c r="E98" s="264"/>
      <c r="F98" s="264"/>
      <c r="G98" s="264"/>
      <c r="H98" s="264"/>
      <c r="I98" s="264"/>
      <c r="J98" s="265"/>
      <c r="K98" s="8"/>
    </row>
    <row r="99" spans="1:11" ht="4.5" customHeight="1" x14ac:dyDescent="0.15">
      <c r="A99" s="7"/>
      <c r="B99" s="263"/>
      <c r="C99" s="264"/>
      <c r="D99" s="264"/>
      <c r="E99" s="264"/>
      <c r="F99" s="264"/>
      <c r="G99" s="264"/>
      <c r="H99" s="264"/>
      <c r="I99" s="264"/>
      <c r="J99" s="265"/>
      <c r="K99" s="8"/>
    </row>
    <row r="100" spans="1:11" ht="4.5" customHeight="1" x14ac:dyDescent="0.15">
      <c r="A100" s="7"/>
      <c r="B100" s="263"/>
      <c r="C100" s="264"/>
      <c r="D100" s="264"/>
      <c r="E100" s="264"/>
      <c r="F100" s="264"/>
      <c r="G100" s="264"/>
      <c r="H100" s="264"/>
      <c r="I100" s="264"/>
      <c r="J100" s="265"/>
      <c r="K100" s="8"/>
    </row>
    <row r="101" spans="1:11" ht="4.5" customHeight="1" x14ac:dyDescent="0.15">
      <c r="A101" s="7"/>
      <c r="B101" s="263"/>
      <c r="C101" s="264"/>
      <c r="D101" s="264"/>
      <c r="E101" s="264"/>
      <c r="F101" s="264"/>
      <c r="G101" s="264"/>
      <c r="H101" s="264"/>
      <c r="I101" s="264"/>
      <c r="J101" s="265"/>
      <c r="K101" s="8"/>
    </row>
    <row r="102" spans="1:11" ht="4.5" customHeight="1" x14ac:dyDescent="0.15">
      <c r="A102" s="7"/>
      <c r="B102" s="263"/>
      <c r="C102" s="264"/>
      <c r="D102" s="264"/>
      <c r="E102" s="264"/>
      <c r="F102" s="264"/>
      <c r="G102" s="264"/>
      <c r="H102" s="264"/>
      <c r="I102" s="264"/>
      <c r="J102" s="265"/>
      <c r="K102" s="8"/>
    </row>
    <row r="103" spans="1:11" ht="4.5" customHeight="1" x14ac:dyDescent="0.15">
      <c r="A103" s="7"/>
      <c r="B103" s="263"/>
      <c r="C103" s="264"/>
      <c r="D103" s="264"/>
      <c r="E103" s="264"/>
      <c r="F103" s="264"/>
      <c r="G103" s="264"/>
      <c r="H103" s="264"/>
      <c r="I103" s="264"/>
      <c r="J103" s="265"/>
      <c r="K103" s="8"/>
    </row>
    <row r="104" spans="1:11" ht="4.5" customHeight="1" x14ac:dyDescent="0.15">
      <c r="A104" s="7"/>
      <c r="B104" s="263"/>
      <c r="C104" s="264"/>
      <c r="D104" s="264"/>
      <c r="E104" s="264"/>
      <c r="F104" s="264"/>
      <c r="G104" s="264"/>
      <c r="H104" s="264"/>
      <c r="I104" s="264"/>
      <c r="J104" s="265"/>
      <c r="K104" s="8"/>
    </row>
    <row r="105" spans="1:11" ht="4.5" customHeight="1" x14ac:dyDescent="0.15">
      <c r="A105" s="7"/>
      <c r="B105" s="263"/>
      <c r="C105" s="264"/>
      <c r="D105" s="264"/>
      <c r="E105" s="264"/>
      <c r="F105" s="264"/>
      <c r="G105" s="264"/>
      <c r="H105" s="264"/>
      <c r="I105" s="264"/>
      <c r="J105" s="265"/>
      <c r="K105" s="8"/>
    </row>
    <row r="106" spans="1:11" ht="4.5" customHeight="1" x14ac:dyDescent="0.15">
      <c r="A106" s="7"/>
      <c r="B106" s="263"/>
      <c r="C106" s="264"/>
      <c r="D106" s="264"/>
      <c r="E106" s="264"/>
      <c r="F106" s="264"/>
      <c r="G106" s="264"/>
      <c r="H106" s="264"/>
      <c r="I106" s="264"/>
      <c r="J106" s="265"/>
      <c r="K106" s="8"/>
    </row>
    <row r="107" spans="1:11" ht="4.5" customHeight="1" x14ac:dyDescent="0.15">
      <c r="A107" s="106"/>
      <c r="B107" s="263"/>
      <c r="C107" s="264"/>
      <c r="D107" s="264"/>
      <c r="E107" s="264"/>
      <c r="F107" s="264"/>
      <c r="G107" s="264"/>
      <c r="H107" s="264"/>
      <c r="I107" s="264"/>
      <c r="J107" s="265"/>
      <c r="K107" s="8"/>
    </row>
    <row r="108" spans="1:11" ht="4.5" customHeight="1" x14ac:dyDescent="0.15">
      <c r="A108" s="106"/>
      <c r="B108" s="266"/>
      <c r="C108" s="267"/>
      <c r="D108" s="267"/>
      <c r="E108" s="267"/>
      <c r="F108" s="267"/>
      <c r="G108" s="267"/>
      <c r="H108" s="267"/>
      <c r="I108" s="267"/>
      <c r="J108" s="268"/>
      <c r="K108" s="8"/>
    </row>
    <row r="109" spans="1:11" ht="7.5" customHeight="1" x14ac:dyDescent="0.15">
      <c r="A109" s="106"/>
      <c r="B109" s="106"/>
      <c r="C109" s="106"/>
      <c r="D109" s="106"/>
      <c r="E109" s="106"/>
      <c r="F109" s="106"/>
      <c r="G109" s="106"/>
      <c r="H109" s="106"/>
      <c r="I109" s="106"/>
      <c r="J109" s="106"/>
    </row>
    <row r="110" spans="1:11" ht="18.75" customHeight="1" x14ac:dyDescent="0.15">
      <c r="A110" s="7" t="s">
        <v>53</v>
      </c>
      <c r="B110" s="281" t="s">
        <v>82</v>
      </c>
      <c r="C110" s="281"/>
      <c r="D110" s="281"/>
      <c r="E110" s="281"/>
      <c r="F110" s="281"/>
      <c r="G110" s="281"/>
      <c r="H110" s="281"/>
      <c r="I110" s="281"/>
      <c r="J110" s="281"/>
    </row>
    <row r="111" spans="1:11" ht="18.75" customHeight="1" x14ac:dyDescent="0.15">
      <c r="A111" s="106"/>
      <c r="B111" s="270" t="s">
        <v>195</v>
      </c>
      <c r="C111" s="271"/>
      <c r="D111" s="271"/>
      <c r="E111" s="271"/>
      <c r="F111" s="271"/>
      <c r="G111" s="271"/>
      <c r="H111" s="271"/>
      <c r="I111" s="272"/>
      <c r="J111" s="273"/>
    </row>
    <row r="112" spans="1:11" ht="18.75" customHeight="1" x14ac:dyDescent="0.15">
      <c r="A112" s="106"/>
      <c r="B112" s="263"/>
      <c r="C112" s="264"/>
      <c r="D112" s="264"/>
      <c r="E112" s="264"/>
      <c r="F112" s="264"/>
      <c r="G112" s="264"/>
      <c r="H112" s="264"/>
      <c r="I112" s="264"/>
      <c r="J112" s="265"/>
      <c r="K112" s="8"/>
    </row>
    <row r="113" spans="1:11" ht="18.75" customHeight="1" x14ac:dyDescent="0.15">
      <c r="A113" s="106"/>
      <c r="B113" s="263"/>
      <c r="C113" s="264"/>
      <c r="D113" s="264"/>
      <c r="E113" s="264"/>
      <c r="F113" s="264"/>
      <c r="G113" s="264"/>
      <c r="H113" s="264"/>
      <c r="I113" s="264"/>
      <c r="J113" s="265"/>
      <c r="K113" s="7" t="str">
        <f>IF(B111="","入力してください","")</f>
        <v/>
      </c>
    </row>
    <row r="114" spans="1:11" ht="4.5" customHeight="1" x14ac:dyDescent="0.15">
      <c r="A114" s="106"/>
      <c r="B114" s="263"/>
      <c r="C114" s="264"/>
      <c r="D114" s="264"/>
      <c r="E114" s="264"/>
      <c r="F114" s="264"/>
      <c r="G114" s="264"/>
      <c r="H114" s="264"/>
      <c r="I114" s="264"/>
      <c r="J114" s="265"/>
    </row>
    <row r="115" spans="1:11" ht="4.5" customHeight="1" x14ac:dyDescent="0.15">
      <c r="A115" s="106"/>
      <c r="B115" s="263"/>
      <c r="C115" s="264"/>
      <c r="D115" s="264"/>
      <c r="E115" s="264"/>
      <c r="F115" s="264"/>
      <c r="G115" s="264"/>
      <c r="H115" s="264"/>
      <c r="I115" s="264"/>
      <c r="J115" s="265"/>
    </row>
    <row r="116" spans="1:11" ht="4.5" customHeight="1" x14ac:dyDescent="0.15">
      <c r="A116" s="106"/>
      <c r="B116" s="263"/>
      <c r="C116" s="264"/>
      <c r="D116" s="264"/>
      <c r="E116" s="264"/>
      <c r="F116" s="264"/>
      <c r="G116" s="264"/>
      <c r="H116" s="264"/>
      <c r="I116" s="264"/>
      <c r="J116" s="265"/>
    </row>
    <row r="117" spans="1:11" ht="4.5" customHeight="1" x14ac:dyDescent="0.15">
      <c r="A117" s="106"/>
      <c r="B117" s="263"/>
      <c r="C117" s="264"/>
      <c r="D117" s="264"/>
      <c r="E117" s="264"/>
      <c r="F117" s="264"/>
      <c r="G117" s="264"/>
      <c r="H117" s="264"/>
      <c r="I117" s="264"/>
      <c r="J117" s="265"/>
    </row>
    <row r="118" spans="1:11" ht="4.5" customHeight="1" x14ac:dyDescent="0.15">
      <c r="A118" s="106"/>
      <c r="B118" s="263"/>
      <c r="C118" s="264"/>
      <c r="D118" s="264"/>
      <c r="E118" s="264"/>
      <c r="F118" s="264"/>
      <c r="G118" s="264"/>
      <c r="H118" s="264"/>
      <c r="I118" s="264"/>
      <c r="J118" s="265"/>
    </row>
    <row r="119" spans="1:11" ht="4.5" customHeight="1" x14ac:dyDescent="0.15">
      <c r="A119" s="106"/>
      <c r="B119" s="263"/>
      <c r="C119" s="264"/>
      <c r="D119" s="264"/>
      <c r="E119" s="264"/>
      <c r="F119" s="264"/>
      <c r="G119" s="264"/>
      <c r="H119" s="264"/>
      <c r="I119" s="264"/>
      <c r="J119" s="265"/>
    </row>
    <row r="120" spans="1:11" ht="4.5" customHeight="1" x14ac:dyDescent="0.15">
      <c r="A120" s="106"/>
      <c r="B120" s="263"/>
      <c r="C120" s="264"/>
      <c r="D120" s="264"/>
      <c r="E120" s="264"/>
      <c r="F120" s="264"/>
      <c r="G120" s="264"/>
      <c r="H120" s="264"/>
      <c r="I120" s="264"/>
      <c r="J120" s="265"/>
    </row>
    <row r="121" spans="1:11" ht="4.5" customHeight="1" x14ac:dyDescent="0.15">
      <c r="A121" s="106"/>
      <c r="B121" s="263"/>
      <c r="C121" s="264"/>
      <c r="D121" s="264"/>
      <c r="E121" s="264"/>
      <c r="F121" s="264"/>
      <c r="G121" s="264"/>
      <c r="H121" s="264"/>
      <c r="I121" s="264"/>
      <c r="J121" s="265"/>
    </row>
    <row r="122" spans="1:11" ht="4.5" customHeight="1" x14ac:dyDescent="0.15">
      <c r="A122" s="106"/>
      <c r="B122" s="263"/>
      <c r="C122" s="264"/>
      <c r="D122" s="264"/>
      <c r="E122" s="264"/>
      <c r="F122" s="264"/>
      <c r="G122" s="264"/>
      <c r="H122" s="264"/>
      <c r="I122" s="264"/>
      <c r="J122" s="265"/>
    </row>
    <row r="123" spans="1:11" ht="4.5" customHeight="1" x14ac:dyDescent="0.15">
      <c r="A123" s="106"/>
      <c r="B123" s="263"/>
      <c r="C123" s="264"/>
      <c r="D123" s="264"/>
      <c r="E123" s="264"/>
      <c r="F123" s="264"/>
      <c r="G123" s="264"/>
      <c r="H123" s="264"/>
      <c r="I123" s="264"/>
      <c r="J123" s="265"/>
    </row>
    <row r="124" spans="1:11" ht="4.5" customHeight="1" x14ac:dyDescent="0.15">
      <c r="A124" s="106"/>
      <c r="B124" s="263"/>
      <c r="C124" s="264"/>
      <c r="D124" s="264"/>
      <c r="E124" s="264"/>
      <c r="F124" s="264"/>
      <c r="G124" s="264"/>
      <c r="H124" s="264"/>
      <c r="I124" s="264"/>
      <c r="J124" s="265"/>
    </row>
    <row r="125" spans="1:11" ht="4.5" customHeight="1" x14ac:dyDescent="0.15">
      <c r="A125" s="106"/>
      <c r="B125" s="263"/>
      <c r="C125" s="264"/>
      <c r="D125" s="264"/>
      <c r="E125" s="264"/>
      <c r="F125" s="264"/>
      <c r="G125" s="264"/>
      <c r="H125" s="264"/>
      <c r="I125" s="264"/>
      <c r="J125" s="265"/>
    </row>
    <row r="126" spans="1:11" ht="4.5" customHeight="1" x14ac:dyDescent="0.15">
      <c r="A126" s="106"/>
      <c r="B126" s="263"/>
      <c r="C126" s="264"/>
      <c r="D126" s="264"/>
      <c r="E126" s="264"/>
      <c r="F126" s="264"/>
      <c r="G126" s="264"/>
      <c r="H126" s="264"/>
      <c r="I126" s="264"/>
      <c r="J126" s="265"/>
    </row>
    <row r="127" spans="1:11" ht="4.5" customHeight="1" x14ac:dyDescent="0.15">
      <c r="A127" s="106"/>
      <c r="B127" s="263"/>
      <c r="C127" s="264"/>
      <c r="D127" s="264"/>
      <c r="E127" s="264"/>
      <c r="F127" s="264"/>
      <c r="G127" s="264"/>
      <c r="H127" s="264"/>
      <c r="I127" s="264"/>
      <c r="J127" s="265"/>
    </row>
    <row r="128" spans="1:11" ht="4.5" customHeight="1" x14ac:dyDescent="0.15">
      <c r="A128" s="106"/>
      <c r="B128" s="263"/>
      <c r="C128" s="264"/>
      <c r="D128" s="264"/>
      <c r="E128" s="264"/>
      <c r="F128" s="264"/>
      <c r="G128" s="264"/>
      <c r="H128" s="264"/>
      <c r="I128" s="264"/>
      <c r="J128" s="265"/>
    </row>
    <row r="129" spans="1:10" ht="4.5" customHeight="1" x14ac:dyDescent="0.15">
      <c r="A129" s="106"/>
      <c r="B129" s="266"/>
      <c r="C129" s="267"/>
      <c r="D129" s="267"/>
      <c r="E129" s="267"/>
      <c r="F129" s="267"/>
      <c r="G129" s="267"/>
      <c r="H129" s="267"/>
      <c r="I129" s="267"/>
      <c r="J129" s="268"/>
    </row>
    <row r="130" spans="1:10" ht="7.5" customHeight="1" x14ac:dyDescent="0.15">
      <c r="A130" s="106"/>
      <c r="B130" s="107"/>
      <c r="C130" s="107"/>
      <c r="D130" s="107"/>
      <c r="E130" s="107"/>
      <c r="F130" s="107"/>
      <c r="G130" s="107"/>
      <c r="H130" s="107"/>
      <c r="I130" s="107"/>
      <c r="J130" s="107"/>
    </row>
    <row r="131" spans="1:10" ht="18.75" customHeight="1" x14ac:dyDescent="0.15">
      <c r="A131" s="106"/>
      <c r="B131" s="106"/>
      <c r="C131" s="106"/>
      <c r="D131" s="106"/>
      <c r="E131" s="106"/>
      <c r="F131" s="106"/>
      <c r="G131" s="106"/>
      <c r="H131" s="106"/>
      <c r="I131" s="106"/>
      <c r="J131" s="106"/>
    </row>
    <row r="132" spans="1:10" ht="18.75" customHeight="1" x14ac:dyDescent="0.15">
      <c r="A132" s="106"/>
      <c r="B132" s="106"/>
      <c r="C132" s="106"/>
      <c r="D132" s="106"/>
      <c r="E132" s="106"/>
      <c r="F132" s="106"/>
      <c r="G132" s="106"/>
      <c r="H132" s="106"/>
      <c r="I132" s="106"/>
      <c r="J132" s="106"/>
    </row>
    <row r="133" spans="1:10" ht="18.75" customHeight="1" x14ac:dyDescent="0.15">
      <c r="A133" s="106"/>
      <c r="B133" s="106"/>
      <c r="C133" s="106"/>
      <c r="D133" s="106"/>
      <c r="E133" s="106"/>
      <c r="F133" s="106"/>
      <c r="G133" s="106"/>
      <c r="H133" s="106"/>
      <c r="I133" s="106"/>
      <c r="J133" s="106"/>
    </row>
    <row r="134" spans="1:10" ht="18.75" customHeight="1" x14ac:dyDescent="0.15">
      <c r="A134" s="106"/>
      <c r="B134" s="106"/>
      <c r="C134" s="106"/>
      <c r="D134" s="106"/>
      <c r="E134" s="106"/>
      <c r="F134" s="106"/>
      <c r="G134" s="106"/>
      <c r="H134" s="106"/>
      <c r="I134" s="106"/>
      <c r="J134" s="106"/>
    </row>
    <row r="135" spans="1:10" ht="18.75" customHeight="1" x14ac:dyDescent="0.15">
      <c r="A135" s="106"/>
      <c r="B135" s="106"/>
      <c r="C135" s="106"/>
      <c r="D135" s="106"/>
      <c r="E135" s="106"/>
      <c r="F135" s="106"/>
      <c r="G135" s="106"/>
      <c r="H135" s="106"/>
      <c r="I135" s="106"/>
      <c r="J135" s="106"/>
    </row>
    <row r="136" spans="1:10" ht="18.75" customHeight="1" x14ac:dyDescent="0.15">
      <c r="A136" s="106"/>
      <c r="B136" s="106"/>
      <c r="C136" s="106"/>
      <c r="D136" s="106"/>
      <c r="E136" s="106"/>
      <c r="F136" s="106"/>
      <c r="G136" s="106"/>
      <c r="H136" s="106"/>
      <c r="I136" s="106"/>
      <c r="J136" s="106"/>
    </row>
    <row r="137" spans="1:10" ht="18.75" customHeight="1" x14ac:dyDescent="0.15">
      <c r="A137" s="106"/>
      <c r="B137" s="106"/>
      <c r="C137" s="106"/>
      <c r="D137" s="106"/>
      <c r="E137" s="106"/>
      <c r="F137" s="106"/>
      <c r="G137" s="106"/>
      <c r="H137" s="106"/>
      <c r="I137" s="106"/>
      <c r="J137" s="106"/>
    </row>
    <row r="138" spans="1:10" ht="18.75" customHeight="1" x14ac:dyDescent="0.15">
      <c r="A138" s="106"/>
      <c r="B138" s="106"/>
      <c r="C138" s="106"/>
      <c r="D138" s="106"/>
      <c r="E138" s="106"/>
      <c r="F138" s="106"/>
      <c r="G138" s="106"/>
      <c r="H138" s="106"/>
      <c r="I138" s="106"/>
      <c r="J138" s="106"/>
    </row>
    <row r="139" spans="1:10" ht="18.75" customHeight="1" x14ac:dyDescent="0.15">
      <c r="A139" s="106"/>
      <c r="B139" s="106"/>
      <c r="C139" s="106"/>
      <c r="D139" s="106"/>
      <c r="E139" s="106"/>
      <c r="F139" s="106"/>
      <c r="G139" s="106"/>
      <c r="H139" s="106"/>
      <c r="I139" s="106"/>
      <c r="J139" s="106"/>
    </row>
    <row r="140" spans="1:10" ht="18.75" customHeight="1" x14ac:dyDescent="0.15">
      <c r="A140" s="106"/>
      <c r="B140" s="106"/>
      <c r="C140" s="106"/>
      <c r="D140" s="106"/>
      <c r="E140" s="106"/>
      <c r="F140" s="106"/>
      <c r="G140" s="106"/>
      <c r="H140" s="106"/>
      <c r="I140" s="106"/>
      <c r="J140" s="106"/>
    </row>
    <row r="141" spans="1:10" ht="18.75" customHeight="1" x14ac:dyDescent="0.15">
      <c r="A141" s="106"/>
      <c r="B141" s="106"/>
      <c r="C141" s="106"/>
      <c r="D141" s="106"/>
      <c r="E141" s="106"/>
      <c r="F141" s="106"/>
      <c r="G141" s="106"/>
      <c r="H141" s="106"/>
      <c r="I141" s="106"/>
      <c r="J141" s="106"/>
    </row>
    <row r="142" spans="1:10" ht="18.75" customHeight="1" x14ac:dyDescent="0.15">
      <c r="A142" s="106"/>
      <c r="B142" s="106"/>
      <c r="C142" s="106"/>
      <c r="D142" s="106"/>
      <c r="E142" s="106"/>
      <c r="F142" s="106"/>
      <c r="G142" s="106"/>
      <c r="H142" s="106"/>
      <c r="I142" s="106"/>
      <c r="J142" s="106"/>
    </row>
    <row r="143" spans="1:10" ht="14.25" x14ac:dyDescent="0.15">
      <c r="A143" s="106"/>
      <c r="B143" s="106"/>
      <c r="C143" s="106"/>
      <c r="D143" s="106"/>
      <c r="E143" s="106"/>
      <c r="F143" s="106"/>
      <c r="G143" s="106"/>
      <c r="H143" s="106"/>
      <c r="I143" s="106"/>
      <c r="J143" s="106"/>
    </row>
    <row r="144" spans="1:10" ht="7.5" customHeight="1" x14ac:dyDescent="0.15">
      <c r="A144" s="108"/>
      <c r="B144" s="108"/>
      <c r="C144" s="108"/>
      <c r="D144" s="108"/>
      <c r="E144" s="108"/>
      <c r="F144" s="108"/>
      <c r="G144" s="108"/>
      <c r="H144" s="108"/>
      <c r="I144" s="108"/>
      <c r="J144" s="108"/>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8" orientation="portrait" r:id="rId1"/>
  <rowBreaks count="1" manualBreakCount="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tabSelected="1" view="pageBreakPreview" zoomScaleNormal="100" zoomScaleSheetLayoutView="100" workbookViewId="0">
      <selection activeCell="E9" sqref="E9:J9"/>
    </sheetView>
  </sheetViews>
  <sheetFormatPr defaultColWidth="11.375" defaultRowHeight="22.5" customHeight="1" x14ac:dyDescent="0.15"/>
  <cols>
    <col min="1" max="3" width="2.75" style="6" customWidth="1"/>
    <col min="4" max="4" width="22.25" style="6" customWidth="1"/>
    <col min="5" max="5" width="21.625" style="6" customWidth="1"/>
    <col min="6" max="7" width="7.75" style="6" customWidth="1"/>
    <col min="8" max="8" width="33.375" style="6" customWidth="1"/>
    <col min="9" max="9" width="24.5" style="6" customWidth="1"/>
    <col min="10" max="10" width="5.5" style="6" customWidth="1"/>
    <col min="11" max="11" width="4.125" style="7" customWidth="1"/>
    <col min="12" max="16384" width="11.375" style="6"/>
  </cols>
  <sheetData>
    <row r="1" spans="1:11" ht="18.75" customHeight="1" x14ac:dyDescent="0.15">
      <c r="A1" s="6" t="s">
        <v>123</v>
      </c>
      <c r="J1" s="99" t="s">
        <v>73</v>
      </c>
    </row>
    <row r="2" spans="1:11" ht="18.75" customHeight="1" x14ac:dyDescent="0.15">
      <c r="A2" s="200" t="s">
        <v>42</v>
      </c>
      <c r="B2" s="200"/>
      <c r="C2" s="200"/>
      <c r="D2" s="200"/>
      <c r="E2" s="200"/>
      <c r="F2" s="200"/>
      <c r="G2" s="200"/>
      <c r="H2" s="200"/>
      <c r="I2" s="200"/>
      <c r="J2" s="200"/>
    </row>
    <row r="3" spans="1:11" ht="7.5" customHeight="1" x14ac:dyDescent="0.15">
      <c r="A3" s="101"/>
      <c r="B3" s="101"/>
      <c r="C3" s="101"/>
      <c r="D3" s="101"/>
      <c r="E3" s="101"/>
      <c r="F3" s="101"/>
      <c r="G3" s="101"/>
      <c r="H3" s="101"/>
      <c r="I3" s="101"/>
      <c r="J3" s="101"/>
    </row>
    <row r="4" spans="1:11" ht="18.75" customHeight="1" x14ac:dyDescent="0.15">
      <c r="A4" s="6" t="s">
        <v>6</v>
      </c>
      <c r="B4" s="7" t="s">
        <v>41</v>
      </c>
      <c r="C4" s="106"/>
      <c r="D4" s="106"/>
      <c r="E4" s="106"/>
      <c r="F4" s="106"/>
      <c r="G4" s="106"/>
      <c r="H4" s="106"/>
      <c r="I4" s="106"/>
      <c r="J4" s="106"/>
    </row>
    <row r="5" spans="1:11" ht="18.75" customHeight="1" x14ac:dyDescent="0.15">
      <c r="B5" s="140" t="s">
        <v>38</v>
      </c>
      <c r="C5" s="141"/>
      <c r="D5" s="142"/>
      <c r="E5" s="141" t="s">
        <v>40</v>
      </c>
      <c r="F5" s="141"/>
      <c r="G5" s="141"/>
      <c r="H5" s="141"/>
      <c r="I5" s="141"/>
      <c r="J5" s="142"/>
    </row>
    <row r="6" spans="1:11" ht="18.75" customHeight="1" x14ac:dyDescent="0.15">
      <c r="B6" s="11" t="s">
        <v>28</v>
      </c>
      <c r="C6" s="106"/>
      <c r="D6" s="109"/>
      <c r="I6" s="106"/>
      <c r="J6" s="109"/>
    </row>
    <row r="7" spans="1:11" ht="74.25" customHeight="1" x14ac:dyDescent="0.15">
      <c r="B7" s="110"/>
      <c r="C7" s="287" t="s">
        <v>29</v>
      </c>
      <c r="D7" s="288"/>
      <c r="E7" s="284" t="s">
        <v>185</v>
      </c>
      <c r="F7" s="285"/>
      <c r="G7" s="285"/>
      <c r="H7" s="285"/>
      <c r="I7" s="285"/>
      <c r="J7" s="286"/>
      <c r="K7" s="7" t="str">
        <f>IF(E7="","入力してください","")</f>
        <v/>
      </c>
    </row>
    <row r="8" spans="1:11" ht="67.5" customHeight="1" x14ac:dyDescent="0.15">
      <c r="B8" s="110"/>
      <c r="C8" s="282" t="s">
        <v>30</v>
      </c>
      <c r="D8" s="283"/>
      <c r="E8" s="284" t="s">
        <v>190</v>
      </c>
      <c r="F8" s="285"/>
      <c r="G8" s="285"/>
      <c r="H8" s="285"/>
      <c r="I8" s="285"/>
      <c r="J8" s="286"/>
      <c r="K8" s="7" t="str">
        <f>IF(E8="","入力してください","")</f>
        <v/>
      </c>
    </row>
    <row r="9" spans="1:11" ht="228" customHeight="1" x14ac:dyDescent="0.15">
      <c r="B9" s="110"/>
      <c r="C9" s="287" t="s">
        <v>31</v>
      </c>
      <c r="D9" s="288"/>
      <c r="E9" s="284" t="s">
        <v>196</v>
      </c>
      <c r="F9" s="285"/>
      <c r="G9" s="285"/>
      <c r="H9" s="285"/>
      <c r="I9" s="285"/>
      <c r="J9" s="286"/>
      <c r="K9" s="7" t="str">
        <f>IF(E9="","入力してください","")</f>
        <v/>
      </c>
    </row>
    <row r="10" spans="1:11" ht="59.25" customHeight="1" x14ac:dyDescent="0.15">
      <c r="B10" s="110"/>
      <c r="C10" s="287" t="s">
        <v>32</v>
      </c>
      <c r="D10" s="288"/>
      <c r="E10" s="284" t="s">
        <v>186</v>
      </c>
      <c r="F10" s="285"/>
      <c r="G10" s="285"/>
      <c r="H10" s="285"/>
      <c r="I10" s="285"/>
      <c r="J10" s="286"/>
      <c r="K10" s="7" t="str">
        <f t="shared" ref="K10:K14" si="0">IF(E10="","入力してください","")</f>
        <v/>
      </c>
    </row>
    <row r="11" spans="1:11" ht="63.75" customHeight="1" x14ac:dyDescent="0.15">
      <c r="B11" s="110"/>
      <c r="C11" s="287" t="s">
        <v>33</v>
      </c>
      <c r="D11" s="288"/>
      <c r="E11" s="284" t="s">
        <v>188</v>
      </c>
      <c r="F11" s="285"/>
      <c r="G11" s="285"/>
      <c r="H11" s="285"/>
      <c r="I11" s="285"/>
      <c r="J11" s="286"/>
      <c r="K11" s="7" t="str">
        <f t="shared" si="0"/>
        <v/>
      </c>
    </row>
    <row r="12" spans="1:11" ht="18.75" customHeight="1" x14ac:dyDescent="0.15">
      <c r="B12" s="111" t="s">
        <v>34</v>
      </c>
      <c r="C12" s="112"/>
      <c r="D12" s="113"/>
      <c r="E12" s="114"/>
      <c r="F12" s="114"/>
      <c r="G12" s="114"/>
      <c r="H12" s="114"/>
      <c r="I12" s="114"/>
      <c r="J12" s="115"/>
    </row>
    <row r="13" spans="1:11" ht="123" customHeight="1" x14ac:dyDescent="0.15">
      <c r="B13" s="110"/>
      <c r="C13" s="287" t="s">
        <v>35</v>
      </c>
      <c r="D13" s="288"/>
      <c r="E13" s="285" t="s">
        <v>192</v>
      </c>
      <c r="F13" s="285"/>
      <c r="G13" s="285"/>
      <c r="H13" s="285"/>
      <c r="I13" s="285"/>
      <c r="J13" s="286"/>
      <c r="K13" s="7" t="str">
        <f t="shared" si="0"/>
        <v/>
      </c>
    </row>
    <row r="14" spans="1:11" ht="62.25" customHeight="1" x14ac:dyDescent="0.15">
      <c r="B14" s="110"/>
      <c r="C14" s="287" t="s">
        <v>36</v>
      </c>
      <c r="D14" s="288"/>
      <c r="E14" s="285" t="s">
        <v>194</v>
      </c>
      <c r="F14" s="285"/>
      <c r="G14" s="285"/>
      <c r="H14" s="285"/>
      <c r="I14" s="285"/>
      <c r="J14" s="286"/>
      <c r="K14" s="7" t="str">
        <f t="shared" si="0"/>
        <v/>
      </c>
    </row>
    <row r="15" spans="1:11" ht="103.5" customHeight="1" x14ac:dyDescent="0.15">
      <c r="B15" s="295" t="s">
        <v>37</v>
      </c>
      <c r="C15" s="296"/>
      <c r="D15" s="288"/>
      <c r="E15" s="285" t="s">
        <v>193</v>
      </c>
      <c r="F15" s="285"/>
      <c r="G15" s="285"/>
      <c r="H15" s="285"/>
      <c r="I15" s="285"/>
      <c r="J15" s="286"/>
      <c r="K15" s="7" t="str">
        <f>IF(E15="","入力してください","")</f>
        <v/>
      </c>
    </row>
    <row r="16" spans="1:11" ht="85.5" customHeight="1" x14ac:dyDescent="0.15">
      <c r="A16" s="7"/>
      <c r="B16" s="289" t="s">
        <v>66</v>
      </c>
      <c r="C16" s="290"/>
      <c r="D16" s="291"/>
      <c r="E16" s="279" t="s">
        <v>191</v>
      </c>
      <c r="F16" s="279"/>
      <c r="G16" s="279"/>
      <c r="H16" s="279"/>
      <c r="I16" s="279"/>
      <c r="J16" s="280"/>
      <c r="K16" s="7" t="str">
        <f>IF(E16="","入力してください","")</f>
        <v/>
      </c>
    </row>
    <row r="17" spans="1:11" ht="7.5" customHeight="1" x14ac:dyDescent="0.15">
      <c r="B17" s="106"/>
      <c r="C17" s="106"/>
      <c r="D17" s="106"/>
      <c r="E17" s="106"/>
      <c r="F17" s="106"/>
      <c r="G17" s="106"/>
      <c r="H17" s="106"/>
      <c r="I17" s="106"/>
      <c r="J17" s="106"/>
    </row>
    <row r="18" spans="1:11" ht="18.75" customHeight="1" x14ac:dyDescent="0.15">
      <c r="A18" s="6" t="s">
        <v>124</v>
      </c>
      <c r="B18" s="7"/>
      <c r="C18" s="106"/>
      <c r="D18" s="106"/>
      <c r="E18" s="106"/>
      <c r="F18" s="100"/>
      <c r="G18" s="292" t="s">
        <v>215</v>
      </c>
      <c r="H18" s="293"/>
      <c r="I18" s="293"/>
      <c r="J18" s="294"/>
      <c r="K18" s="7" t="str">
        <f>IF(G18="","入力してください","")</f>
        <v/>
      </c>
    </row>
    <row r="19" spans="1:11" ht="22.5" customHeight="1" x14ac:dyDescent="0.15">
      <c r="B19" s="106"/>
      <c r="C19" s="106"/>
      <c r="D19" s="106"/>
      <c r="E19" s="106"/>
      <c r="F19" s="106"/>
      <c r="G19" s="106"/>
      <c r="H19" s="106"/>
      <c r="I19" s="106"/>
      <c r="J19" s="106"/>
    </row>
    <row r="20" spans="1:11" ht="22.5" customHeight="1" x14ac:dyDescent="0.15">
      <c r="B20" s="106"/>
      <c r="C20" s="106"/>
      <c r="D20" s="106"/>
      <c r="E20" s="106"/>
      <c r="F20" s="106"/>
      <c r="G20" s="106"/>
      <c r="H20" s="106"/>
      <c r="I20" s="106"/>
      <c r="J20" s="106"/>
    </row>
    <row r="21" spans="1:11" ht="22.5" customHeight="1" x14ac:dyDescent="0.15">
      <c r="B21" s="106"/>
      <c r="C21" s="106"/>
      <c r="D21" s="106"/>
      <c r="E21" s="106"/>
      <c r="F21" s="106"/>
      <c r="G21" s="106"/>
      <c r="H21" s="106"/>
      <c r="I21" s="106"/>
      <c r="J21" s="106"/>
    </row>
    <row r="22" spans="1:11" ht="22.5" customHeight="1" x14ac:dyDescent="0.15">
      <c r="B22" s="106"/>
      <c r="C22" s="106"/>
      <c r="D22" s="106"/>
      <c r="E22" s="106"/>
      <c r="F22" s="106"/>
      <c r="G22" s="106"/>
      <c r="H22" s="106"/>
      <c r="I22" s="106"/>
      <c r="J22" s="106"/>
    </row>
    <row r="23" spans="1:11" ht="22.5" customHeight="1" x14ac:dyDescent="0.15">
      <c r="B23" s="106"/>
      <c r="C23" s="106"/>
      <c r="D23" s="106"/>
      <c r="E23" s="106"/>
      <c r="F23" s="106"/>
      <c r="G23" s="106"/>
      <c r="H23" s="106"/>
      <c r="I23" s="106"/>
      <c r="J23" s="106"/>
    </row>
    <row r="24" spans="1:11" ht="22.5" customHeight="1" x14ac:dyDescent="0.15">
      <c r="B24" s="61"/>
      <c r="C24" s="61"/>
      <c r="D24" s="61"/>
      <c r="E24" s="61"/>
      <c r="F24" s="61"/>
      <c r="G24" s="61"/>
      <c r="H24" s="61"/>
      <c r="I24" s="61"/>
      <c r="J24" s="61"/>
    </row>
    <row r="25" spans="1:11" ht="22.5" customHeight="1" x14ac:dyDescent="0.15">
      <c r="B25" s="61"/>
      <c r="C25" s="61"/>
      <c r="D25" s="61"/>
      <c r="E25" s="61"/>
      <c r="F25" s="61"/>
      <c r="G25" s="61"/>
      <c r="H25" s="61"/>
      <c r="I25" s="61"/>
      <c r="J25" s="61"/>
    </row>
    <row r="26" spans="1:11" ht="22.5" customHeight="1" x14ac:dyDescent="0.15">
      <c r="B26" s="61"/>
      <c r="C26" s="61"/>
      <c r="D26" s="61"/>
      <c r="E26" s="61"/>
      <c r="F26" s="61"/>
      <c r="G26" s="61"/>
      <c r="H26" s="61"/>
      <c r="I26" s="61"/>
      <c r="J26" s="61"/>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23622047244094491" right="0.23622047244094491" top="0.74803149606299213" bottom="0.74803149606299213" header="0.31496062992125984" footer="0.31496062992125984"/>
  <pageSetup paperSize="9"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隼田　陽一郎</cp:lastModifiedBy>
  <cp:lastPrinted>2022-05-31T09:24:25Z</cp:lastPrinted>
  <dcterms:created xsi:type="dcterms:W3CDTF">2011-06-14T05:32:50Z</dcterms:created>
  <dcterms:modified xsi:type="dcterms:W3CDTF">2022-07-06T07:04:01Z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