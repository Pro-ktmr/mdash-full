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C:\Users\ikami\Desktop\東北工業大学\"/>
    </mc:Choice>
  </mc:AlternateContent>
  <xr:revisionPtr revIDLastSave="0" documentId="13_ncr:1_{FCCCFE19-AB8E-43E9-8CA9-6B05ACD3AAF2}" xr6:coauthVersionLast="36" xr6:coauthVersionMax="47" xr10:uidLastSave="{00000000-0000-0000-0000-000000000000}"/>
  <bookViews>
    <workbookView xWindow="0" yWindow="0" windowWidth="38400" windowHeight="1753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<sst xmlns="http://schemas.openxmlformats.org/spreadsheetml/2006/main" count="333" uniqueCount="217">
  <si>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</si>
  <si>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</si>
  <si>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</si>
  <si>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</si>
  <si>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</si>
  <si>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</si>
  <si>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</si>
  <si>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</si>
  <si>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</si>
  <si>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</si>
  <si>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</si>
  <si>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</si>
  <si>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</si>
  <si>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</si>
  <si>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</si>
  <si>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</si>
  <si>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</si>
  <si>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</si>
  <si>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</si>
  <si>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</si>
  <si>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</si>
  <si>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</si>
  <si>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</si>
  <si>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</si>
  <si>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</si>
  <si>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</si>
  <si>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</si>
  <si>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</si>
  <si>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</si>
  <si>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</si>
  <si>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</si>
  <si>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</si>
  <si>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</si>
  <si>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</si>
  <si>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</si>
  <si>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</si>
  <si>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</si>
  <si>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</si>
  <si>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</si>
  <si>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</si>
  <si>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</si>
  <si>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</si>
  <si>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</si>
  <si>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</si>
  <si>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</si>
  <si>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</si>
  <si>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</si>
  <si>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</si>
  <si>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</si>
  <si>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</si>
  <si>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</si>
  <si>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</si>
  <si>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</si>
  <si>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</si>
  <si>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</si>
  <si>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</si>
  <si>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</si>
  <si>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</si>
  <si>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</si>
  <si>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</si>
  <si>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</si>
  <si>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</si>
  <si>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</si>
  <si>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</si>
  <si>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</si>
  <si>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</si>
  <si>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</si>
  <si>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</si>
  <si>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</si>
  <si>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</si>
  <si>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</si>
  <si>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</si>
  <si>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</si>
  <si>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</si>
  <si>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</si>
  <si>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</si>
  <si>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</si>
  <si>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</si>
  <si>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</si>
  <si>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</si>
  <si>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</si>
  <si>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</si>
  <si>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</si>
  <si>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</si>
  <si>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</si>
  <si>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</si>
  <si>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</si>
  <si>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</si>
  <si>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</si>
  <si>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</si>
  <si>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</si>
  <si>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</si>
  <si>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</si>
  <si>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</si>
  <si>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</si>
  <si>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</si>
  <si>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</si>
  <si>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</si>
  <si>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</si>
  <si>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</si>
  <si>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</si>
  <si>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</si>
  <si>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</si>
  <si>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</si>
  <si>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</si>
  <si>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</si>
  <si>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</si>
  <si>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</si>
  <si>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</si>
  <si>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</si>
  <si>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</si>
  <si>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</si>
  <si>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</si>
  <si>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</si>
  <si>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</si>
  <si>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</si>
  <si>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</si>
  <si>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</si>
  <si>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</si>
  <si>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</si>
  <si>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</si>
  <si>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</si>
  <si>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</si>
  <si>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</si>
  <si>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</si>
  <si>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</si>
  <si>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</si>
  <si>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</si>
  <si>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</si>
  <si>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</si>
  <si>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</si>
  <si>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</si>
  <si>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</si>
  <si>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</si>
  <si>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</si>
  <si>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</si>
  <si>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</si>
  <si>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</si>
  <si>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</si>
  <si>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</si>
  <si>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</si>
  <si>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</si>
  <si>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</si>
  <si>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</si>
  <si>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</si>
  <si>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</si>
  <si>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</si>
  <si>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</si>
  <si>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</si>
  <si>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</si>
  <si>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</si>
  <si>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</si>
  <si>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</si>
  <si>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</si>
  <si>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東北工業大学</t>
    <phoneticPr fontId="1"/>
  </si>
  <si>
    <t>学校法人東北工業大学</t>
    <phoneticPr fontId="1"/>
  </si>
  <si>
    <t>私立大学</t>
  </si>
  <si>
    <t>宮城県仙台市太白区八木山香澄町３５番１号</t>
    <phoneticPr fontId="1"/>
  </si>
  <si>
    <t>人工知能総論</t>
  </si>
  <si>
    <t>人工知能総論</t>
    <phoneticPr fontId="1"/>
  </si>
  <si>
    <t>令和３</t>
    <phoneticPr fontId="1"/>
  </si>
  <si>
    <t>無</t>
  </si>
  <si>
    <t>木戸　博</t>
    <phoneticPr fontId="1"/>
  </si>
  <si>
    <t>AI教育推進室長、教授</t>
    <phoneticPr fontId="1"/>
  </si>
  <si>
    <t>AI教育推進室</t>
    <phoneticPr fontId="1"/>
  </si>
  <si>
    <t>大学自己評価委員会</t>
    <phoneticPr fontId="1"/>
  </si>
  <si>
    <t>渡邉　浩文</t>
    <phoneticPr fontId="1"/>
  </si>
  <si>
    <t>学長</t>
    <phoneticPr fontId="1"/>
  </si>
  <si>
    <t>認定教育プログラムと認定教育プログラム+（プラス）</t>
  </si>
  <si>
    <t>教務学生課</t>
    <phoneticPr fontId="1"/>
  </si>
  <si>
    <t>伊神 和希</t>
    <phoneticPr fontId="1"/>
  </si>
  <si>
    <t>ikami@tohtech.ac.jp</t>
    <phoneticPr fontId="1"/>
  </si>
  <si>
    <t>022-305-3125</t>
    <phoneticPr fontId="1"/>
  </si>
  <si>
    <t>学部・学科によって、修了要件は相違しない</t>
  </si>
  <si>
    <t>人工知能総論の単位（1単位）を必修科目として取得すること。</t>
    <phoneticPr fontId="1"/>
  </si>
  <si>
    <t>○</t>
  </si>
  <si>
    <t>全学開講</t>
  </si>
  <si>
    <t>4-1統計および数理基礎</t>
  </si>
  <si>
    <t>4‐6画像解析</t>
  </si>
  <si>
    <t>4‐7データハンドリング</t>
  </si>
  <si>
    <t>https://www.tohtech.ac.jp/dept/ai/</t>
    <phoneticPr fontId="1"/>
  </si>
  <si>
    <t>工学部　</t>
    <phoneticPr fontId="1"/>
  </si>
  <si>
    <t>建築学部　</t>
    <phoneticPr fontId="1"/>
  </si>
  <si>
    <t>ライフデザイン学部　</t>
    <phoneticPr fontId="1"/>
  </si>
  <si>
    <t>AI教育推進室運営規程</t>
    <phoneticPr fontId="1"/>
  </si>
  <si>
    <t>東北工業大学におけるＡＩ教育を推進することを目的とする。</t>
    <phoneticPr fontId="1"/>
  </si>
  <si>
    <t>リテラシーレベルの履修科目は、人工知能総論に集約しており、教養科目として全学部・全学科の1年生の必修科目となっている。オンデマンドによる講義動画をリモート受講するシステムであり、理解度確認テストも、オンラインテストが可能なシステムとしている。</t>
    <phoneticPr fontId="1"/>
  </si>
  <si>
    <t>必修科目としており、全学部・全学科の1年生が履修登録するようにしている。
本学の学生便覧にも、各学部の教養教育科目に明記し、入学時のガイダンスでも周知している。
また、本学のAI教育に対する取組の専用WEBページも用意し周知している。</t>
    <phoneticPr fontId="1"/>
  </si>
  <si>
    <t>授業コンテンツはLMS上で展開されているオンデマンドによる授業であるため、履修している学生（全学部の1年生）が、受講後であればいつでも授業の内容について閲覧が可能な環境を構築している。また、全学科の1名以上の教員が、授業を担当しており、各学科の履修学生をサポート出来る体制としている。</t>
    <phoneticPr fontId="1"/>
  </si>
  <si>
    <t>授業コンテンツはLMS上で展開されているオンデマンドによる授業であるため、履修している学生（全学部の1年生）が受講後であれば前期の期間中、授業の内容について閲覧が可能な環境を構築している。その期間であれば、授業時間内外でも授業担当教員へメール等で質問可能としている。</t>
    <phoneticPr fontId="1"/>
  </si>
  <si>
    <t>LMSを利用して、出席確認や授業の各コマ毎に確認テストを行って理解度確認を行っている。LMSを活用し受講者ごとに出席状況や試験の点数を把握している。これらの点検をもとに，授業実施形態などの改善に結び付けている。
【事実の説明】
令和３年度の履修率は、27.7％（履修者843名/全学定員3040名）であり、1年目の目標（25％）以上となっている。
また、修得率は、91.9％（修得者775名/履修者843名）であり、目標（90％）以上となっている。</t>
    <phoneticPr fontId="1"/>
  </si>
  <si>
    <t>本教育プログラムの授業内容と学修成果に関する点検・評価は，ＡＩ教育推進委員会と自己点検・評価委員会が協働で行っている。
本教育プログラムの目標とする学修成果は、各科目のシラバス中に授業の達成目標として明記し示している。また，LMSから提供される各授業科目の成績分布や、受講者全員に対して行う授業評価アンケート結果をもとに，学生の理解度と学修成果の獲得状況を点検することによって、授業内容と教育方法及び評価方法の改善を図っている。
【事実の説明】
授業評価アンケート
　質問：この授業で新しい知識・考え方・スキル等を修得出来ましたか。
　回答：75．6％が、「確かにそう思う。」、「どちらかというとそう思う。」</t>
    <phoneticPr fontId="1"/>
  </si>
  <si>
    <t>本教育プログラム（「人工知能総論」）の授業コンテンツはLMSで管理している。各授業において毎回確認テストを用意し学生の内容の理解度を把握している。
さらに受講者全員に対して授業評価アンケートを実施しており，説明や提示資料のわかりやすさ等を分析し，授業内容や授業方法の改善に活かしている。
【事実の説明】
授業評価アンケート
　質問：示された教材、及びその説明は理解しやすかったですか。
　回答：57.1％が、「理解しやすかった。」、「少し理解しやすかった。」</t>
    <phoneticPr fontId="1"/>
  </si>
  <si>
    <t>本教育プログラム（「人工知能総論」）は、全学部1年生の必修科目となっているため、原則、全学部1年生が履修することを想定している。４年間で100％（全学定員に対して）の履修率を計画しており、初年度では履修率25％を目標としている。
令和３年度は、843名が受講しており定員に対し27.7％に達し順調である。
【事実の説明】
令和３年度の履修率は、27.7％（履修者844名/全学定員3040名）であり、1年目の目標（25％）以上となっている。
また、修得率は、91.8％（修得者775名/履修者844名）であり、目標（90％）以上となっている。</t>
    <phoneticPr fontId="1"/>
  </si>
  <si>
    <t>令和3年度より全学部1年生必修科目として実施しているため、令和７年度以降に本教育プログラム修了者の進路調査を行い、活躍状況、企業等の評価を把握する仕組みを計画している。</t>
    <phoneticPr fontId="1"/>
  </si>
  <si>
    <t>本学の外部評価委員会にて、本学のAI教育の状況を説明し、外部委員から本プログラムの取り組みへの提言をいただき機会を設けた。今後も定期的に意見を頂く体制としている。
【事実の説明】
外部評価委員会　令和３年１１月２９日（月）　１５：００～１７：００
　議事①大学側説明
　　　　　・AI教育の状況</t>
    <phoneticPr fontId="1"/>
  </si>
  <si>
    <t>本学は数理・データサイエンス教育強化拠点コンソーシアムに参画しており、他大学の授業内容や学生アンケート・担当教員アンケート等の意見を参考に、授業の内容，実施方法の見直し，改善をしており，今後も継続する予定である。
【事実の説明】
  令和３年７月６日　数理・データサイエンス教育強化拠点コンソーシアム会員校（連携校）　承認</t>
    <phoneticPr fontId="1"/>
  </si>
  <si>
    <t xml:space="preserve">https://www.tohtech.ac.jp/dept/ai/ </t>
    <phoneticPr fontId="1"/>
  </si>
  <si>
    <t>本プログラムでは、以下の独自の学習支援を実施している。
・　「人工知能総論」は、全学部全学科必修の講義となっており、学科の専門に関係ない産業分野でのデータ・AI利活用では、学生が興味が持てない。そのため、各学科の教員が各学科に関連する産業分野でのデータ・AI利活用の講義を行い、全学科が関連することを意識させている。
・　本学は、AI構築に有用なプログラミング環境「MATLAB」の包括契約を締結しており、全学生が「MATLAB」を利用できる環境にしている。
その環境を活用した
　・人工知能総論（１０）MATLAB による統計解析（記述統計）
　・人工知能総論（１１）MATLAB による統計解析（データ近似）
　・人工知能総論（１２）MATLAB による機械学習（ワークフロー）
　・人工知能総論（１３）MATLAB による機械学習（分類モデル）
を講義し、MATLAB環境にて数理・データサイエンス・AIのリテラシーを学習させている。</t>
    <phoneticPr fontId="1"/>
  </si>
  <si>
    <t>・研究開発、製造、物流、マーケティング、サービスなど　「人工知能総論」（１回目）
・データ・AI活用領域の広がり(生産、消費、文化活動など)、製造、物流、販売、サービス、原因究明、計画策定、判断支援、活動代替　「人工知能総論」（2回目）
・物流、原因究明、計画策定、判断支援、活動代替　「人工知能総論」（3回目）
・研究開発、製造、マーケティング、サービス　「人工知能総論」（4回目）
・判断支援、活動代替、新規生成　「人工知能総論」（５回目）</t>
    <rPh sb="120" eb="122">
      <t>ブツリュウ</t>
    </rPh>
    <rPh sb="123" eb="125">
      <t>ゲンイン</t>
    </rPh>
    <rPh sb="125" eb="127">
      <t>キュウメイ</t>
    </rPh>
    <rPh sb="128" eb="130">
      <t>ケイカク</t>
    </rPh>
    <rPh sb="130" eb="132">
      <t>サクテイ</t>
    </rPh>
    <rPh sb="133" eb="135">
      <t>ハンダン</t>
    </rPh>
    <rPh sb="135" eb="137">
      <t>シエン</t>
    </rPh>
    <rPh sb="138" eb="140">
      <t>カツドウ</t>
    </rPh>
    <rPh sb="140" eb="142">
      <t>ダイタイ</t>
    </rPh>
    <rPh sb="158" eb="160">
      <t>ケンキュウ</t>
    </rPh>
    <rPh sb="160" eb="162">
      <t>カイハツ</t>
    </rPh>
    <rPh sb="163" eb="165">
      <t>セイゾウ</t>
    </rPh>
    <phoneticPr fontId="1"/>
  </si>
  <si>
    <t>・流通、製造、金融、サービスにおけるデータ・AI利活用事例紹介　　「人工知能総論」（1回目）
・流通、製造、サービス、インフラ、公共におけるデータ・AI利活用事例紹介　　「人工知能総論」（2回目）
・サービス、インフラ、公共におけるデータ・AI利活用事例紹介　　「人工知能総論」（3回目）
・サービス、公共、ヘルスケアにおけるデータ・AI利活用事例紹介　　「人工知能総論」（4回目）
・サービス、、インフラ公共、ヘルスケアにおけるデータ・AI利活用事例紹介　　「人工知能総論」（5回目）</t>
    <phoneticPr fontId="1"/>
  </si>
  <si>
    <t>・AI最新技術の活用例（強化学習）　「人工知能総論」（１回目）
・AI等を活用した新しいビジネスモデル(無人レジサービス、商品レコメンド）　「人工知能総論」（2回目）
・AI等を活用した新しいビジネスモデル（路面下の空洞調査サービス)　「人工知能総論」（3回目）
・AI等を活用した新しいビジネスモデル（AI問診サービス)　「人工知能総論」（4回目）
・AI等を活用した新しいビジネスモデル（オンデマンド行動検出サービス)、AI最新技術の活用例（深層生成モデル、敵対的生成ネットワーク、）　「人工知能総論」（5回目）</t>
    <rPh sb="104" eb="106">
      <t>ロメン</t>
    </rPh>
    <rPh sb="106" eb="107">
      <t>カ</t>
    </rPh>
    <rPh sb="108" eb="110">
      <t>クウドウ</t>
    </rPh>
    <rPh sb="110" eb="112">
      <t>チョウサ</t>
    </rPh>
    <rPh sb="202" eb="204">
      <t>コウドウ</t>
    </rPh>
    <rPh sb="204" eb="206">
      <t>ケンシュツ</t>
    </rPh>
    <phoneticPr fontId="1"/>
  </si>
  <si>
    <t>・ELSI（Ethical, Legal and Social Issues）、個人情報保護、EU一般データ保護規則(GDPR)、データ倫理：（データのねつ造、改ざん、盗用）、プライバシー保護、AI社会原則（公平性、説明責任、透明性、人間中心の判断）、データバイアス、アルゴリズムバイアス、データ・AI活用における負の事例紹介　　「人工知能総論」（9回目）</t>
    <phoneticPr fontId="1"/>
  </si>
  <si>
    <t>・情報セキュリティ、匿名加工情報、暗号化、パスワード、悪意ある情報搾取、情報漏洩等によるセキュリティ事故の事例紹介　「人工知能総論」（9回目）</t>
    <phoneticPr fontId="1"/>
  </si>
  <si>
    <t>・データ表現（棒グラフ、折線グラフ、散布図）、データの比較（条件をそろえた比較、処理の前後での比較）　「人工知能総論」（7回目）
・データ表現（棒グラフ、折線グラフ、散布図）、データの図表表現（チャート化）、データの比較（条件をそろえた比較、処理の前後での比較）　「人工知能総論」（8回目）</t>
    <phoneticPr fontId="1"/>
  </si>
  <si>
    <t>・データの種類（量的変数、質的変数）、データの分布(ヒストグラム)と代表値（平均値、中央値、最頻値）、代表値の性質の違い（実社会では平均値＝最頻値でないことが多い）、データのばらつき（分散、標準偏差、偏差値）　　「人工知能総論」（6回目）
・相関と因果（相関係数、擬似相関、交絡）、母集団と標本抽出（国勢調査、アンケート調査、全数調査、単純無作為抽出）　　「人工知能総論」（7回目）
・相関係数行列　「人工知能総論」（8回目）
・データの分布(ヒストグラム)と代表値（平均値、中央値、最頻値）、データのばらつき（分散、標準偏差、偏差値）、相関と因果（相関係数）、相関係数行列　　「人工知能総論」（10回目）</t>
    <phoneticPr fontId="1"/>
  </si>
  <si>
    <t>・データ解析：（予測、グルーピング、最適化）、非構造化データ処理：（言語処理、画像/動画処理、音声/音楽処理）、今のAIで出来ることと出来ないこと　「人工知能総論」（１回目）
・データ解析：（予測、グルーピング、パターン発見、最適化）、非構造化データ処理：画像/動画処理、特化型AIと汎用AI、今のAIで出来ることと出来ないこと、AIとビッグデータ、、自動化技術　「人工知能総論」（2回目）
・データ可視化：（関係性の可視化、地図上の可視化、挙動・軌跡の可視化、、リアルタイム可視化）、非構造化データ処理：画像/動画処理　「人工知能総論」（3回目）
・データ可視化：（関係性の可視化）、非構造化データ処理：言語処理、特化型AIと汎用AI、今のAIで出来ることと出来ないこと　「人工知能総論」（4回目）
・非構造化データ処理：画像/動画処理、今のAIで出来ることと出来ないこと、認識技術　「人工知能総論」（5回目）</t>
    <rPh sb="388" eb="390">
      <t>ニンシキ</t>
    </rPh>
    <rPh sb="390" eb="392">
      <t>ギジュツ</t>
    </rPh>
    <phoneticPr fontId="1"/>
  </si>
  <si>
    <t>・ビッグデータ、IoT、ロボット、データ量の増加、計算機の処理能力の向上、人間の知的活動とAIの関係性、データ駆動型社会、データを起点としたものの見方　「人工知能総論」（１回目）
・ビッグデータ、ロボット、データ量の増加、計算機の処理能力の向上　「人工知能総論」（２回目）
・ビッグデータ、IoT、AI、ロボット、Society 5.0　「人工知能総論」（3回目）
・人間の知的活動とAIの関係性　「人工知能総論」（4回目）
・人間の知的活動とAIの関係性　「人工知能総論」（5回目）</t>
    <rPh sb="20" eb="21">
      <t>リョウ</t>
    </rPh>
    <rPh sb="22" eb="24">
      <t>ゾウカ</t>
    </rPh>
    <rPh sb="25" eb="28">
      <t>ケイサンキ</t>
    </rPh>
    <rPh sb="29" eb="31">
      <t>ショリ</t>
    </rPh>
    <rPh sb="31" eb="33">
      <t>ノウリョク</t>
    </rPh>
    <rPh sb="34" eb="36">
      <t>コウジョウ</t>
    </rPh>
    <rPh sb="86" eb="88">
      <t>カイメ</t>
    </rPh>
    <phoneticPr fontId="1"/>
  </si>
  <si>
    <t>・調査データ、実験データ、人の行動ログデータ、機械の稼働ログデータ、1次データ、2次データ、データのメタ化、構造化データ、非構造化データ（文章、画像/動画、音声/音楽など）、データ作成（ビッグデータとアノテーション）、データのオープン化（オープンデータ）　「人工知能総論」（１回目）
・非構造化データ（画像/動画、音声/音楽）　「人工知能総論」（2回目）
・構造化データ、非構造化データ（画像/動画、音声/音楽）　「人工知能総論」（3回目）
・機械の稼働ログデータ、非構造化データ（文章）　「人工知能総論」（4回目）
・非構造化データ（文章、画像/動画、音声/音楽）　「人工知能総論」（5回目）</t>
    <phoneticPr fontId="1"/>
  </si>
  <si>
    <t>・データの集計（和、平均）、データの並び替え、ランキング、データ解析ツール（スプレッドシート）、表形式のデータ（csv）　　「人工知能総論」（8回目）
・</t>
    <phoneticPr fontId="1"/>
  </si>
  <si>
    <t>リテラシーレベルの履修科目は、人工知能総論に集約しており、令和3年度より全学部・全学科の1年生の必修科目となっている。そのため、4年間で、全学生が履修する計画である。
学科の専門に関係ない産業分野でのデータ・AI利活用の講義では、学生が興味を持たない可能性がある。そのため、各学科の教員が各学科に関連する産業分野でのデータ・AI利活用の講義を行い、全学科が関連することを意識させている。</t>
    <rPh sb="110" eb="112">
      <t>コウギ</t>
    </rPh>
    <rPh sb="125" eb="128">
      <t>カノウセイ</t>
    </rPh>
    <phoneticPr fontId="1"/>
  </si>
  <si>
    <t>東北工業大学　AI教育プログラム（リテラシーレベル）</t>
    <rPh sb="0" eb="2">
      <t>トウホク</t>
    </rPh>
    <rPh sb="2" eb="4">
      <t>コウギョウ</t>
    </rPh>
    <rPh sb="4" eb="6">
      <t>ダイガク</t>
    </rPh>
    <rPh sb="9" eb="11">
      <t>キョウイク</t>
    </rPh>
    <phoneticPr fontId="1"/>
  </si>
  <si>
    <t>本学の本教育プログラムは，全学部全学科の専任教員1名以上が担当教員となり，オムニバス形式で「人工知能総論」の1コマを担当している。動画コンテンツを利用することによりモデルカリキュラムリテラシーレベルに準じた内容を展開するとともに，数理・データサイエンス・AIが学生が所属する学部・学科の領域で活用されている最新の事例・実例などを、その学部の専任教員が授業し、学生にとっては興味を持ちやすい内容となっている。
【事実の説明】
　人工知能総論　
　　　第1回　工学部情報通信工学科　教員担当
　　　第2回　工学部電気電子工学科　教員担当（前半）、工学部情報通信工学科　教員担当（後半）
　　　第3回　建築学部建築学科　教員担当（前半）、工学部都市マネージメント学科　教員担当（後半）
　　　第4回　工学部環境応用化学科　教員担当（前半）、
　　　　　　　 ライフデザイン学部経営コミュニケーション学科　教員担当（後半）
　　　第5回　ライフデザイン学部産業デザイン学科　教員担当（前半）、
                 ライフデザイン学部生活デザイン学科　教員担当（後半）
　　  第6回、 第7回、 第8回　学修支援センター　学修支援職員担当
　　　第9回、 第10回、 第11回、第12回、第13回　非常勤講師担当
　　　第14回　工学部情報通信工学科　教員担当</t>
    <rPh sb="255" eb="257">
      <t>デンキ</t>
    </rPh>
    <rPh sb="507" eb="508">
      <t>シュウ</t>
    </rPh>
    <rPh sb="519" eb="521">
      <t>ショクイン</t>
    </rPh>
    <phoneticPr fontId="1"/>
  </si>
  <si>
    <t>AI教育推進室 室長（兼務） ： 工学部情報通信工学科　　　　　       教授　　 木戸　博
同　　室員（兼務） ： 工学部電気電子工学科　　　　　　　              准教授　中山　英久
同　　室員（兼務） ： 工学部電気電子工学科　　　　　　　              准教授　室山　真徳
同　　室員（兼務） ： 工学部情報通信工学科　　　　　　　              准教授　井上　雅史
同　　室員（兼務） ： 工学部都市マネジメント学科　　　　               講師　　菅原　景一
同　　室員（兼務） ： 工学部環境応用化学科　　　　　　　              准教授　多田　美香
同　　室員（兼務） ： 建築学部建築学科　　　　　　　　　　              教授　　船木　尚己
同　　室員（兼務） ： ライフデザイン学部産業デザイン学科　         准教授　長崎　智弘
同　　室員（兼務） ： ライフデザイン学部生活デザイン学科　         准教授　畠山　雄豪
同　　室員（兼務） ： ライフデザイン学部経営コミュニケーション学科　准教授　二瀬　由理
同　　参与（ＡＩ支援担当） ： （兼務）研究支援センター           事務長        守　 和彦
AI教育推進員会　委員長： 副学長（建築学部長）　　　　　　　　        教授　　石井　 敏
同　　 委　員 ： 副学長                    　　　　　　　                教授　　小林　正樹
同　　 委　員 ： 工学部長　　　　　　　                                 教授    工藤　栄亮
同　　 委　員 ： ライフデザイン学部長　　　　　　　　              教授    小祝　慶紀
同　　 委　員 ： 総合教育センター長　　　　　　　　　              教授    高橋　哲徳
同　　 委　員 ： 教務委員長　工学部情報通信工学科　        教授 　 田村　 英樹
同　　 委　員 ： ＡＩ教育推進室長　工学部情報通信工学科　  教授 　 木戸　 博
同　　 委　員 ： 大学事務局   　　 　                                  局長　  佐藤　 亨
同　　 委　員 ： 参与（ＡＩ支援担当） （兼務）研究支援センター  事務長   守　 和彦</t>
    <rPh sb="53" eb="54">
      <t>イン</t>
    </rPh>
    <phoneticPr fontId="1"/>
  </si>
  <si>
    <t>人工知能（AI, Artiﬁcial Intelligence）やデータサイエンス（データから価値を引き出す科学）とはどういうものか、 AI を取り巻く幅広い研究分野と応用について学び、AI が生む新たな価値を理解し、今後のデジタル社会において、 AI やデータサイエンスを日常の生活、仕事等の場で使いこなすことができる基礎的素養を主体的に身に付ける</t>
    <rPh sb="0" eb="1">
      <t>ジン</t>
    </rPh>
    <phoneticPr fontId="1"/>
  </si>
  <si>
    <t>○該当なし</t>
    <rPh sb="1" eb="3">
      <t>ガイトウ</t>
    </rPh>
    <phoneticPr fontId="1"/>
  </si>
  <si>
    <t>○該当なし</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</si>
</sst>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horizontal="left" vertical="top" wrapText="1" shrinkToFit="1"/>
    </xf>
    <xf numFmtId="0" fontId="9" fillId="0" borderId="20" xfId="0" applyFont="1" applyBorder="1" applyAlignment="1">
      <alignment horizontal="left" vertical="top" wrapText="1" shrinkToFit="1"/>
    </xf>
    <xf numFmtId="0" fontId="9" fillId="0" borderId="18" xfId="0" applyFont="1" applyBorder="1" applyAlignment="1">
      <alignment horizontal="left" vertical="top"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horizontal="left" vertical="top" wrapText="1" shrinkToFit="1"/>
    </xf>
    <xf numFmtId="0" fontId="9" fillId="0" borderId="38"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21" fillId="0" borderId="32" xfId="0" applyFont="1" applyBorder="1" applyAlignment="1">
      <alignment vertical="center" wrapTex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Fill="1" applyBorder="1" applyAlignment="1">
      <alignment vertical="top" wrapText="1" shrinkToFit="1"/>
    </xf>
    <xf numFmtId="0" fontId="9" fillId="0" borderId="9" xfId="0" applyFont="1" applyFill="1" applyBorder="1" applyAlignment="1">
      <alignment vertical="top" wrapText="1"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Fill="1" applyBorder="1" applyAlignment="1">
      <alignment horizontal="left" vertical="top" wrapText="1" shrinkToFit="1"/>
    </xf>
    <xf numFmtId="0" fontId="9" fillId="0" borderId="22" xfId="0" applyFont="1" applyFill="1" applyBorder="1" applyAlignment="1">
      <alignment horizontal="left" vertical="top" shrinkToFit="1"/>
    </xf>
    <xf numFmtId="0" fontId="9" fillId="0" borderId="21" xfId="0" applyFont="1" applyFill="1" applyBorder="1" applyAlignment="1">
      <alignment horizontal="left" vertical="top" shrinkToFit="1"/>
    </xf>
    <xf numFmtId="0" fontId="9" fillId="0" borderId="39" xfId="0" applyFont="1" applyFill="1" applyBorder="1" applyAlignment="1">
      <alignment horizontal="left" vertical="top" wrapText="1" shrinkToFit="1"/>
    </xf>
    <xf numFmtId="0" fontId="9" fillId="0" borderId="38" xfId="0" applyFont="1" applyFill="1" applyBorder="1" applyAlignment="1">
      <alignment horizontal="left" vertical="top" wrapText="1" shrinkToFit="1"/>
    </xf>
    <xf numFmtId="0" fontId="9" fillId="0" borderId="6" xfId="0" applyFont="1" applyBorder="1" applyAlignment="1">
      <alignment horizontal="left" vertical="top" shrinkToFit="1"/>
    </xf>
    <xf numFmtId="0" fontId="9" fillId="0" borderId="12" xfId="0" applyFont="1" applyBorder="1" applyAlignment="1">
      <alignment horizontal="left" vertical="top" shrinkToFit="1"/>
    </xf>
    <xf numFmtId="0" fontId="9" fillId="0" borderId="41" xfId="0" applyFont="1" applyBorder="1" applyAlignment="1">
      <alignment horizontal="left" vertical="top" wrapText="1" shrinkToFit="1"/>
    </xf>
    <xf numFmtId="0" fontId="9" fillId="0" borderId="41" xfId="0" applyFont="1" applyBorder="1" applyAlignment="1">
      <alignment horizontal="left" vertical="top" shrinkToFit="1"/>
    </xf>
    <xf numFmtId="0" fontId="9" fillId="0" borderId="42" xfId="0" applyFont="1" applyBorder="1" applyAlignment="1">
      <alignment horizontal="left" vertical="top"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3" fillId="0" borderId="2" xfId="2" applyFont="1" applyBorder="1" applyAlignment="1">
      <alignment horizontal="left" vertical="center" shrinkToFit="1"/>
    </xf>
    <xf numFmtId="0" fontId="23" fillId="0" borderId="3" xfId="2" applyFont="1" applyBorder="1" applyAlignment="1">
      <alignment horizontal="left" vertical="center" shrinkToFit="1"/>
    </xf>
    <xf numFmtId="0" fontId="23" fillId="0" borderId="4" xfId="2" applyFont="1" applyBorder="1" applyAlignment="1">
      <alignment horizontal="left" vertical="center" shrinkToFit="1"/>
    </xf>
    <xf numFmtId="0" fontId="8" fillId="0" borderId="20"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kami@tohtech.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ohtech.ac.jp/dept/a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ohtech.ac.jp/dept/ai/"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S33" sqref="S33"/>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9" t="s">
        <v>26</v>
      </c>
      <c r="N1" s="139"/>
    </row>
    <row r="2" spans="1:15" ht="24" customHeight="1" x14ac:dyDescent="0.15">
      <c r="A2" s="143" t="s">
        <v>87</v>
      </c>
      <c r="B2" s="143"/>
      <c r="C2" s="143"/>
      <c r="D2" s="143"/>
      <c r="E2" s="143"/>
      <c r="F2" s="143"/>
      <c r="G2" s="143"/>
      <c r="H2" s="143"/>
      <c r="I2" s="143"/>
      <c r="J2" s="143"/>
      <c r="K2" s="143"/>
      <c r="L2" s="143"/>
      <c r="M2" s="143"/>
      <c r="N2" s="143"/>
    </row>
    <row r="3" spans="1:15" ht="24" customHeight="1" x14ac:dyDescent="0.15"/>
    <row r="4" spans="1:15" ht="24" customHeight="1" x14ac:dyDescent="0.15">
      <c r="A4" s="14" t="s">
        <v>6</v>
      </c>
      <c r="B4" s="15" t="s">
        <v>17</v>
      </c>
      <c r="C4" s="129" t="s">
        <v>154</v>
      </c>
      <c r="D4" s="130"/>
      <c r="E4" s="130"/>
      <c r="F4" s="130"/>
      <c r="G4" s="130"/>
      <c r="H4" s="130"/>
      <c r="I4" s="130"/>
      <c r="J4" s="130"/>
      <c r="K4" s="130"/>
      <c r="L4" s="130"/>
      <c r="M4" s="130"/>
      <c r="N4" s="131"/>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29" t="s">
        <v>155</v>
      </c>
      <c r="E6" s="130"/>
      <c r="F6" s="130"/>
      <c r="G6" s="130"/>
      <c r="H6" s="131"/>
      <c r="I6" s="17" t="s">
        <v>90</v>
      </c>
      <c r="J6" s="37" t="s">
        <v>91</v>
      </c>
      <c r="K6" s="129" t="s">
        <v>156</v>
      </c>
      <c r="L6" s="130"/>
      <c r="M6" s="130"/>
      <c r="N6" s="131"/>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29" t="s">
        <v>157</v>
      </c>
      <c r="D8" s="130"/>
      <c r="E8" s="130"/>
      <c r="F8" s="130"/>
      <c r="G8" s="130"/>
      <c r="H8" s="130"/>
      <c r="I8" s="130"/>
      <c r="J8" s="130"/>
      <c r="K8" s="130"/>
      <c r="L8" s="130"/>
      <c r="M8" s="130"/>
      <c r="N8" s="131"/>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44" t="s">
        <v>211</v>
      </c>
      <c r="F10" s="145"/>
      <c r="G10" s="145"/>
      <c r="H10" s="145"/>
      <c r="I10" s="145"/>
      <c r="J10" s="145"/>
      <c r="K10" s="145"/>
      <c r="L10" s="145"/>
      <c r="M10" s="145"/>
      <c r="N10" s="146"/>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47" t="s">
        <v>160</v>
      </c>
      <c r="F12" s="148"/>
      <c r="G12" s="17" t="s">
        <v>100</v>
      </c>
      <c r="H12" s="14" t="s">
        <v>101</v>
      </c>
      <c r="N12" s="117" t="s">
        <v>161</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40" t="s">
        <v>5</v>
      </c>
      <c r="D14" s="141"/>
      <c r="E14" s="132">
        <v>115</v>
      </c>
      <c r="F14" s="133"/>
      <c r="G14" s="18" t="s">
        <v>8</v>
      </c>
      <c r="I14" s="140" t="s">
        <v>9</v>
      </c>
      <c r="J14" s="141"/>
      <c r="K14" s="132">
        <v>134</v>
      </c>
      <c r="L14" s="142"/>
      <c r="M14" s="133"/>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49">
        <v>10</v>
      </c>
      <c r="L16" s="150"/>
      <c r="M16" s="151"/>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2">
        <v>760</v>
      </c>
      <c r="F18" s="133"/>
      <c r="G18" s="21" t="s">
        <v>22</v>
      </c>
      <c r="H18" s="20"/>
      <c r="K18" s="155"/>
      <c r="L18" s="155"/>
      <c r="M18" s="155"/>
      <c r="N18" s="155"/>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52">
        <v>3478</v>
      </c>
      <c r="K20" s="153"/>
      <c r="L20" s="154"/>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32">
        <v>845</v>
      </c>
      <c r="D22" s="133"/>
      <c r="E22" s="10" t="s">
        <v>23</v>
      </c>
      <c r="F22" s="20"/>
      <c r="G22" s="128" t="s">
        <v>19</v>
      </c>
      <c r="H22" s="128"/>
      <c r="I22" s="132">
        <v>962</v>
      </c>
      <c r="J22" s="133"/>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32">
        <v>937</v>
      </c>
      <c r="D24" s="133"/>
      <c r="E24" s="10" t="s">
        <v>23</v>
      </c>
      <c r="F24" s="20"/>
      <c r="G24" s="128" t="s">
        <v>21</v>
      </c>
      <c r="H24" s="128"/>
      <c r="I24" s="132">
        <v>734</v>
      </c>
      <c r="J24" s="133"/>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32">
        <v>0</v>
      </c>
      <c r="D26" s="133"/>
      <c r="E26" s="10" t="s">
        <v>8</v>
      </c>
      <c r="F26" s="20"/>
      <c r="G26" s="128" t="s">
        <v>49</v>
      </c>
      <c r="H26" s="128"/>
      <c r="I26" s="132">
        <v>0</v>
      </c>
      <c r="J26" s="133"/>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36" t="s">
        <v>78</v>
      </c>
      <c r="C29" s="136"/>
      <c r="D29" s="129" t="s">
        <v>162</v>
      </c>
      <c r="E29" s="130"/>
      <c r="F29" s="130"/>
      <c r="G29" s="137" t="s">
        <v>24</v>
      </c>
      <c r="H29" s="136"/>
      <c r="I29" s="138"/>
      <c r="J29" s="129" t="s">
        <v>163</v>
      </c>
      <c r="K29" s="130"/>
      <c r="L29" s="130"/>
      <c r="M29" s="130"/>
      <c r="N29" s="131"/>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29" t="s">
        <v>164</v>
      </c>
      <c r="C32" s="130"/>
      <c r="D32" s="130"/>
      <c r="E32" s="130"/>
      <c r="F32" s="130"/>
      <c r="G32" s="130"/>
      <c r="H32" s="130"/>
      <c r="I32" s="130"/>
      <c r="J32" s="130"/>
      <c r="K32" s="130"/>
      <c r="L32" s="130"/>
      <c r="M32" s="130"/>
      <c r="N32" s="131"/>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6" t="s">
        <v>78</v>
      </c>
      <c r="C34" s="136"/>
      <c r="D34" s="129" t="s">
        <v>162</v>
      </c>
      <c r="E34" s="130"/>
      <c r="F34" s="130"/>
      <c r="G34" s="137" t="s">
        <v>57</v>
      </c>
      <c r="H34" s="136"/>
      <c r="I34" s="138"/>
      <c r="J34" s="129" t="s">
        <v>163</v>
      </c>
      <c r="K34" s="130"/>
      <c r="L34" s="130"/>
      <c r="M34" s="130"/>
      <c r="N34" s="131"/>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29" t="s">
        <v>165</v>
      </c>
      <c r="C37" s="130"/>
      <c r="D37" s="130"/>
      <c r="E37" s="130"/>
      <c r="F37" s="130"/>
      <c r="G37" s="130"/>
      <c r="H37" s="130"/>
      <c r="I37" s="130"/>
      <c r="J37" s="130"/>
      <c r="K37" s="130"/>
      <c r="L37" s="130"/>
      <c r="M37" s="130"/>
      <c r="N37" s="131"/>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6" t="s">
        <v>78</v>
      </c>
      <c r="C39" s="136"/>
      <c r="D39" s="129" t="s">
        <v>166</v>
      </c>
      <c r="E39" s="130"/>
      <c r="F39" s="130"/>
      <c r="G39" s="137" t="s">
        <v>57</v>
      </c>
      <c r="H39" s="136"/>
      <c r="I39" s="138"/>
      <c r="J39" s="129" t="s">
        <v>167</v>
      </c>
      <c r="K39" s="130"/>
      <c r="L39" s="130"/>
      <c r="M39" s="130"/>
      <c r="N39" s="131"/>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29" t="s">
        <v>168</v>
      </c>
      <c r="G41" s="130"/>
      <c r="H41" s="130"/>
      <c r="I41" s="130"/>
      <c r="J41" s="130"/>
      <c r="K41" s="130"/>
      <c r="L41" s="130"/>
      <c r="M41" s="130"/>
      <c r="N41" s="131"/>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34" t="s">
        <v>169</v>
      </c>
      <c r="D44" s="135"/>
      <c r="E44" s="135"/>
      <c r="F44" s="135"/>
      <c r="G44" s="135"/>
      <c r="H44" s="135"/>
      <c r="I44" s="26" t="s">
        <v>2</v>
      </c>
      <c r="J44" s="27"/>
      <c r="K44" s="129" t="s">
        <v>170</v>
      </c>
      <c r="L44" s="130"/>
      <c r="M44" s="130"/>
      <c r="N44" s="131"/>
      <c r="O44" s="31" t="str">
        <f>IF(OR(C44="",K44=""),"入力してください","")</f>
        <v/>
      </c>
    </row>
    <row r="45" spans="1:15" ht="24" customHeight="1" x14ac:dyDescent="0.15">
      <c r="B45" s="25" t="s">
        <v>4</v>
      </c>
      <c r="C45" s="122" t="s">
        <v>171</v>
      </c>
      <c r="D45" s="123"/>
      <c r="E45" s="123"/>
      <c r="F45" s="123"/>
      <c r="G45" s="123"/>
      <c r="H45" s="124"/>
      <c r="I45" s="26" t="s">
        <v>3</v>
      </c>
      <c r="J45" s="27"/>
      <c r="K45" s="125" t="s">
        <v>172</v>
      </c>
      <c r="L45" s="126"/>
      <c r="M45" s="126"/>
      <c r="N45" s="127"/>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B3CEDFF1-415A-42C2-953D-8EE5B2A7F804}"/>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91" zoomScaleNormal="100" zoomScaleSheetLayoutView="100" workbookViewId="0">
      <selection activeCell="O102" sqref="O10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7" t="s">
        <v>117</v>
      </c>
      <c r="X1" s="247"/>
      <c r="Y1" s="247"/>
      <c r="Z1" s="247"/>
    </row>
    <row r="2" spans="1:26" ht="18" customHeight="1" x14ac:dyDescent="0.15">
      <c r="A2" s="205" t="s">
        <v>69</v>
      </c>
      <c r="B2" s="205"/>
      <c r="C2" s="205"/>
      <c r="D2" s="205"/>
      <c r="E2" s="205"/>
      <c r="F2" s="205"/>
      <c r="G2" s="205"/>
      <c r="H2" s="205"/>
      <c r="I2" s="205"/>
      <c r="J2" s="205"/>
      <c r="K2" s="205"/>
      <c r="L2" s="205"/>
      <c r="M2" s="205"/>
      <c r="N2" s="205"/>
      <c r="O2" s="205"/>
      <c r="P2" s="205"/>
      <c r="Q2" s="205"/>
      <c r="R2" s="205"/>
      <c r="S2" s="205"/>
      <c r="T2" s="205"/>
      <c r="U2" s="205"/>
      <c r="V2" s="205"/>
      <c r="W2" s="205"/>
      <c r="X2" s="205"/>
      <c r="Y2" s="205"/>
      <c r="Z2" s="20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49" t="s">
        <v>173</v>
      </c>
      <c r="P4" s="150"/>
      <c r="Q4" s="150"/>
      <c r="R4" s="150"/>
      <c r="S4" s="150"/>
      <c r="T4" s="150"/>
      <c r="U4" s="150"/>
      <c r="V4" s="150"/>
      <c r="W4" s="150"/>
      <c r="X4" s="150"/>
      <c r="Y4" s="150"/>
      <c r="Z4" s="15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6" t="s">
        <v>174</v>
      </c>
      <c r="C6" s="207"/>
      <c r="D6" s="207"/>
      <c r="E6" s="207"/>
      <c r="F6" s="207"/>
      <c r="G6" s="207"/>
      <c r="H6" s="207"/>
      <c r="I6" s="207"/>
      <c r="J6" s="207"/>
      <c r="K6" s="207"/>
      <c r="L6" s="207"/>
      <c r="M6" s="207"/>
      <c r="N6" s="207"/>
      <c r="O6" s="207"/>
      <c r="P6" s="207"/>
      <c r="Q6" s="207"/>
      <c r="R6" s="207"/>
      <c r="S6" s="207"/>
      <c r="T6" s="207"/>
      <c r="U6" s="207"/>
      <c r="V6" s="207"/>
      <c r="W6" s="207"/>
      <c r="X6" s="207"/>
      <c r="Y6" s="207"/>
      <c r="Z6" s="208"/>
    </row>
    <row r="7" spans="1:26" ht="18" customHeight="1" x14ac:dyDescent="0.15">
      <c r="B7" s="209"/>
      <c r="C7" s="210"/>
      <c r="D7" s="210"/>
      <c r="E7" s="210"/>
      <c r="F7" s="210"/>
      <c r="G7" s="210"/>
      <c r="H7" s="210"/>
      <c r="I7" s="210"/>
      <c r="J7" s="210"/>
      <c r="K7" s="210"/>
      <c r="L7" s="210"/>
      <c r="M7" s="210"/>
      <c r="N7" s="210"/>
      <c r="O7" s="210"/>
      <c r="P7" s="210"/>
      <c r="Q7" s="210"/>
      <c r="R7" s="210"/>
      <c r="S7" s="210"/>
      <c r="T7" s="210"/>
      <c r="U7" s="210"/>
      <c r="V7" s="210"/>
      <c r="W7" s="210"/>
      <c r="X7" s="210"/>
      <c r="Y7" s="210"/>
      <c r="Z7" s="211"/>
    </row>
    <row r="8" spans="1:26" ht="18" customHeight="1" x14ac:dyDescent="0.15">
      <c r="B8" s="209"/>
      <c r="C8" s="210"/>
      <c r="D8" s="210"/>
      <c r="E8" s="210"/>
      <c r="F8" s="210"/>
      <c r="G8" s="210"/>
      <c r="H8" s="210"/>
      <c r="I8" s="210"/>
      <c r="J8" s="210"/>
      <c r="K8" s="210"/>
      <c r="L8" s="210"/>
      <c r="M8" s="210"/>
      <c r="N8" s="210"/>
      <c r="O8" s="210"/>
      <c r="P8" s="210"/>
      <c r="Q8" s="210"/>
      <c r="R8" s="210"/>
      <c r="S8" s="210"/>
      <c r="T8" s="210"/>
      <c r="U8" s="210"/>
      <c r="V8" s="210"/>
      <c r="W8" s="210"/>
      <c r="X8" s="210"/>
      <c r="Y8" s="210"/>
      <c r="Z8" s="211"/>
    </row>
    <row r="9" spans="1:26" ht="18" customHeight="1" x14ac:dyDescent="0.15">
      <c r="B9" s="209"/>
      <c r="C9" s="210"/>
      <c r="D9" s="210"/>
      <c r="E9" s="210"/>
      <c r="F9" s="210"/>
      <c r="G9" s="210"/>
      <c r="H9" s="210"/>
      <c r="I9" s="210"/>
      <c r="J9" s="210"/>
      <c r="K9" s="210"/>
      <c r="L9" s="210"/>
      <c r="M9" s="210"/>
      <c r="N9" s="210"/>
      <c r="O9" s="210"/>
      <c r="P9" s="210"/>
      <c r="Q9" s="210"/>
      <c r="R9" s="210"/>
      <c r="S9" s="210"/>
      <c r="T9" s="210"/>
      <c r="U9" s="210"/>
      <c r="V9" s="210"/>
      <c r="W9" s="210"/>
      <c r="X9" s="210"/>
      <c r="Y9" s="210"/>
      <c r="Z9" s="211"/>
    </row>
    <row r="10" spans="1:26" ht="18" customHeight="1" x14ac:dyDescent="0.15">
      <c r="B10" s="209"/>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1"/>
    </row>
    <row r="11" spans="1:26" ht="18" customHeight="1" x14ac:dyDescent="0.1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1" t="s">
        <v>131</v>
      </c>
      <c r="B13" s="201"/>
      <c r="C13" s="201"/>
      <c r="D13" s="201"/>
      <c r="E13" s="201"/>
      <c r="F13" s="201"/>
      <c r="G13" s="201"/>
      <c r="H13" s="201"/>
      <c r="I13" s="201"/>
      <c r="J13" s="201"/>
      <c r="K13" s="201"/>
      <c r="L13" s="201"/>
      <c r="M13" s="201"/>
      <c r="N13" s="201"/>
      <c r="O13" s="201"/>
      <c r="P13" s="201"/>
      <c r="Q13" s="201"/>
      <c r="R13" s="201"/>
      <c r="S13" s="201"/>
      <c r="T13" s="201"/>
      <c r="U13" s="201"/>
      <c r="V13" s="201"/>
      <c r="W13" s="201"/>
      <c r="X13" s="201"/>
      <c r="Y13" s="201"/>
      <c r="Z13" s="201"/>
    </row>
    <row r="14" spans="1:26" ht="18" customHeight="1" x14ac:dyDescent="0.15">
      <c r="A14" s="201"/>
      <c r="B14" s="201"/>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row>
    <row r="15" spans="1:26" ht="18" customHeight="1" x14ac:dyDescent="0.15">
      <c r="A15" s="14"/>
      <c r="B15" s="149" t="s">
        <v>104</v>
      </c>
      <c r="C15" s="150"/>
      <c r="D15" s="150"/>
      <c r="E15" s="150"/>
      <c r="F15" s="151"/>
      <c r="G15" s="30" t="s">
        <v>147</v>
      </c>
      <c r="H15" s="112" t="s">
        <v>146</v>
      </c>
      <c r="I15" s="150" t="s">
        <v>105</v>
      </c>
      <c r="J15" s="150"/>
      <c r="K15" s="150"/>
      <c r="L15" s="75" t="s">
        <v>108</v>
      </c>
      <c r="M15" s="75" t="s">
        <v>111</v>
      </c>
      <c r="N15" s="149" t="s">
        <v>104</v>
      </c>
      <c r="O15" s="150"/>
      <c r="P15" s="150"/>
      <c r="Q15" s="150"/>
      <c r="R15" s="150"/>
      <c r="S15" s="151"/>
      <c r="T15" s="30" t="s">
        <v>147</v>
      </c>
      <c r="U15" s="112" t="s">
        <v>146</v>
      </c>
      <c r="V15" s="150" t="s">
        <v>105</v>
      </c>
      <c r="W15" s="150"/>
      <c r="X15" s="150"/>
      <c r="Y15" s="75" t="s">
        <v>108</v>
      </c>
      <c r="Z15" s="75" t="s">
        <v>111</v>
      </c>
    </row>
    <row r="16" spans="1:26" ht="18" customHeight="1" x14ac:dyDescent="0.15">
      <c r="A16" s="14"/>
      <c r="B16" s="192" t="s">
        <v>159</v>
      </c>
      <c r="C16" s="193"/>
      <c r="D16" s="193"/>
      <c r="E16" s="193"/>
      <c r="F16" s="194"/>
      <c r="G16" s="113">
        <v>1</v>
      </c>
      <c r="H16" s="113" t="s">
        <v>175</v>
      </c>
      <c r="I16" s="186" t="s">
        <v>176</v>
      </c>
      <c r="J16" s="187"/>
      <c r="K16" s="188"/>
      <c r="L16" s="113" t="s">
        <v>175</v>
      </c>
      <c r="M16" s="113" t="s">
        <v>175</v>
      </c>
      <c r="N16" s="156"/>
      <c r="O16" s="157"/>
      <c r="P16" s="157"/>
      <c r="Q16" s="157"/>
      <c r="R16" s="157"/>
      <c r="S16" s="158"/>
      <c r="T16" s="113"/>
      <c r="U16" s="113"/>
      <c r="V16" s="186"/>
      <c r="W16" s="187"/>
      <c r="X16" s="188"/>
      <c r="Y16" s="113"/>
      <c r="Z16" s="113"/>
    </row>
    <row r="17" spans="1:26" ht="18" customHeight="1" x14ac:dyDescent="0.15">
      <c r="A17" s="14"/>
      <c r="B17" s="195"/>
      <c r="C17" s="196"/>
      <c r="D17" s="196"/>
      <c r="E17" s="196"/>
      <c r="F17" s="197"/>
      <c r="G17" s="114"/>
      <c r="H17" s="114"/>
      <c r="I17" s="189"/>
      <c r="J17" s="190"/>
      <c r="K17" s="191"/>
      <c r="L17" s="114"/>
      <c r="M17" s="114"/>
      <c r="N17" s="165"/>
      <c r="O17" s="166"/>
      <c r="P17" s="166"/>
      <c r="Q17" s="166"/>
      <c r="R17" s="166"/>
      <c r="S17" s="167"/>
      <c r="T17" s="114"/>
      <c r="U17" s="114"/>
      <c r="V17" s="189"/>
      <c r="W17" s="190"/>
      <c r="X17" s="191"/>
      <c r="Y17" s="114"/>
      <c r="Z17" s="114"/>
    </row>
    <row r="18" spans="1:26" ht="18" customHeight="1" x14ac:dyDescent="0.15">
      <c r="A18" s="14"/>
      <c r="B18" s="195"/>
      <c r="C18" s="196"/>
      <c r="D18" s="196"/>
      <c r="E18" s="196"/>
      <c r="F18" s="197"/>
      <c r="G18" s="114"/>
      <c r="H18" s="114"/>
      <c r="I18" s="189"/>
      <c r="J18" s="190"/>
      <c r="K18" s="191"/>
      <c r="L18" s="114"/>
      <c r="M18" s="114"/>
      <c r="N18" s="165"/>
      <c r="O18" s="166"/>
      <c r="P18" s="166"/>
      <c r="Q18" s="166"/>
      <c r="R18" s="166"/>
      <c r="S18" s="167"/>
      <c r="T18" s="114"/>
      <c r="U18" s="114"/>
      <c r="V18" s="189"/>
      <c r="W18" s="190"/>
      <c r="X18" s="191"/>
      <c r="Y18" s="114"/>
      <c r="Z18" s="114"/>
    </row>
    <row r="19" spans="1:26" ht="18" customHeight="1" x14ac:dyDescent="0.15">
      <c r="A19" s="14"/>
      <c r="B19" s="195"/>
      <c r="C19" s="196"/>
      <c r="D19" s="196"/>
      <c r="E19" s="196"/>
      <c r="F19" s="197"/>
      <c r="G19" s="114"/>
      <c r="H19" s="114"/>
      <c r="I19" s="189"/>
      <c r="J19" s="190"/>
      <c r="K19" s="191"/>
      <c r="L19" s="114"/>
      <c r="M19" s="114"/>
      <c r="N19" s="165"/>
      <c r="O19" s="166"/>
      <c r="P19" s="166"/>
      <c r="Q19" s="166"/>
      <c r="R19" s="166"/>
      <c r="S19" s="167"/>
      <c r="T19" s="114"/>
      <c r="U19" s="114"/>
      <c r="V19" s="189"/>
      <c r="W19" s="190"/>
      <c r="X19" s="191"/>
      <c r="Y19" s="114"/>
      <c r="Z19" s="114"/>
    </row>
    <row r="20" spans="1:26" ht="18" customHeight="1" x14ac:dyDescent="0.15">
      <c r="A20" s="14"/>
      <c r="B20" s="195"/>
      <c r="C20" s="196"/>
      <c r="D20" s="196"/>
      <c r="E20" s="196"/>
      <c r="F20" s="197"/>
      <c r="G20" s="114"/>
      <c r="H20" s="114"/>
      <c r="I20" s="189"/>
      <c r="J20" s="190"/>
      <c r="K20" s="191"/>
      <c r="L20" s="114"/>
      <c r="M20" s="114"/>
      <c r="N20" s="165"/>
      <c r="O20" s="166"/>
      <c r="P20" s="166"/>
      <c r="Q20" s="166"/>
      <c r="R20" s="166"/>
      <c r="S20" s="167"/>
      <c r="T20" s="114"/>
      <c r="U20" s="114"/>
      <c r="V20" s="189"/>
      <c r="W20" s="190"/>
      <c r="X20" s="191"/>
      <c r="Y20" s="114"/>
      <c r="Z20" s="114"/>
    </row>
    <row r="21" spans="1:26" ht="18" customHeight="1" x14ac:dyDescent="0.15">
      <c r="A21" s="29"/>
      <c r="B21" s="195"/>
      <c r="C21" s="196"/>
      <c r="D21" s="196"/>
      <c r="E21" s="196"/>
      <c r="F21" s="197"/>
      <c r="G21" s="114"/>
      <c r="H21" s="114"/>
      <c r="I21" s="189"/>
      <c r="J21" s="190"/>
      <c r="K21" s="191"/>
      <c r="L21" s="114"/>
      <c r="M21" s="114"/>
      <c r="N21" s="165"/>
      <c r="O21" s="166"/>
      <c r="P21" s="166"/>
      <c r="Q21" s="166"/>
      <c r="R21" s="166"/>
      <c r="S21" s="167"/>
      <c r="T21" s="114"/>
      <c r="U21" s="114"/>
      <c r="V21" s="189"/>
      <c r="W21" s="190"/>
      <c r="X21" s="191"/>
      <c r="Y21" s="114"/>
      <c r="Z21" s="114"/>
    </row>
    <row r="22" spans="1:26" ht="18" customHeight="1" x14ac:dyDescent="0.15">
      <c r="A22" s="29"/>
      <c r="B22" s="202"/>
      <c r="C22" s="203"/>
      <c r="D22" s="203"/>
      <c r="E22" s="203"/>
      <c r="F22" s="204"/>
      <c r="G22" s="115"/>
      <c r="H22" s="115"/>
      <c r="I22" s="198"/>
      <c r="J22" s="199"/>
      <c r="K22" s="200"/>
      <c r="L22" s="121"/>
      <c r="M22" s="121"/>
      <c r="N22" s="226"/>
      <c r="O22" s="227"/>
      <c r="P22" s="227"/>
      <c r="Q22" s="227"/>
      <c r="R22" s="227"/>
      <c r="S22" s="228"/>
      <c r="T22" s="115"/>
      <c r="U22" s="115"/>
      <c r="V22" s="198"/>
      <c r="W22" s="199"/>
      <c r="X22" s="200"/>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1" t="s">
        <v>132</v>
      </c>
      <c r="B24" s="201"/>
      <c r="C24" s="201"/>
      <c r="D24" s="201"/>
      <c r="E24" s="201"/>
      <c r="F24" s="201"/>
      <c r="G24" s="201"/>
      <c r="H24" s="201"/>
      <c r="I24" s="201"/>
      <c r="J24" s="201"/>
      <c r="K24" s="201"/>
      <c r="L24" s="201"/>
      <c r="M24" s="201"/>
      <c r="N24" s="201"/>
      <c r="O24" s="201"/>
      <c r="P24" s="201"/>
      <c r="Q24" s="201"/>
      <c r="R24" s="201"/>
      <c r="S24" s="201"/>
      <c r="T24" s="201"/>
      <c r="U24" s="201"/>
      <c r="V24" s="201"/>
      <c r="W24" s="201"/>
      <c r="X24" s="201"/>
      <c r="Y24" s="201"/>
      <c r="Z24" s="201"/>
    </row>
    <row r="25" spans="1:26" ht="18" customHeight="1" x14ac:dyDescent="0.15">
      <c r="A25" s="201"/>
      <c r="B25" s="201"/>
      <c r="C25" s="201"/>
      <c r="D25" s="201"/>
      <c r="E25" s="201"/>
      <c r="F25" s="201"/>
      <c r="G25" s="201"/>
      <c r="H25" s="201"/>
      <c r="I25" s="201"/>
      <c r="J25" s="201"/>
      <c r="K25" s="201"/>
      <c r="L25" s="201"/>
      <c r="M25" s="201"/>
      <c r="N25" s="201"/>
      <c r="O25" s="201"/>
      <c r="P25" s="201"/>
      <c r="Q25" s="201"/>
      <c r="R25" s="201"/>
      <c r="S25" s="201"/>
      <c r="T25" s="201"/>
      <c r="U25" s="201"/>
      <c r="V25" s="201"/>
      <c r="W25" s="201"/>
      <c r="X25" s="201"/>
      <c r="Y25" s="201"/>
      <c r="Z25" s="201"/>
    </row>
    <row r="26" spans="1:26" ht="18" customHeight="1" x14ac:dyDescent="0.15">
      <c r="A26" s="14"/>
      <c r="B26" s="149" t="s">
        <v>104</v>
      </c>
      <c r="C26" s="150"/>
      <c r="D26" s="150"/>
      <c r="E26" s="150"/>
      <c r="F26" s="151"/>
      <c r="G26" s="30" t="s">
        <v>147</v>
      </c>
      <c r="H26" s="112" t="s">
        <v>146</v>
      </c>
      <c r="I26" s="150" t="s">
        <v>105</v>
      </c>
      <c r="J26" s="150"/>
      <c r="K26" s="150"/>
      <c r="L26" s="75" t="s">
        <v>133</v>
      </c>
      <c r="M26" s="75" t="s">
        <v>134</v>
      </c>
      <c r="N26" s="149" t="s">
        <v>104</v>
      </c>
      <c r="O26" s="150"/>
      <c r="P26" s="150"/>
      <c r="Q26" s="150"/>
      <c r="R26" s="150"/>
      <c r="S26" s="151"/>
      <c r="T26" s="30" t="s">
        <v>147</v>
      </c>
      <c r="U26" s="112" t="s">
        <v>146</v>
      </c>
      <c r="V26" s="150" t="s">
        <v>105</v>
      </c>
      <c r="W26" s="150"/>
      <c r="X26" s="150"/>
      <c r="Y26" s="75" t="s">
        <v>133</v>
      </c>
      <c r="Z26" s="75" t="s">
        <v>134</v>
      </c>
    </row>
    <row r="27" spans="1:26" ht="18" customHeight="1" x14ac:dyDescent="0.15">
      <c r="A27" s="14"/>
      <c r="B27" s="192" t="s">
        <v>159</v>
      </c>
      <c r="C27" s="193"/>
      <c r="D27" s="193"/>
      <c r="E27" s="193"/>
      <c r="F27" s="194"/>
      <c r="G27" s="113">
        <v>1</v>
      </c>
      <c r="H27" s="113" t="s">
        <v>175</v>
      </c>
      <c r="I27" s="186" t="s">
        <v>176</v>
      </c>
      <c r="J27" s="187"/>
      <c r="K27" s="188"/>
      <c r="L27" s="113" t="s">
        <v>175</v>
      </c>
      <c r="M27" s="113" t="s">
        <v>175</v>
      </c>
      <c r="N27" s="156"/>
      <c r="O27" s="157"/>
      <c r="P27" s="157"/>
      <c r="Q27" s="157"/>
      <c r="R27" s="157"/>
      <c r="S27" s="158"/>
      <c r="T27" s="113"/>
      <c r="U27" s="113"/>
      <c r="V27" s="186"/>
      <c r="W27" s="187"/>
      <c r="X27" s="188"/>
      <c r="Y27" s="113"/>
      <c r="Z27" s="113"/>
    </row>
    <row r="28" spans="1:26" ht="18" customHeight="1" x14ac:dyDescent="0.15">
      <c r="A28" s="14"/>
      <c r="B28" s="195"/>
      <c r="C28" s="196"/>
      <c r="D28" s="196"/>
      <c r="E28" s="196"/>
      <c r="F28" s="197"/>
      <c r="G28" s="114"/>
      <c r="H28" s="114"/>
      <c r="I28" s="189"/>
      <c r="J28" s="190"/>
      <c r="K28" s="191"/>
      <c r="L28" s="114"/>
      <c r="M28" s="114"/>
      <c r="N28" s="165"/>
      <c r="O28" s="166"/>
      <c r="P28" s="166"/>
      <c r="Q28" s="166"/>
      <c r="R28" s="166"/>
      <c r="S28" s="167"/>
      <c r="T28" s="114"/>
      <c r="U28" s="114"/>
      <c r="V28" s="189"/>
      <c r="W28" s="190"/>
      <c r="X28" s="191"/>
      <c r="Y28" s="114"/>
      <c r="Z28" s="114"/>
    </row>
    <row r="29" spans="1:26" ht="18" customHeight="1" x14ac:dyDescent="0.15">
      <c r="A29" s="14"/>
      <c r="B29" s="195"/>
      <c r="C29" s="196"/>
      <c r="D29" s="196"/>
      <c r="E29" s="196"/>
      <c r="F29" s="197"/>
      <c r="G29" s="114"/>
      <c r="H29" s="114"/>
      <c r="I29" s="189"/>
      <c r="J29" s="190"/>
      <c r="K29" s="191"/>
      <c r="L29" s="114"/>
      <c r="M29" s="114"/>
      <c r="N29" s="165"/>
      <c r="O29" s="166"/>
      <c r="P29" s="166"/>
      <c r="Q29" s="166"/>
      <c r="R29" s="166"/>
      <c r="S29" s="167"/>
      <c r="T29" s="114"/>
      <c r="U29" s="114"/>
      <c r="V29" s="189"/>
      <c r="W29" s="190"/>
      <c r="X29" s="191"/>
      <c r="Y29" s="114"/>
      <c r="Z29" s="114"/>
    </row>
    <row r="30" spans="1:26" ht="18" customHeight="1" x14ac:dyDescent="0.15">
      <c r="A30" s="14"/>
      <c r="B30" s="195"/>
      <c r="C30" s="196"/>
      <c r="D30" s="196"/>
      <c r="E30" s="196"/>
      <c r="F30" s="197"/>
      <c r="G30" s="114"/>
      <c r="H30" s="114"/>
      <c r="I30" s="189"/>
      <c r="J30" s="190"/>
      <c r="K30" s="191"/>
      <c r="L30" s="114"/>
      <c r="M30" s="114"/>
      <c r="N30" s="165"/>
      <c r="O30" s="166"/>
      <c r="P30" s="166"/>
      <c r="Q30" s="166"/>
      <c r="R30" s="166"/>
      <c r="S30" s="167"/>
      <c r="T30" s="114"/>
      <c r="U30" s="114"/>
      <c r="V30" s="189"/>
      <c r="W30" s="190"/>
      <c r="X30" s="191"/>
      <c r="Y30" s="114"/>
      <c r="Z30" s="114"/>
    </row>
    <row r="31" spans="1:26" ht="18" customHeight="1" x14ac:dyDescent="0.15">
      <c r="A31" s="14"/>
      <c r="B31" s="195"/>
      <c r="C31" s="196"/>
      <c r="D31" s="196"/>
      <c r="E31" s="196"/>
      <c r="F31" s="197"/>
      <c r="G31" s="114"/>
      <c r="H31" s="114"/>
      <c r="I31" s="189"/>
      <c r="J31" s="190"/>
      <c r="K31" s="191"/>
      <c r="L31" s="114"/>
      <c r="M31" s="114"/>
      <c r="N31" s="165"/>
      <c r="O31" s="166"/>
      <c r="P31" s="166"/>
      <c r="Q31" s="166"/>
      <c r="R31" s="166"/>
      <c r="S31" s="167"/>
      <c r="T31" s="114"/>
      <c r="U31" s="114"/>
      <c r="V31" s="189"/>
      <c r="W31" s="190"/>
      <c r="X31" s="191"/>
      <c r="Y31" s="114"/>
      <c r="Z31" s="114"/>
    </row>
    <row r="32" spans="1:26" ht="18" customHeight="1" x14ac:dyDescent="0.15">
      <c r="A32" s="14"/>
      <c r="B32" s="195"/>
      <c r="C32" s="196"/>
      <c r="D32" s="196"/>
      <c r="E32" s="196"/>
      <c r="F32" s="197"/>
      <c r="G32" s="114"/>
      <c r="H32" s="114"/>
      <c r="I32" s="189"/>
      <c r="J32" s="190"/>
      <c r="K32" s="191"/>
      <c r="L32" s="114"/>
      <c r="M32" s="114"/>
      <c r="N32" s="165"/>
      <c r="O32" s="166"/>
      <c r="P32" s="166"/>
      <c r="Q32" s="166"/>
      <c r="R32" s="166"/>
      <c r="S32" s="167"/>
      <c r="T32" s="114"/>
      <c r="U32" s="114"/>
      <c r="V32" s="189"/>
      <c r="W32" s="190"/>
      <c r="X32" s="191"/>
      <c r="Y32" s="114"/>
      <c r="Z32" s="114"/>
    </row>
    <row r="33" spans="1:26" ht="18" customHeight="1" x14ac:dyDescent="0.15">
      <c r="A33" s="14"/>
      <c r="B33" s="202"/>
      <c r="C33" s="203"/>
      <c r="D33" s="203"/>
      <c r="E33" s="203"/>
      <c r="F33" s="204"/>
      <c r="G33" s="115"/>
      <c r="H33" s="115"/>
      <c r="I33" s="198"/>
      <c r="J33" s="199"/>
      <c r="K33" s="200"/>
      <c r="L33" s="121"/>
      <c r="M33" s="121"/>
      <c r="N33" s="226"/>
      <c r="O33" s="227"/>
      <c r="P33" s="227"/>
      <c r="Q33" s="227"/>
      <c r="R33" s="227"/>
      <c r="S33" s="228"/>
      <c r="T33" s="115"/>
      <c r="U33" s="115"/>
      <c r="V33" s="198"/>
      <c r="W33" s="199"/>
      <c r="X33" s="200"/>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1" t="s">
        <v>135</v>
      </c>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row>
    <row r="36" spans="1:26" ht="18" customHeight="1" x14ac:dyDescent="0.15">
      <c r="A36" s="201"/>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row>
    <row r="37" spans="1:26" ht="18" customHeight="1" x14ac:dyDescent="0.15">
      <c r="A37" s="14"/>
      <c r="B37" s="149" t="s">
        <v>104</v>
      </c>
      <c r="C37" s="150"/>
      <c r="D37" s="150"/>
      <c r="E37" s="150"/>
      <c r="F37" s="151"/>
      <c r="G37" s="30" t="s">
        <v>147</v>
      </c>
      <c r="H37" s="112" t="s">
        <v>146</v>
      </c>
      <c r="I37" s="149" t="s">
        <v>105</v>
      </c>
      <c r="J37" s="150"/>
      <c r="K37" s="151"/>
      <c r="L37" s="75" t="s">
        <v>136</v>
      </c>
      <c r="M37" s="75" t="s">
        <v>137</v>
      </c>
      <c r="N37" s="149" t="s">
        <v>104</v>
      </c>
      <c r="O37" s="150"/>
      <c r="P37" s="150"/>
      <c r="Q37" s="150"/>
      <c r="R37" s="150"/>
      <c r="S37" s="151"/>
      <c r="T37" s="30" t="s">
        <v>147</v>
      </c>
      <c r="U37" s="112" t="s">
        <v>146</v>
      </c>
      <c r="V37" s="149" t="s">
        <v>105</v>
      </c>
      <c r="W37" s="150"/>
      <c r="X37" s="151"/>
      <c r="Y37" s="75" t="s">
        <v>136</v>
      </c>
      <c r="Z37" s="75" t="s">
        <v>137</v>
      </c>
    </row>
    <row r="38" spans="1:26" ht="18" customHeight="1" x14ac:dyDescent="0.15">
      <c r="A38" s="29"/>
      <c r="B38" s="192" t="s">
        <v>159</v>
      </c>
      <c r="C38" s="193"/>
      <c r="D38" s="193"/>
      <c r="E38" s="193"/>
      <c r="F38" s="194"/>
      <c r="G38" s="113">
        <v>1</v>
      </c>
      <c r="H38" s="113" t="s">
        <v>175</v>
      </c>
      <c r="I38" s="186" t="s">
        <v>176</v>
      </c>
      <c r="J38" s="187"/>
      <c r="K38" s="188"/>
      <c r="L38" s="113" t="s">
        <v>175</v>
      </c>
      <c r="M38" s="113" t="s">
        <v>175</v>
      </c>
      <c r="N38" s="156"/>
      <c r="O38" s="157"/>
      <c r="P38" s="157"/>
      <c r="Q38" s="157"/>
      <c r="R38" s="157"/>
      <c r="S38" s="158"/>
      <c r="T38" s="113"/>
      <c r="U38" s="113"/>
      <c r="V38" s="186"/>
      <c r="W38" s="187"/>
      <c r="X38" s="188"/>
      <c r="Y38" s="113"/>
      <c r="Z38" s="113"/>
    </row>
    <row r="39" spans="1:26" ht="18" customHeight="1" x14ac:dyDescent="0.15">
      <c r="A39" s="29"/>
      <c r="B39" s="195"/>
      <c r="C39" s="196"/>
      <c r="D39" s="196"/>
      <c r="E39" s="196"/>
      <c r="F39" s="197"/>
      <c r="G39" s="114"/>
      <c r="H39" s="114"/>
      <c r="I39" s="189"/>
      <c r="J39" s="190"/>
      <c r="K39" s="191"/>
      <c r="L39" s="114"/>
      <c r="M39" s="114"/>
      <c r="N39" s="165"/>
      <c r="O39" s="166"/>
      <c r="P39" s="166"/>
      <c r="Q39" s="166"/>
      <c r="R39" s="166"/>
      <c r="S39" s="167"/>
      <c r="T39" s="114"/>
      <c r="U39" s="114"/>
      <c r="V39" s="189"/>
      <c r="W39" s="190"/>
      <c r="X39" s="191"/>
      <c r="Y39" s="114"/>
      <c r="Z39" s="114"/>
    </row>
    <row r="40" spans="1:26" ht="18" customHeight="1" x14ac:dyDescent="0.15">
      <c r="A40" s="29"/>
      <c r="B40" s="195"/>
      <c r="C40" s="196"/>
      <c r="D40" s="196"/>
      <c r="E40" s="196"/>
      <c r="F40" s="197"/>
      <c r="G40" s="114"/>
      <c r="H40" s="114"/>
      <c r="I40" s="189"/>
      <c r="J40" s="190"/>
      <c r="K40" s="191"/>
      <c r="L40" s="114"/>
      <c r="M40" s="114"/>
      <c r="N40" s="165"/>
      <c r="O40" s="166"/>
      <c r="P40" s="166"/>
      <c r="Q40" s="166"/>
      <c r="R40" s="166"/>
      <c r="S40" s="167"/>
      <c r="T40" s="114"/>
      <c r="U40" s="114"/>
      <c r="V40" s="189"/>
      <c r="W40" s="190"/>
      <c r="X40" s="191"/>
      <c r="Y40" s="114"/>
      <c r="Z40" s="114"/>
    </row>
    <row r="41" spans="1:26" ht="18" customHeight="1" x14ac:dyDescent="0.15">
      <c r="A41" s="29"/>
      <c r="B41" s="195"/>
      <c r="C41" s="196"/>
      <c r="D41" s="196"/>
      <c r="E41" s="196"/>
      <c r="F41" s="197"/>
      <c r="G41" s="114"/>
      <c r="H41" s="114"/>
      <c r="I41" s="189"/>
      <c r="J41" s="190"/>
      <c r="K41" s="191"/>
      <c r="L41" s="114"/>
      <c r="M41" s="114"/>
      <c r="N41" s="165"/>
      <c r="O41" s="166"/>
      <c r="P41" s="166"/>
      <c r="Q41" s="166"/>
      <c r="R41" s="166"/>
      <c r="S41" s="167"/>
      <c r="T41" s="114"/>
      <c r="U41" s="114"/>
      <c r="V41" s="189"/>
      <c r="W41" s="190"/>
      <c r="X41" s="191"/>
      <c r="Y41" s="114"/>
      <c r="Z41" s="114"/>
    </row>
    <row r="42" spans="1:26" ht="18" customHeight="1" x14ac:dyDescent="0.15">
      <c r="A42" s="29"/>
      <c r="B42" s="195"/>
      <c r="C42" s="196"/>
      <c r="D42" s="196"/>
      <c r="E42" s="196"/>
      <c r="F42" s="197"/>
      <c r="G42" s="114"/>
      <c r="H42" s="114"/>
      <c r="I42" s="189"/>
      <c r="J42" s="190"/>
      <c r="K42" s="191"/>
      <c r="L42" s="114"/>
      <c r="M42" s="114"/>
      <c r="N42" s="165"/>
      <c r="O42" s="166"/>
      <c r="P42" s="166"/>
      <c r="Q42" s="166"/>
      <c r="R42" s="166"/>
      <c r="S42" s="167"/>
      <c r="T42" s="114"/>
      <c r="U42" s="114"/>
      <c r="V42" s="189"/>
      <c r="W42" s="190"/>
      <c r="X42" s="191"/>
      <c r="Y42" s="114"/>
      <c r="Z42" s="114"/>
    </row>
    <row r="43" spans="1:26" ht="18" customHeight="1" x14ac:dyDescent="0.15">
      <c r="A43" s="29"/>
      <c r="B43" s="195"/>
      <c r="C43" s="196"/>
      <c r="D43" s="196"/>
      <c r="E43" s="196"/>
      <c r="F43" s="197"/>
      <c r="G43" s="114"/>
      <c r="H43" s="114"/>
      <c r="I43" s="189"/>
      <c r="J43" s="190"/>
      <c r="K43" s="191"/>
      <c r="L43" s="114"/>
      <c r="M43" s="114"/>
      <c r="N43" s="165"/>
      <c r="O43" s="166"/>
      <c r="P43" s="166"/>
      <c r="Q43" s="166"/>
      <c r="R43" s="166"/>
      <c r="S43" s="167"/>
      <c r="T43" s="114"/>
      <c r="U43" s="114"/>
      <c r="V43" s="189"/>
      <c r="W43" s="190"/>
      <c r="X43" s="191"/>
      <c r="Y43" s="114"/>
      <c r="Z43" s="114"/>
    </row>
    <row r="44" spans="1:26" ht="18" customHeight="1" x14ac:dyDescent="0.15">
      <c r="A44" s="29"/>
      <c r="B44" s="202"/>
      <c r="C44" s="203"/>
      <c r="D44" s="203"/>
      <c r="E44" s="203"/>
      <c r="F44" s="204"/>
      <c r="G44" s="115"/>
      <c r="H44" s="115"/>
      <c r="I44" s="198"/>
      <c r="J44" s="199"/>
      <c r="K44" s="200"/>
      <c r="L44" s="121"/>
      <c r="M44" s="121"/>
      <c r="N44" s="226"/>
      <c r="O44" s="227"/>
      <c r="P44" s="227"/>
      <c r="Q44" s="227"/>
      <c r="R44" s="227"/>
      <c r="S44" s="228"/>
      <c r="T44" s="115"/>
      <c r="U44" s="115"/>
      <c r="V44" s="198"/>
      <c r="W44" s="199"/>
      <c r="X44" s="200"/>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1" t="s">
        <v>138</v>
      </c>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row>
    <row r="47" spans="1:26" ht="18" customHeight="1" x14ac:dyDescent="0.15">
      <c r="A47" s="201"/>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row>
    <row r="48" spans="1:26" ht="18" customHeight="1" x14ac:dyDescent="0.15">
      <c r="A48" s="14"/>
      <c r="B48" s="149" t="s">
        <v>104</v>
      </c>
      <c r="C48" s="150"/>
      <c r="D48" s="150"/>
      <c r="E48" s="150"/>
      <c r="F48" s="151"/>
      <c r="G48" s="30" t="s">
        <v>147</v>
      </c>
      <c r="H48" s="112" t="s">
        <v>146</v>
      </c>
      <c r="I48" s="149" t="s">
        <v>105</v>
      </c>
      <c r="J48" s="150"/>
      <c r="K48" s="151"/>
      <c r="L48" s="75" t="s">
        <v>110</v>
      </c>
      <c r="M48" s="75" t="s">
        <v>112</v>
      </c>
      <c r="N48" s="149" t="s">
        <v>104</v>
      </c>
      <c r="O48" s="150"/>
      <c r="P48" s="150"/>
      <c r="Q48" s="150"/>
      <c r="R48" s="150"/>
      <c r="S48" s="151"/>
      <c r="T48" s="30" t="s">
        <v>147</v>
      </c>
      <c r="U48" s="112" t="s">
        <v>146</v>
      </c>
      <c r="V48" s="149" t="s">
        <v>105</v>
      </c>
      <c r="W48" s="150"/>
      <c r="X48" s="151"/>
      <c r="Y48" s="75" t="s">
        <v>110</v>
      </c>
      <c r="Z48" s="75" t="s">
        <v>112</v>
      </c>
    </row>
    <row r="49" spans="1:26" ht="18" customHeight="1" x14ac:dyDescent="0.15">
      <c r="A49" s="29"/>
      <c r="B49" s="192" t="s">
        <v>159</v>
      </c>
      <c r="C49" s="193"/>
      <c r="D49" s="193"/>
      <c r="E49" s="193"/>
      <c r="F49" s="194"/>
      <c r="G49" s="113">
        <v>1</v>
      </c>
      <c r="H49" s="113" t="s">
        <v>175</v>
      </c>
      <c r="I49" s="186" t="s">
        <v>176</v>
      </c>
      <c r="J49" s="187"/>
      <c r="K49" s="188"/>
      <c r="L49" s="113" t="s">
        <v>175</v>
      </c>
      <c r="M49" s="113" t="s">
        <v>175</v>
      </c>
      <c r="N49" s="156"/>
      <c r="O49" s="157"/>
      <c r="P49" s="157"/>
      <c r="Q49" s="157"/>
      <c r="R49" s="157"/>
      <c r="S49" s="158"/>
      <c r="T49" s="113"/>
      <c r="U49" s="113"/>
      <c r="V49" s="186"/>
      <c r="W49" s="187"/>
      <c r="X49" s="188"/>
      <c r="Y49" s="113"/>
      <c r="Z49" s="113"/>
    </row>
    <row r="50" spans="1:26" ht="18" customHeight="1" x14ac:dyDescent="0.15">
      <c r="A50" s="29"/>
      <c r="B50" s="195"/>
      <c r="C50" s="196"/>
      <c r="D50" s="196"/>
      <c r="E50" s="196"/>
      <c r="F50" s="197"/>
      <c r="G50" s="114"/>
      <c r="H50" s="114"/>
      <c r="I50" s="189"/>
      <c r="J50" s="190"/>
      <c r="K50" s="191"/>
      <c r="L50" s="114"/>
      <c r="M50" s="114"/>
      <c r="N50" s="165"/>
      <c r="O50" s="166"/>
      <c r="P50" s="166"/>
      <c r="Q50" s="166"/>
      <c r="R50" s="166"/>
      <c r="S50" s="167"/>
      <c r="T50" s="114"/>
      <c r="U50" s="114"/>
      <c r="V50" s="189"/>
      <c r="W50" s="190"/>
      <c r="X50" s="191"/>
      <c r="Y50" s="114"/>
      <c r="Z50" s="114"/>
    </row>
    <row r="51" spans="1:26" ht="18" customHeight="1" x14ac:dyDescent="0.15">
      <c r="A51" s="29"/>
      <c r="B51" s="195"/>
      <c r="C51" s="196"/>
      <c r="D51" s="196"/>
      <c r="E51" s="196"/>
      <c r="F51" s="197"/>
      <c r="G51" s="114"/>
      <c r="H51" s="114"/>
      <c r="I51" s="189"/>
      <c r="J51" s="190"/>
      <c r="K51" s="191"/>
      <c r="L51" s="114"/>
      <c r="M51" s="114"/>
      <c r="N51" s="165"/>
      <c r="O51" s="166"/>
      <c r="P51" s="166"/>
      <c r="Q51" s="166"/>
      <c r="R51" s="166"/>
      <c r="S51" s="167"/>
      <c r="T51" s="114"/>
      <c r="U51" s="114"/>
      <c r="V51" s="189"/>
      <c r="W51" s="190"/>
      <c r="X51" s="191"/>
      <c r="Y51" s="114"/>
      <c r="Z51" s="114"/>
    </row>
    <row r="52" spans="1:26" ht="18" customHeight="1" x14ac:dyDescent="0.15">
      <c r="A52" s="29"/>
      <c r="B52" s="195"/>
      <c r="C52" s="196"/>
      <c r="D52" s="196"/>
      <c r="E52" s="196"/>
      <c r="F52" s="197"/>
      <c r="G52" s="114"/>
      <c r="H52" s="114"/>
      <c r="I52" s="189"/>
      <c r="J52" s="190"/>
      <c r="K52" s="191"/>
      <c r="L52" s="114"/>
      <c r="M52" s="114"/>
      <c r="N52" s="165"/>
      <c r="O52" s="166"/>
      <c r="P52" s="166"/>
      <c r="Q52" s="166"/>
      <c r="R52" s="166"/>
      <c r="S52" s="167"/>
      <c r="T52" s="114"/>
      <c r="U52" s="114"/>
      <c r="V52" s="189"/>
      <c r="W52" s="190"/>
      <c r="X52" s="191"/>
      <c r="Y52" s="114"/>
      <c r="Z52" s="114"/>
    </row>
    <row r="53" spans="1:26" ht="18" customHeight="1" x14ac:dyDescent="0.15">
      <c r="A53" s="29"/>
      <c r="B53" s="195"/>
      <c r="C53" s="196"/>
      <c r="D53" s="196"/>
      <c r="E53" s="196"/>
      <c r="F53" s="197"/>
      <c r="G53" s="114"/>
      <c r="H53" s="114"/>
      <c r="I53" s="189"/>
      <c r="J53" s="190"/>
      <c r="K53" s="191"/>
      <c r="L53" s="114"/>
      <c r="M53" s="114"/>
      <c r="N53" s="165"/>
      <c r="O53" s="166"/>
      <c r="P53" s="166"/>
      <c r="Q53" s="166"/>
      <c r="R53" s="166"/>
      <c r="S53" s="167"/>
      <c r="T53" s="114"/>
      <c r="U53" s="114"/>
      <c r="V53" s="189"/>
      <c r="W53" s="190"/>
      <c r="X53" s="191"/>
      <c r="Y53" s="114"/>
      <c r="Z53" s="114"/>
    </row>
    <row r="54" spans="1:26" ht="18" customHeight="1" x14ac:dyDescent="0.15">
      <c r="A54" s="29"/>
      <c r="B54" s="195"/>
      <c r="C54" s="196"/>
      <c r="D54" s="196"/>
      <c r="E54" s="196"/>
      <c r="F54" s="197"/>
      <c r="G54" s="114"/>
      <c r="H54" s="114"/>
      <c r="I54" s="189"/>
      <c r="J54" s="190"/>
      <c r="K54" s="191"/>
      <c r="L54" s="114"/>
      <c r="M54" s="114"/>
      <c r="N54" s="165"/>
      <c r="O54" s="166"/>
      <c r="P54" s="166"/>
      <c r="Q54" s="166"/>
      <c r="R54" s="166"/>
      <c r="S54" s="167"/>
      <c r="T54" s="114"/>
      <c r="U54" s="114"/>
      <c r="V54" s="189"/>
      <c r="W54" s="190"/>
      <c r="X54" s="191"/>
      <c r="Y54" s="114"/>
      <c r="Z54" s="114"/>
    </row>
    <row r="55" spans="1:26" ht="18" customHeight="1" x14ac:dyDescent="0.15">
      <c r="A55" s="29"/>
      <c r="B55" s="202"/>
      <c r="C55" s="203"/>
      <c r="D55" s="203"/>
      <c r="E55" s="203"/>
      <c r="F55" s="204"/>
      <c r="G55" s="115"/>
      <c r="H55" s="115"/>
      <c r="I55" s="198"/>
      <c r="J55" s="199"/>
      <c r="K55" s="200"/>
      <c r="L55" s="121"/>
      <c r="M55" s="121"/>
      <c r="N55" s="226"/>
      <c r="O55" s="227"/>
      <c r="P55" s="227"/>
      <c r="Q55" s="227"/>
      <c r="R55" s="227"/>
      <c r="S55" s="228"/>
      <c r="T55" s="115"/>
      <c r="U55" s="115"/>
      <c r="V55" s="198"/>
      <c r="W55" s="199"/>
      <c r="X55" s="200"/>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1" t="s">
        <v>139</v>
      </c>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row>
    <row r="58" spans="1:26" ht="18" customHeight="1" x14ac:dyDescent="0.15">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row>
    <row r="59" spans="1:26" ht="18" customHeight="1" x14ac:dyDescent="0.15">
      <c r="A59" s="14"/>
      <c r="B59" s="149" t="s">
        <v>104</v>
      </c>
      <c r="C59" s="150"/>
      <c r="D59" s="150"/>
      <c r="E59" s="151"/>
      <c r="F59" s="30" t="s">
        <v>147</v>
      </c>
      <c r="G59" s="112" t="s">
        <v>146</v>
      </c>
      <c r="H59" s="107" t="s">
        <v>105</v>
      </c>
      <c r="I59" s="108"/>
      <c r="J59" s="109"/>
      <c r="K59" s="75" t="s">
        <v>109</v>
      </c>
      <c r="L59" s="75" t="s">
        <v>140</v>
      </c>
      <c r="M59" s="75" t="s">
        <v>141</v>
      </c>
      <c r="N59" s="149" t="s">
        <v>104</v>
      </c>
      <c r="O59" s="150"/>
      <c r="P59" s="150"/>
      <c r="Q59" s="150"/>
      <c r="R59" s="151"/>
      <c r="S59" s="30" t="s">
        <v>147</v>
      </c>
      <c r="T59" s="112" t="s">
        <v>146</v>
      </c>
      <c r="U59" s="107" t="s">
        <v>105</v>
      </c>
      <c r="V59" s="108"/>
      <c r="W59" s="109"/>
      <c r="X59" s="75" t="s">
        <v>109</v>
      </c>
      <c r="Y59" s="75" t="s">
        <v>140</v>
      </c>
      <c r="Z59" s="75" t="s">
        <v>141</v>
      </c>
    </row>
    <row r="60" spans="1:26" ht="18" customHeight="1" x14ac:dyDescent="0.15">
      <c r="A60" s="29"/>
      <c r="B60" s="156" t="s">
        <v>158</v>
      </c>
      <c r="C60" s="157"/>
      <c r="D60" s="157"/>
      <c r="E60" s="158"/>
      <c r="F60" s="113">
        <v>1</v>
      </c>
      <c r="G60" s="113" t="s">
        <v>175</v>
      </c>
      <c r="H60" s="186" t="s">
        <v>176</v>
      </c>
      <c r="I60" s="187"/>
      <c r="J60" s="188"/>
      <c r="K60" s="113" t="s">
        <v>175</v>
      </c>
      <c r="L60" s="113" t="s">
        <v>175</v>
      </c>
      <c r="M60" s="113" t="s">
        <v>175</v>
      </c>
      <c r="N60" s="156"/>
      <c r="O60" s="157"/>
      <c r="P60" s="157"/>
      <c r="Q60" s="157"/>
      <c r="R60" s="158"/>
      <c r="S60" s="113"/>
      <c r="T60" s="113"/>
      <c r="U60" s="186"/>
      <c r="V60" s="187"/>
      <c r="W60" s="188"/>
      <c r="X60" s="120"/>
      <c r="Y60" s="113"/>
      <c r="Z60" s="113"/>
    </row>
    <row r="61" spans="1:26" ht="18" customHeight="1" x14ac:dyDescent="0.15">
      <c r="A61" s="29"/>
      <c r="B61" s="165"/>
      <c r="C61" s="166"/>
      <c r="D61" s="166"/>
      <c r="E61" s="167"/>
      <c r="F61" s="114"/>
      <c r="G61" s="114"/>
      <c r="H61" s="189"/>
      <c r="I61" s="190"/>
      <c r="J61" s="191"/>
      <c r="K61" s="118"/>
      <c r="L61" s="114"/>
      <c r="M61" s="114"/>
      <c r="N61" s="165"/>
      <c r="O61" s="166"/>
      <c r="P61" s="166"/>
      <c r="Q61" s="166"/>
      <c r="R61" s="167"/>
      <c r="S61" s="114"/>
      <c r="T61" s="114"/>
      <c r="U61" s="189"/>
      <c r="V61" s="190"/>
      <c r="W61" s="191"/>
      <c r="X61" s="118"/>
      <c r="Y61" s="114"/>
      <c r="Z61" s="114"/>
    </row>
    <row r="62" spans="1:26" ht="18" customHeight="1" x14ac:dyDescent="0.15">
      <c r="A62" s="29"/>
      <c r="B62" s="165"/>
      <c r="C62" s="166"/>
      <c r="D62" s="166"/>
      <c r="E62" s="167"/>
      <c r="F62" s="114"/>
      <c r="G62" s="114"/>
      <c r="H62" s="189"/>
      <c r="I62" s="190"/>
      <c r="J62" s="191"/>
      <c r="K62" s="118"/>
      <c r="L62" s="114"/>
      <c r="M62" s="114"/>
      <c r="N62" s="165"/>
      <c r="O62" s="166"/>
      <c r="P62" s="166"/>
      <c r="Q62" s="166"/>
      <c r="R62" s="167"/>
      <c r="S62" s="114"/>
      <c r="T62" s="114"/>
      <c r="U62" s="189"/>
      <c r="V62" s="190"/>
      <c r="W62" s="191"/>
      <c r="X62" s="118"/>
      <c r="Y62" s="114"/>
      <c r="Z62" s="114"/>
    </row>
    <row r="63" spans="1:26" ht="18" customHeight="1" x14ac:dyDescent="0.15">
      <c r="A63" s="29"/>
      <c r="B63" s="165"/>
      <c r="C63" s="166"/>
      <c r="D63" s="166"/>
      <c r="E63" s="167"/>
      <c r="F63" s="114"/>
      <c r="G63" s="114"/>
      <c r="H63" s="189"/>
      <c r="I63" s="190"/>
      <c r="J63" s="191"/>
      <c r="K63" s="118"/>
      <c r="L63" s="114"/>
      <c r="M63" s="114"/>
      <c r="N63" s="165"/>
      <c r="O63" s="166"/>
      <c r="P63" s="166"/>
      <c r="Q63" s="166"/>
      <c r="R63" s="167"/>
      <c r="S63" s="114"/>
      <c r="T63" s="114"/>
      <c r="U63" s="189"/>
      <c r="V63" s="190"/>
      <c r="W63" s="191"/>
      <c r="X63" s="118"/>
      <c r="Y63" s="114"/>
      <c r="Z63" s="114"/>
    </row>
    <row r="64" spans="1:26" ht="18" customHeight="1" x14ac:dyDescent="0.15">
      <c r="A64" s="29"/>
      <c r="B64" s="165"/>
      <c r="C64" s="166"/>
      <c r="D64" s="166"/>
      <c r="E64" s="167"/>
      <c r="F64" s="114"/>
      <c r="G64" s="114"/>
      <c r="H64" s="189"/>
      <c r="I64" s="190"/>
      <c r="J64" s="191"/>
      <c r="K64" s="118"/>
      <c r="L64" s="114"/>
      <c r="M64" s="114"/>
      <c r="N64" s="165"/>
      <c r="O64" s="166"/>
      <c r="P64" s="166"/>
      <c r="Q64" s="166"/>
      <c r="R64" s="167"/>
      <c r="S64" s="114"/>
      <c r="T64" s="114"/>
      <c r="U64" s="189"/>
      <c r="V64" s="190"/>
      <c r="W64" s="191"/>
      <c r="X64" s="118"/>
      <c r="Y64" s="114"/>
      <c r="Z64" s="114"/>
    </row>
    <row r="65" spans="1:26" ht="18" customHeight="1" x14ac:dyDescent="0.15">
      <c r="A65" s="29"/>
      <c r="B65" s="165"/>
      <c r="C65" s="166"/>
      <c r="D65" s="166"/>
      <c r="E65" s="167"/>
      <c r="F65" s="114"/>
      <c r="G65" s="114"/>
      <c r="H65" s="189"/>
      <c r="I65" s="190"/>
      <c r="J65" s="191"/>
      <c r="K65" s="118"/>
      <c r="L65" s="114"/>
      <c r="M65" s="114"/>
      <c r="N65" s="165"/>
      <c r="O65" s="166"/>
      <c r="P65" s="166"/>
      <c r="Q65" s="166"/>
      <c r="R65" s="167"/>
      <c r="S65" s="114"/>
      <c r="T65" s="114"/>
      <c r="U65" s="189"/>
      <c r="V65" s="190"/>
      <c r="W65" s="191"/>
      <c r="X65" s="118"/>
      <c r="Y65" s="114"/>
      <c r="Z65" s="114"/>
    </row>
    <row r="66" spans="1:26" ht="18" customHeight="1" x14ac:dyDescent="0.15">
      <c r="A66" s="29"/>
      <c r="B66" s="226"/>
      <c r="C66" s="227"/>
      <c r="D66" s="227"/>
      <c r="E66" s="228"/>
      <c r="F66" s="115"/>
      <c r="G66" s="115"/>
      <c r="H66" s="198"/>
      <c r="I66" s="199"/>
      <c r="J66" s="200"/>
      <c r="K66" s="119"/>
      <c r="L66" s="121"/>
      <c r="M66" s="121"/>
      <c r="N66" s="226"/>
      <c r="O66" s="227"/>
      <c r="P66" s="227"/>
      <c r="Q66" s="227"/>
      <c r="R66" s="228"/>
      <c r="S66" s="115"/>
      <c r="T66" s="115"/>
      <c r="U66" s="198"/>
      <c r="V66" s="199"/>
      <c r="W66" s="200"/>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142</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9" t="s">
        <v>104</v>
      </c>
      <c r="C69" s="150"/>
      <c r="D69" s="150"/>
      <c r="E69" s="150"/>
      <c r="F69" s="151"/>
      <c r="G69" s="149" t="s">
        <v>152</v>
      </c>
      <c r="H69" s="150"/>
      <c r="I69" s="150"/>
      <c r="J69" s="150"/>
      <c r="K69" s="150"/>
      <c r="L69" s="150"/>
      <c r="M69" s="151"/>
      <c r="N69" s="232" t="s">
        <v>104</v>
      </c>
      <c r="O69" s="233"/>
      <c r="P69" s="233"/>
      <c r="Q69" s="233"/>
      <c r="R69" s="233"/>
      <c r="S69" s="234"/>
      <c r="T69" s="149" t="s">
        <v>152</v>
      </c>
      <c r="U69" s="150"/>
      <c r="V69" s="150"/>
      <c r="W69" s="150"/>
      <c r="X69" s="150"/>
      <c r="Y69" s="150"/>
      <c r="Z69" s="151"/>
    </row>
    <row r="70" spans="1:26" ht="18" customHeight="1" x14ac:dyDescent="0.15">
      <c r="A70" s="29"/>
      <c r="B70" s="156" t="s">
        <v>159</v>
      </c>
      <c r="C70" s="157"/>
      <c r="D70" s="157"/>
      <c r="E70" s="157"/>
      <c r="F70" s="158"/>
      <c r="G70" s="159" t="s">
        <v>177</v>
      </c>
      <c r="H70" s="160"/>
      <c r="I70" s="160"/>
      <c r="J70" s="160"/>
      <c r="K70" s="160"/>
      <c r="L70" s="160"/>
      <c r="M70" s="161"/>
      <c r="N70" s="156"/>
      <c r="O70" s="157"/>
      <c r="P70" s="157"/>
      <c r="Q70" s="157"/>
      <c r="R70" s="157"/>
      <c r="S70" s="158"/>
      <c r="T70" s="159"/>
      <c r="U70" s="160"/>
      <c r="V70" s="160"/>
      <c r="W70" s="160"/>
      <c r="X70" s="160"/>
      <c r="Y70" s="160"/>
      <c r="Z70" s="161"/>
    </row>
    <row r="71" spans="1:26" ht="18" customHeight="1" x14ac:dyDescent="0.15">
      <c r="A71" s="29"/>
      <c r="B71" s="165" t="s">
        <v>159</v>
      </c>
      <c r="C71" s="166"/>
      <c r="D71" s="166"/>
      <c r="E71" s="166"/>
      <c r="F71" s="167"/>
      <c r="G71" s="168" t="s">
        <v>178</v>
      </c>
      <c r="H71" s="169"/>
      <c r="I71" s="169"/>
      <c r="J71" s="169"/>
      <c r="K71" s="169"/>
      <c r="L71" s="169"/>
      <c r="M71" s="170"/>
      <c r="N71" s="165"/>
      <c r="O71" s="166"/>
      <c r="P71" s="166"/>
      <c r="Q71" s="166"/>
      <c r="R71" s="166"/>
      <c r="S71" s="167"/>
      <c r="T71" s="168"/>
      <c r="U71" s="169"/>
      <c r="V71" s="169"/>
      <c r="W71" s="169"/>
      <c r="X71" s="169"/>
      <c r="Y71" s="169"/>
      <c r="Z71" s="170"/>
    </row>
    <row r="72" spans="1:26" ht="18" customHeight="1" x14ac:dyDescent="0.15">
      <c r="A72" s="29"/>
      <c r="B72" s="165" t="s">
        <v>159</v>
      </c>
      <c r="C72" s="166"/>
      <c r="D72" s="166"/>
      <c r="E72" s="166"/>
      <c r="F72" s="167"/>
      <c r="G72" s="168" t="s">
        <v>179</v>
      </c>
      <c r="H72" s="169"/>
      <c r="I72" s="169"/>
      <c r="J72" s="169"/>
      <c r="K72" s="169"/>
      <c r="L72" s="169"/>
      <c r="M72" s="170"/>
      <c r="N72" s="165"/>
      <c r="O72" s="166"/>
      <c r="P72" s="166"/>
      <c r="Q72" s="166"/>
      <c r="R72" s="166"/>
      <c r="S72" s="167"/>
      <c r="T72" s="168"/>
      <c r="U72" s="169"/>
      <c r="V72" s="169"/>
      <c r="W72" s="169"/>
      <c r="X72" s="169"/>
      <c r="Y72" s="169"/>
      <c r="Z72" s="170"/>
    </row>
    <row r="73" spans="1:26" ht="18" customHeight="1" x14ac:dyDescent="0.15">
      <c r="A73" s="29"/>
      <c r="B73" s="165"/>
      <c r="C73" s="166"/>
      <c r="D73" s="166"/>
      <c r="E73" s="166"/>
      <c r="F73" s="167"/>
      <c r="G73" s="168"/>
      <c r="H73" s="169"/>
      <c r="I73" s="169"/>
      <c r="J73" s="169"/>
      <c r="K73" s="169"/>
      <c r="L73" s="169"/>
      <c r="M73" s="170"/>
      <c r="N73" s="165"/>
      <c r="O73" s="166"/>
      <c r="P73" s="166"/>
      <c r="Q73" s="166"/>
      <c r="R73" s="166"/>
      <c r="S73" s="167"/>
      <c r="T73" s="168"/>
      <c r="U73" s="169"/>
      <c r="V73" s="169"/>
      <c r="W73" s="169"/>
      <c r="X73" s="169"/>
      <c r="Y73" s="169"/>
      <c r="Z73" s="170"/>
    </row>
    <row r="74" spans="1:26" ht="18" customHeight="1" x14ac:dyDescent="0.15">
      <c r="A74" s="29"/>
      <c r="B74" s="165"/>
      <c r="C74" s="166"/>
      <c r="D74" s="166"/>
      <c r="E74" s="166"/>
      <c r="F74" s="167"/>
      <c r="G74" s="168"/>
      <c r="H74" s="169"/>
      <c r="I74" s="169"/>
      <c r="J74" s="169"/>
      <c r="K74" s="169"/>
      <c r="L74" s="169"/>
      <c r="M74" s="170"/>
      <c r="N74" s="165"/>
      <c r="O74" s="166"/>
      <c r="P74" s="166"/>
      <c r="Q74" s="166"/>
      <c r="R74" s="166"/>
      <c r="S74" s="167"/>
      <c r="T74" s="168"/>
      <c r="U74" s="169"/>
      <c r="V74" s="169"/>
      <c r="W74" s="169"/>
      <c r="X74" s="169"/>
      <c r="Y74" s="169"/>
      <c r="Z74" s="170"/>
    </row>
    <row r="75" spans="1:26" ht="18" customHeight="1" x14ac:dyDescent="0.15">
      <c r="A75" s="29"/>
      <c r="B75" s="165"/>
      <c r="C75" s="166"/>
      <c r="D75" s="166"/>
      <c r="E75" s="166"/>
      <c r="F75" s="167"/>
      <c r="G75" s="168"/>
      <c r="H75" s="169"/>
      <c r="I75" s="169"/>
      <c r="J75" s="169"/>
      <c r="K75" s="169"/>
      <c r="L75" s="169"/>
      <c r="M75" s="170"/>
      <c r="N75" s="165"/>
      <c r="O75" s="166"/>
      <c r="P75" s="166"/>
      <c r="Q75" s="166"/>
      <c r="R75" s="166"/>
      <c r="S75" s="167"/>
      <c r="T75" s="168"/>
      <c r="U75" s="169"/>
      <c r="V75" s="169"/>
      <c r="W75" s="169"/>
      <c r="X75" s="169"/>
      <c r="Y75" s="169"/>
      <c r="Z75" s="170"/>
    </row>
    <row r="76" spans="1:26" ht="18" customHeight="1" x14ac:dyDescent="0.15">
      <c r="A76" s="29"/>
      <c r="B76" s="226"/>
      <c r="C76" s="227"/>
      <c r="D76" s="227"/>
      <c r="E76" s="227"/>
      <c r="F76" s="228"/>
      <c r="G76" s="229"/>
      <c r="H76" s="230"/>
      <c r="I76" s="230"/>
      <c r="J76" s="230"/>
      <c r="K76" s="230"/>
      <c r="L76" s="230"/>
      <c r="M76" s="231"/>
      <c r="N76" s="226"/>
      <c r="O76" s="227"/>
      <c r="P76" s="227"/>
      <c r="Q76" s="227"/>
      <c r="R76" s="227"/>
      <c r="S76" s="228"/>
      <c r="T76" s="229"/>
      <c r="U76" s="230"/>
      <c r="V76" s="230"/>
      <c r="W76" s="230"/>
      <c r="X76" s="230"/>
      <c r="Y76" s="230"/>
      <c r="Z76" s="231"/>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148</v>
      </c>
    </row>
    <row r="79" spans="1:26" ht="18.75" customHeight="1" x14ac:dyDescent="0.15">
      <c r="B79" s="78" t="s">
        <v>106</v>
      </c>
      <c r="C79" s="79"/>
      <c r="D79" s="182" t="s">
        <v>107</v>
      </c>
      <c r="E79" s="182"/>
      <c r="F79" s="182"/>
      <c r="G79" s="182"/>
      <c r="H79" s="182"/>
      <c r="I79" s="182"/>
      <c r="J79" s="182"/>
      <c r="K79" s="182"/>
      <c r="L79" s="182"/>
      <c r="M79" s="182"/>
      <c r="N79" s="182"/>
      <c r="O79" s="182"/>
      <c r="P79" s="182"/>
      <c r="Q79" s="182"/>
      <c r="R79" s="182"/>
      <c r="S79" s="182"/>
      <c r="T79" s="182"/>
      <c r="U79" s="182"/>
      <c r="V79" s="182"/>
      <c r="W79" s="182"/>
      <c r="X79" s="182"/>
      <c r="Y79" s="182"/>
      <c r="Z79" s="183"/>
    </row>
    <row r="80" spans="1:26" ht="95.25" customHeight="1" x14ac:dyDescent="0.15">
      <c r="B80" s="173" t="s">
        <v>113</v>
      </c>
      <c r="C80" s="85" t="s">
        <v>108</v>
      </c>
      <c r="D80" s="184" t="s">
        <v>207</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99" customHeight="1" x14ac:dyDescent="0.15">
      <c r="B81" s="174"/>
      <c r="C81" s="110" t="s">
        <v>143</v>
      </c>
      <c r="D81" s="216" t="s">
        <v>201</v>
      </c>
      <c r="E81" s="217"/>
      <c r="F81" s="217"/>
      <c r="G81" s="217"/>
      <c r="H81" s="217"/>
      <c r="I81" s="217"/>
      <c r="J81" s="217"/>
      <c r="K81" s="217"/>
      <c r="L81" s="217"/>
      <c r="M81" s="217"/>
      <c r="N81" s="217"/>
      <c r="O81" s="217"/>
      <c r="P81" s="217"/>
      <c r="Q81" s="217"/>
      <c r="R81" s="217"/>
      <c r="S81" s="217"/>
      <c r="T81" s="217"/>
      <c r="U81" s="217"/>
      <c r="V81" s="217"/>
      <c r="W81" s="217"/>
      <c r="X81" s="217"/>
      <c r="Y81" s="217"/>
      <c r="Z81" s="218"/>
    </row>
    <row r="82" spans="1:26" ht="111.75" customHeight="1" x14ac:dyDescent="0.15">
      <c r="B82" s="171" t="s">
        <v>114</v>
      </c>
      <c r="C82" s="80" t="s">
        <v>133</v>
      </c>
      <c r="D82" s="219" t="s">
        <v>208</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99" customHeight="1" x14ac:dyDescent="0.15">
      <c r="B83" s="172"/>
      <c r="C83" s="111" t="s">
        <v>134</v>
      </c>
      <c r="D83" s="223" t="s">
        <v>199</v>
      </c>
      <c r="E83" s="224"/>
      <c r="F83" s="224"/>
      <c r="G83" s="224"/>
      <c r="H83" s="224"/>
      <c r="I83" s="224"/>
      <c r="J83" s="224"/>
      <c r="K83" s="224"/>
      <c r="L83" s="224"/>
      <c r="M83" s="224"/>
      <c r="N83" s="224"/>
      <c r="O83" s="224"/>
      <c r="P83" s="224"/>
      <c r="Q83" s="224"/>
      <c r="R83" s="224"/>
      <c r="S83" s="224"/>
      <c r="T83" s="224"/>
      <c r="U83" s="224"/>
      <c r="V83" s="224"/>
      <c r="W83" s="224"/>
      <c r="X83" s="224"/>
      <c r="Y83" s="224"/>
      <c r="Z83" s="225"/>
    </row>
    <row r="84" spans="1:26" ht="147" customHeight="1" x14ac:dyDescent="0.15">
      <c r="B84" s="171" t="s">
        <v>115</v>
      </c>
      <c r="C84" s="80" t="s">
        <v>136</v>
      </c>
      <c r="D84" s="175" t="s">
        <v>206</v>
      </c>
      <c r="E84" s="175"/>
      <c r="F84" s="175"/>
      <c r="G84" s="175"/>
      <c r="H84" s="175"/>
      <c r="I84" s="175"/>
      <c r="J84" s="175"/>
      <c r="K84" s="175"/>
      <c r="L84" s="175"/>
      <c r="M84" s="175"/>
      <c r="N84" s="175"/>
      <c r="O84" s="175"/>
      <c r="P84" s="175"/>
      <c r="Q84" s="175"/>
      <c r="R84" s="175"/>
      <c r="S84" s="175"/>
      <c r="T84" s="175"/>
      <c r="U84" s="175"/>
      <c r="V84" s="175"/>
      <c r="W84" s="175"/>
      <c r="X84" s="175"/>
      <c r="Y84" s="175"/>
      <c r="Z84" s="176"/>
    </row>
    <row r="85" spans="1:26" ht="87.75" customHeight="1" x14ac:dyDescent="0.15">
      <c r="B85" s="172"/>
      <c r="C85" s="82" t="s">
        <v>137</v>
      </c>
      <c r="D85" s="177" t="s">
        <v>200</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x14ac:dyDescent="0.15">
      <c r="B86" s="173" t="s">
        <v>144</v>
      </c>
      <c r="C86" s="85" t="s">
        <v>110</v>
      </c>
      <c r="D86" s="180" t="s">
        <v>202</v>
      </c>
      <c r="E86" s="180"/>
      <c r="F86" s="180"/>
      <c r="G86" s="180"/>
      <c r="H86" s="180"/>
      <c r="I86" s="180"/>
      <c r="J86" s="180"/>
      <c r="K86" s="180"/>
      <c r="L86" s="180"/>
      <c r="M86" s="180"/>
      <c r="N86" s="180"/>
      <c r="O86" s="180"/>
      <c r="P86" s="180"/>
      <c r="Q86" s="180"/>
      <c r="R86" s="180"/>
      <c r="S86" s="180"/>
      <c r="T86" s="180"/>
      <c r="U86" s="180"/>
      <c r="V86" s="180"/>
      <c r="W86" s="180"/>
      <c r="X86" s="180"/>
      <c r="Y86" s="180"/>
      <c r="Z86" s="181"/>
    </row>
    <row r="87" spans="1:26" ht="66" customHeight="1" x14ac:dyDescent="0.15">
      <c r="B87" s="179"/>
      <c r="C87" s="81" t="s">
        <v>112</v>
      </c>
      <c r="D87" s="163" t="s">
        <v>203</v>
      </c>
      <c r="E87" s="163"/>
      <c r="F87" s="163"/>
      <c r="G87" s="163"/>
      <c r="H87" s="163"/>
      <c r="I87" s="163"/>
      <c r="J87" s="163"/>
      <c r="K87" s="163"/>
      <c r="L87" s="163"/>
      <c r="M87" s="163"/>
      <c r="N87" s="163"/>
      <c r="O87" s="163"/>
      <c r="P87" s="163"/>
      <c r="Q87" s="163"/>
      <c r="R87" s="163"/>
      <c r="S87" s="163"/>
      <c r="T87" s="163"/>
      <c r="U87" s="163"/>
      <c r="V87" s="163"/>
      <c r="W87" s="163"/>
      <c r="X87" s="163"/>
      <c r="Y87" s="163"/>
      <c r="Z87" s="164"/>
    </row>
    <row r="88" spans="1:26" ht="122.25" customHeight="1" x14ac:dyDescent="0.15">
      <c r="B88" s="173" t="s">
        <v>145</v>
      </c>
      <c r="C88" s="80" t="s">
        <v>109</v>
      </c>
      <c r="D88" s="175" t="s">
        <v>205</v>
      </c>
      <c r="E88" s="175"/>
      <c r="F88" s="175"/>
      <c r="G88" s="175"/>
      <c r="H88" s="175"/>
      <c r="I88" s="175"/>
      <c r="J88" s="175"/>
      <c r="K88" s="175"/>
      <c r="L88" s="175"/>
      <c r="M88" s="175"/>
      <c r="N88" s="175"/>
      <c r="O88" s="175"/>
      <c r="P88" s="175"/>
      <c r="Q88" s="175"/>
      <c r="R88" s="175"/>
      <c r="S88" s="175"/>
      <c r="T88" s="175"/>
      <c r="U88" s="175"/>
      <c r="V88" s="175"/>
      <c r="W88" s="175"/>
      <c r="X88" s="175"/>
      <c r="Y88" s="175"/>
      <c r="Z88" s="176"/>
    </row>
    <row r="89" spans="1:26" ht="80.25" customHeight="1" x14ac:dyDescent="0.15">
      <c r="B89" s="174"/>
      <c r="C89" s="81" t="s">
        <v>140</v>
      </c>
      <c r="D89" s="162" t="s">
        <v>204</v>
      </c>
      <c r="E89" s="163"/>
      <c r="F89" s="163"/>
      <c r="G89" s="163"/>
      <c r="H89" s="163"/>
      <c r="I89" s="163"/>
      <c r="J89" s="163"/>
      <c r="K89" s="163"/>
      <c r="L89" s="163"/>
      <c r="M89" s="163"/>
      <c r="N89" s="163"/>
      <c r="O89" s="163"/>
      <c r="P89" s="163"/>
      <c r="Q89" s="163"/>
      <c r="R89" s="163"/>
      <c r="S89" s="163"/>
      <c r="T89" s="163"/>
      <c r="U89" s="163"/>
      <c r="V89" s="163"/>
      <c r="W89" s="163"/>
      <c r="X89" s="163"/>
      <c r="Y89" s="163"/>
      <c r="Z89" s="164"/>
    </row>
    <row r="90" spans="1:26" ht="66" customHeight="1" x14ac:dyDescent="0.15">
      <c r="B90" s="172"/>
      <c r="C90" s="82" t="s">
        <v>141</v>
      </c>
      <c r="D90" s="177" t="s">
        <v>209</v>
      </c>
      <c r="E90" s="177"/>
      <c r="F90" s="177"/>
      <c r="G90" s="177"/>
      <c r="H90" s="177"/>
      <c r="I90" s="177"/>
      <c r="J90" s="177"/>
      <c r="K90" s="177"/>
      <c r="L90" s="177"/>
      <c r="M90" s="177"/>
      <c r="N90" s="177"/>
      <c r="O90" s="177"/>
      <c r="P90" s="177"/>
      <c r="Q90" s="177"/>
      <c r="R90" s="177"/>
      <c r="S90" s="177"/>
      <c r="T90" s="177"/>
      <c r="U90" s="177"/>
      <c r="V90" s="177"/>
      <c r="W90" s="177"/>
      <c r="X90" s="177"/>
      <c r="Y90" s="177"/>
      <c r="Z90" s="178"/>
    </row>
    <row r="91" spans="1:26" ht="6" customHeight="1" x14ac:dyDescent="0.15"/>
    <row r="92" spans="1:26" ht="18.75" customHeight="1" x14ac:dyDescent="0.15">
      <c r="A92" s="13" t="s">
        <v>149</v>
      </c>
    </row>
    <row r="93" spans="1:26" ht="18.75" customHeight="1" x14ac:dyDescent="0.15">
      <c r="B93" s="235" t="s">
        <v>214</v>
      </c>
      <c r="C93" s="236"/>
      <c r="D93" s="236"/>
      <c r="E93" s="236"/>
      <c r="F93" s="236"/>
      <c r="G93" s="236"/>
      <c r="H93" s="236"/>
      <c r="I93" s="236"/>
      <c r="J93" s="236"/>
      <c r="K93" s="236"/>
      <c r="L93" s="236"/>
      <c r="M93" s="236"/>
      <c r="N93" s="236"/>
      <c r="O93" s="236"/>
      <c r="P93" s="236"/>
      <c r="Q93" s="236"/>
      <c r="R93" s="236"/>
      <c r="S93" s="236"/>
      <c r="T93" s="236"/>
      <c r="U93" s="236"/>
      <c r="V93" s="236"/>
      <c r="W93" s="236"/>
      <c r="X93" s="236"/>
      <c r="Y93" s="236"/>
      <c r="Z93" s="237"/>
    </row>
    <row r="94" spans="1:26" ht="18.75" customHeight="1" x14ac:dyDescent="0.15">
      <c r="B94" s="238"/>
      <c r="C94" s="239"/>
      <c r="D94" s="239"/>
      <c r="E94" s="239"/>
      <c r="F94" s="239"/>
      <c r="G94" s="239"/>
      <c r="H94" s="239"/>
      <c r="I94" s="239"/>
      <c r="J94" s="239"/>
      <c r="K94" s="239"/>
      <c r="L94" s="239"/>
      <c r="M94" s="239"/>
      <c r="N94" s="239"/>
      <c r="O94" s="239"/>
      <c r="P94" s="239"/>
      <c r="Q94" s="239"/>
      <c r="R94" s="239"/>
      <c r="S94" s="239"/>
      <c r="T94" s="239"/>
      <c r="U94" s="239"/>
      <c r="V94" s="239"/>
      <c r="W94" s="239"/>
      <c r="X94" s="239"/>
      <c r="Y94" s="239"/>
      <c r="Z94" s="240"/>
    </row>
    <row r="95" spans="1:26" ht="18.75" customHeight="1" x14ac:dyDescent="0.15">
      <c r="B95" s="241"/>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3"/>
    </row>
    <row r="96" spans="1:26" ht="6" customHeight="1" x14ac:dyDescent="0.15"/>
    <row r="97" spans="1:26" ht="15" customHeight="1" x14ac:dyDescent="0.15">
      <c r="A97" s="13" t="s">
        <v>150</v>
      </c>
    </row>
    <row r="98" spans="1:26" ht="15" customHeight="1" x14ac:dyDescent="0.15">
      <c r="B98" s="244" t="s">
        <v>180</v>
      </c>
      <c r="C98" s="245"/>
      <c r="D98" s="245"/>
      <c r="E98" s="245"/>
      <c r="F98" s="245"/>
      <c r="G98" s="245"/>
      <c r="H98" s="245"/>
      <c r="I98" s="245"/>
      <c r="J98" s="245"/>
      <c r="K98" s="245"/>
      <c r="L98" s="245"/>
      <c r="M98" s="245"/>
      <c r="N98" s="245"/>
      <c r="O98" s="245"/>
      <c r="P98" s="245"/>
      <c r="Q98" s="245"/>
      <c r="R98" s="245"/>
      <c r="S98" s="245"/>
      <c r="T98" s="245"/>
      <c r="U98" s="245"/>
      <c r="V98" s="245"/>
      <c r="W98" s="245"/>
      <c r="X98" s="245"/>
      <c r="Y98" s="245"/>
      <c r="Z98" s="246"/>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H27:H33 H38:H44 Y38:Z44 H49:H55 Y49:Z55 Y60:Z66 G60:G66 H16:H22 U16:U22 T60:T66 U27:U33 L27:M33 U38:U44 L38:M44 U49:U55 L49:M55 M60:M66 L61:L66 K60:L60" xr:uid="{4C0986EB-3601-4249-85F7-B678A400A117}">
      <formula1>"○"</formula1>
    </dataValidation>
    <dataValidation type="list" allowBlank="1" showInputMessage="1" showErrorMessage="1" sqref="Z23 Z34 D34:K34 D23:K23 V16:V22 I16:I22 V27:V33 I49:I55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1270EC6B-2A85-4EDA-B10F-5B7BC1D2A0CE}"/>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D11" sqref="D1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8" t="s">
        <v>65</v>
      </c>
      <c r="G1" s="248"/>
      <c r="H1" s="248"/>
      <c r="I1" s="248"/>
      <c r="J1" s="248"/>
      <c r="K1" s="248"/>
      <c r="L1" s="248"/>
      <c r="M1" s="248"/>
      <c r="N1" s="248"/>
      <c r="O1" s="248"/>
      <c r="P1" s="248"/>
      <c r="Q1" s="248"/>
      <c r="R1" s="248"/>
    </row>
    <row r="2" spans="1:20" ht="18" customHeight="1" x14ac:dyDescent="0.15">
      <c r="A2" s="249" t="s">
        <v>93</v>
      </c>
      <c r="B2" s="249"/>
      <c r="C2" s="249"/>
      <c r="D2" s="249"/>
      <c r="E2" s="249"/>
      <c r="F2" s="249"/>
      <c r="G2" s="249"/>
      <c r="H2" s="249"/>
      <c r="I2" s="249"/>
      <c r="J2" s="249"/>
      <c r="K2" s="249"/>
      <c r="L2" s="249"/>
      <c r="M2" s="249"/>
      <c r="N2" s="249"/>
      <c r="O2" s="249"/>
      <c r="P2" s="249"/>
      <c r="Q2" s="249"/>
      <c r="R2" s="249"/>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153</v>
      </c>
      <c r="B4" s="4"/>
      <c r="C4" s="250" t="str">
        <f>'様式１　大学等概要'!E12</f>
        <v>令和３</v>
      </c>
      <c r="D4" s="251"/>
      <c r="E4" s="38" t="s">
        <v>118</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151</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2" t="s">
        <v>83</v>
      </c>
      <c r="C8" s="254" t="s">
        <v>88</v>
      </c>
      <c r="D8" s="256" t="s">
        <v>70</v>
      </c>
      <c r="E8" s="258" t="s">
        <v>94</v>
      </c>
      <c r="F8" s="258"/>
      <c r="G8" s="258" t="s">
        <v>95</v>
      </c>
      <c r="H8" s="258"/>
      <c r="I8" s="258" t="s">
        <v>96</v>
      </c>
      <c r="J8" s="258"/>
      <c r="K8" s="259" t="s">
        <v>97</v>
      </c>
      <c r="L8" s="260"/>
      <c r="M8" s="259" t="s">
        <v>98</v>
      </c>
      <c r="N8" s="260"/>
      <c r="O8" s="259" t="s">
        <v>99</v>
      </c>
      <c r="P8" s="260"/>
      <c r="Q8" s="261" t="s">
        <v>64</v>
      </c>
      <c r="R8" s="263" t="s">
        <v>58</v>
      </c>
      <c r="T8" s="34"/>
    </row>
    <row r="9" spans="1:20" ht="18" customHeight="1" x14ac:dyDescent="0.15">
      <c r="A9" s="4"/>
      <c r="B9" s="253"/>
      <c r="C9" s="255"/>
      <c r="D9" s="257"/>
      <c r="E9" s="43" t="s">
        <v>46</v>
      </c>
      <c r="F9" s="44" t="s">
        <v>45</v>
      </c>
      <c r="G9" s="45" t="s">
        <v>46</v>
      </c>
      <c r="H9" s="46" t="s">
        <v>45</v>
      </c>
      <c r="I9" s="43" t="s">
        <v>46</v>
      </c>
      <c r="J9" s="44" t="s">
        <v>45</v>
      </c>
      <c r="K9" s="45" t="s">
        <v>46</v>
      </c>
      <c r="L9" s="46" t="s">
        <v>45</v>
      </c>
      <c r="M9" s="43" t="s">
        <v>46</v>
      </c>
      <c r="N9" s="44" t="s">
        <v>45</v>
      </c>
      <c r="O9" s="45" t="s">
        <v>46</v>
      </c>
      <c r="P9" s="46" t="s">
        <v>45</v>
      </c>
      <c r="Q9" s="262"/>
      <c r="R9" s="264"/>
      <c r="T9" s="34"/>
    </row>
    <row r="10" spans="1:20" ht="18" customHeight="1" x14ac:dyDescent="0.15">
      <c r="A10" s="47"/>
      <c r="B10" s="87" t="s">
        <v>181</v>
      </c>
      <c r="C10" s="47">
        <v>385</v>
      </c>
      <c r="D10" s="48">
        <v>1540</v>
      </c>
      <c r="E10" s="49">
        <v>405</v>
      </c>
      <c r="F10" s="50">
        <v>363</v>
      </c>
      <c r="G10" s="51">
        <v>0</v>
      </c>
      <c r="H10" s="52">
        <v>0</v>
      </c>
      <c r="I10" s="49">
        <v>0</v>
      </c>
      <c r="J10" s="50">
        <v>0</v>
      </c>
      <c r="K10" s="51">
        <v>0</v>
      </c>
      <c r="L10" s="52">
        <v>0</v>
      </c>
      <c r="M10" s="49">
        <v>0</v>
      </c>
      <c r="N10" s="50">
        <v>0</v>
      </c>
      <c r="O10" s="51">
        <v>0</v>
      </c>
      <c r="P10" s="52">
        <v>0</v>
      </c>
      <c r="Q10" s="53">
        <f>E10+G10+I10+K10+M10+O10</f>
        <v>405</v>
      </c>
      <c r="R10" s="54">
        <f>Q10/D10</f>
        <v>0.26298701298701299</v>
      </c>
    </row>
    <row r="11" spans="1:20" ht="18" customHeight="1" x14ac:dyDescent="0.15">
      <c r="A11" s="47"/>
      <c r="B11" s="88" t="s">
        <v>182</v>
      </c>
      <c r="C11" s="63">
        <v>135</v>
      </c>
      <c r="D11" s="56">
        <v>540</v>
      </c>
      <c r="E11" s="57">
        <v>162</v>
      </c>
      <c r="F11" s="58">
        <v>157</v>
      </c>
      <c r="G11" s="59">
        <v>0</v>
      </c>
      <c r="H11" s="60">
        <v>0</v>
      </c>
      <c r="I11" s="57">
        <v>0</v>
      </c>
      <c r="J11" s="58">
        <v>0</v>
      </c>
      <c r="K11" s="59">
        <v>0</v>
      </c>
      <c r="L11" s="60">
        <v>0</v>
      </c>
      <c r="M11" s="57">
        <v>0</v>
      </c>
      <c r="N11" s="58">
        <v>0</v>
      </c>
      <c r="O11" s="59">
        <v>0</v>
      </c>
      <c r="P11" s="60">
        <v>0</v>
      </c>
      <c r="Q11" s="61">
        <f t="shared" ref="Q11:Q29" si="0">E11+G11+I11+K11+M11+O11</f>
        <v>162</v>
      </c>
      <c r="R11" s="62">
        <f t="shared" ref="R11:R29" si="1">Q11/D11</f>
        <v>0.3</v>
      </c>
    </row>
    <row r="12" spans="1:20" ht="18" customHeight="1" x14ac:dyDescent="0.15">
      <c r="A12" s="47"/>
      <c r="B12" s="88" t="s">
        <v>183</v>
      </c>
      <c r="C12" s="63">
        <v>240</v>
      </c>
      <c r="D12" s="56">
        <v>960</v>
      </c>
      <c r="E12" s="57">
        <v>276</v>
      </c>
      <c r="F12" s="58">
        <v>255</v>
      </c>
      <c r="G12" s="59">
        <v>0</v>
      </c>
      <c r="H12" s="60">
        <v>0</v>
      </c>
      <c r="I12" s="57">
        <v>0</v>
      </c>
      <c r="J12" s="58">
        <v>0</v>
      </c>
      <c r="K12" s="59">
        <v>0</v>
      </c>
      <c r="L12" s="60">
        <v>0</v>
      </c>
      <c r="M12" s="57">
        <v>0</v>
      </c>
      <c r="N12" s="58">
        <v>0</v>
      </c>
      <c r="O12" s="59">
        <v>0</v>
      </c>
      <c r="P12" s="60">
        <v>0</v>
      </c>
      <c r="Q12" s="61">
        <f t="shared" si="0"/>
        <v>276</v>
      </c>
      <c r="R12" s="62">
        <f t="shared" si="1"/>
        <v>0.28749999999999998</v>
      </c>
    </row>
    <row r="13" spans="1:20" ht="18" customHeight="1" x14ac:dyDescent="0.15">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760</v>
      </c>
      <c r="D30" s="65">
        <f t="shared" si="2"/>
        <v>3040</v>
      </c>
      <c r="E30" s="66">
        <f t="shared" si="2"/>
        <v>843</v>
      </c>
      <c r="F30" s="67">
        <f t="shared" si="2"/>
        <v>775</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843</v>
      </c>
      <c r="R30" s="71">
        <f>Q30/D30</f>
        <v>0.27730263157894736</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06" zoomScaleNormal="100" zoomScaleSheetLayoutView="100" workbookViewId="0">
      <selection activeCell="B15" sqref="B15:J2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119</v>
      </c>
      <c r="J1" s="41" t="s">
        <v>120</v>
      </c>
    </row>
    <row r="2" spans="1:11" ht="18.75" customHeight="1" x14ac:dyDescent="0.15">
      <c r="A2" s="249" t="s">
        <v>66</v>
      </c>
      <c r="B2" s="249"/>
      <c r="C2" s="249"/>
      <c r="D2" s="249"/>
      <c r="E2" s="249"/>
      <c r="F2" s="249"/>
      <c r="G2" s="249"/>
      <c r="H2" s="249"/>
      <c r="I2" s="249"/>
      <c r="J2" s="249"/>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134" t="s">
        <v>184</v>
      </c>
      <c r="C5" s="135"/>
      <c r="D5" s="135"/>
      <c r="E5" s="135"/>
      <c r="F5" s="135"/>
      <c r="G5" s="135"/>
      <c r="H5" s="135"/>
      <c r="I5" s="135"/>
      <c r="J5" s="274"/>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4.25" customHeight="1" x14ac:dyDescent="0.15">
      <c r="A8" s="93"/>
      <c r="B8" s="275" t="s">
        <v>185</v>
      </c>
      <c r="C8" s="276"/>
      <c r="D8" s="276"/>
      <c r="E8" s="276"/>
      <c r="F8" s="276"/>
      <c r="G8" s="276"/>
      <c r="H8" s="276"/>
      <c r="I8" s="277"/>
      <c r="J8" s="278"/>
      <c r="K8" s="31" t="str">
        <f>IF(B8="","入力してください","")</f>
        <v/>
      </c>
    </row>
    <row r="9" spans="1:11" s="4" customFormat="1" ht="14.25" customHeight="1" x14ac:dyDescent="0.15">
      <c r="A9" s="93"/>
      <c r="B9" s="279"/>
      <c r="C9" s="280"/>
      <c r="D9" s="280"/>
      <c r="E9" s="280"/>
      <c r="F9" s="280"/>
      <c r="G9" s="280"/>
      <c r="H9" s="280"/>
      <c r="I9" s="280"/>
      <c r="J9" s="281"/>
      <c r="K9" s="31"/>
    </row>
    <row r="10" spans="1:11" s="4" customFormat="1" ht="14.25" customHeight="1" x14ac:dyDescent="0.15">
      <c r="A10" s="93"/>
      <c r="B10" s="279"/>
      <c r="C10" s="280"/>
      <c r="D10" s="280"/>
      <c r="E10" s="280"/>
      <c r="F10" s="280"/>
      <c r="G10" s="280"/>
      <c r="H10" s="280"/>
      <c r="I10" s="280"/>
      <c r="J10" s="281"/>
      <c r="K10" s="31"/>
    </row>
    <row r="11" spans="1:11" s="4" customFormat="1" ht="14.25" customHeight="1" x14ac:dyDescent="0.15">
      <c r="A11" s="93"/>
      <c r="B11" s="279"/>
      <c r="C11" s="280"/>
      <c r="D11" s="280"/>
      <c r="E11" s="280"/>
      <c r="F11" s="280"/>
      <c r="G11" s="280"/>
      <c r="H11" s="280"/>
      <c r="I11" s="280"/>
      <c r="J11" s="281"/>
      <c r="K11" s="31"/>
    </row>
    <row r="12" spans="1:11" s="4" customFormat="1" ht="14.25" customHeight="1" x14ac:dyDescent="0.15">
      <c r="A12" s="93"/>
      <c r="B12" s="282"/>
      <c r="C12" s="283"/>
      <c r="D12" s="283"/>
      <c r="E12" s="283"/>
      <c r="F12" s="283"/>
      <c r="G12" s="283"/>
      <c r="H12" s="283"/>
      <c r="I12" s="283"/>
      <c r="J12" s="284"/>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30.75" customHeight="1" x14ac:dyDescent="0.15">
      <c r="A15" s="93"/>
      <c r="B15" s="275" t="s">
        <v>213</v>
      </c>
      <c r="C15" s="276"/>
      <c r="D15" s="276"/>
      <c r="E15" s="276"/>
      <c r="F15" s="276"/>
      <c r="G15" s="276"/>
      <c r="H15" s="276"/>
      <c r="I15" s="277"/>
      <c r="J15" s="278"/>
      <c r="K15" s="31" t="str">
        <f>IF(B15="","入力してください","")</f>
        <v/>
      </c>
    </row>
    <row r="16" spans="1:11" s="4" customFormat="1" ht="30.75" customHeight="1" x14ac:dyDescent="0.15">
      <c r="A16" s="93"/>
      <c r="B16" s="279"/>
      <c r="C16" s="280"/>
      <c r="D16" s="280"/>
      <c r="E16" s="280"/>
      <c r="F16" s="280"/>
      <c r="G16" s="280"/>
      <c r="H16" s="280"/>
      <c r="I16" s="280"/>
      <c r="J16" s="281"/>
      <c r="K16" s="31"/>
    </row>
    <row r="17" spans="1:11" s="4" customFormat="1" ht="30.75" customHeight="1" x14ac:dyDescent="0.15">
      <c r="A17" s="93"/>
      <c r="B17" s="279"/>
      <c r="C17" s="280"/>
      <c r="D17" s="280"/>
      <c r="E17" s="280"/>
      <c r="F17" s="280"/>
      <c r="G17" s="280"/>
      <c r="H17" s="280"/>
      <c r="I17" s="280"/>
      <c r="J17" s="281"/>
      <c r="K17" s="31"/>
    </row>
    <row r="18" spans="1:11" s="4" customFormat="1" ht="30.75" customHeight="1" x14ac:dyDescent="0.15">
      <c r="A18" s="93"/>
      <c r="B18" s="279"/>
      <c r="C18" s="280"/>
      <c r="D18" s="280"/>
      <c r="E18" s="280"/>
      <c r="F18" s="280"/>
      <c r="G18" s="280"/>
      <c r="H18" s="280"/>
      <c r="I18" s="280"/>
      <c r="J18" s="281"/>
      <c r="K18" s="31"/>
    </row>
    <row r="19" spans="1:11" s="4" customFormat="1" ht="30.75" customHeight="1" x14ac:dyDescent="0.15">
      <c r="A19" s="93"/>
      <c r="B19" s="279"/>
      <c r="C19" s="280"/>
      <c r="D19" s="280"/>
      <c r="E19" s="280"/>
      <c r="F19" s="280"/>
      <c r="G19" s="280"/>
      <c r="H19" s="280"/>
      <c r="I19" s="280"/>
      <c r="J19" s="281"/>
      <c r="K19" s="31"/>
    </row>
    <row r="20" spans="1:11" s="4" customFormat="1" ht="30.75" customHeight="1" x14ac:dyDescent="0.15">
      <c r="A20" s="93"/>
      <c r="B20" s="279"/>
      <c r="C20" s="280"/>
      <c r="D20" s="280"/>
      <c r="E20" s="280"/>
      <c r="F20" s="280"/>
      <c r="G20" s="280"/>
      <c r="H20" s="280"/>
      <c r="I20" s="280"/>
      <c r="J20" s="281"/>
      <c r="K20" s="31"/>
    </row>
    <row r="21" spans="1:11" s="4" customFormat="1" ht="30.75" customHeight="1" x14ac:dyDescent="0.15">
      <c r="A21" s="93"/>
      <c r="B21" s="279"/>
      <c r="C21" s="280"/>
      <c r="D21" s="280"/>
      <c r="E21" s="280"/>
      <c r="F21" s="280"/>
      <c r="G21" s="280"/>
      <c r="H21" s="280"/>
      <c r="I21" s="280"/>
      <c r="J21" s="281"/>
      <c r="K21" s="31"/>
    </row>
    <row r="22" spans="1:11" s="4" customFormat="1" ht="30.75" customHeight="1" x14ac:dyDescent="0.15">
      <c r="A22" s="93"/>
      <c r="B22" s="279"/>
      <c r="C22" s="280"/>
      <c r="D22" s="280"/>
      <c r="E22" s="280"/>
      <c r="F22" s="280"/>
      <c r="G22" s="280"/>
      <c r="H22" s="280"/>
      <c r="I22" s="280"/>
      <c r="J22" s="281"/>
      <c r="K22" s="31"/>
    </row>
    <row r="23" spans="1:11" s="4" customFormat="1" ht="30.75" customHeight="1" x14ac:dyDescent="0.15">
      <c r="A23" s="93"/>
      <c r="B23" s="279"/>
      <c r="C23" s="280"/>
      <c r="D23" s="280"/>
      <c r="E23" s="280"/>
      <c r="F23" s="280"/>
      <c r="G23" s="280"/>
      <c r="H23" s="280"/>
      <c r="I23" s="280"/>
      <c r="J23" s="281"/>
      <c r="K23" s="31"/>
    </row>
    <row r="24" spans="1:11" s="4" customFormat="1" ht="30.75" customHeight="1" x14ac:dyDescent="0.15">
      <c r="A24" s="93"/>
      <c r="B24" s="279"/>
      <c r="C24" s="280"/>
      <c r="D24" s="280"/>
      <c r="E24" s="280"/>
      <c r="F24" s="280"/>
      <c r="G24" s="280"/>
      <c r="H24" s="280"/>
      <c r="I24" s="280"/>
      <c r="J24" s="281"/>
      <c r="K24" s="31"/>
    </row>
    <row r="25" spans="1:11" s="4" customFormat="1" ht="30.75" customHeight="1" x14ac:dyDescent="0.15">
      <c r="A25" s="93"/>
      <c r="B25" s="282"/>
      <c r="C25" s="283"/>
      <c r="D25" s="283"/>
      <c r="E25" s="283"/>
      <c r="F25" s="283"/>
      <c r="G25" s="283"/>
      <c r="H25" s="283"/>
      <c r="I25" s="283"/>
      <c r="J25" s="284"/>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3.5" customHeight="1" x14ac:dyDescent="0.15">
      <c r="B28" s="95" t="s">
        <v>121</v>
      </c>
      <c r="C28" s="96">
        <f>'様式３　履修者等数の実績'!R30</f>
        <v>0.27730263157894736</v>
      </c>
      <c r="D28" s="97"/>
      <c r="E28" s="97" t="s">
        <v>122</v>
      </c>
      <c r="F28" s="96">
        <v>0.5</v>
      </c>
      <c r="G28" s="97"/>
      <c r="H28" s="97" t="s">
        <v>123</v>
      </c>
      <c r="I28" s="98">
        <v>0.75</v>
      </c>
      <c r="J28" s="99"/>
      <c r="K28" s="31"/>
    </row>
    <row r="29" spans="1:11" s="29" customFormat="1" ht="13.5" customHeight="1" x14ac:dyDescent="0.15">
      <c r="B29" s="83" t="s">
        <v>124</v>
      </c>
      <c r="C29" s="100">
        <v>1</v>
      </c>
      <c r="D29" s="84"/>
      <c r="E29" s="84" t="s">
        <v>125</v>
      </c>
      <c r="F29" s="100">
        <v>1</v>
      </c>
      <c r="G29" s="84"/>
      <c r="H29" s="84" t="s">
        <v>126</v>
      </c>
      <c r="I29" s="101">
        <f>'様式３　履修者等数の実績'!D30</f>
        <v>3040</v>
      </c>
      <c r="J29" s="102"/>
      <c r="K29" s="35"/>
    </row>
    <row r="30" spans="1:11" s="4" customFormat="1" ht="13.5" customHeight="1" x14ac:dyDescent="0.15">
      <c r="A30" s="1"/>
      <c r="B30" s="168" t="s">
        <v>127</v>
      </c>
      <c r="C30" s="169"/>
      <c r="D30" s="169"/>
      <c r="E30" s="169"/>
      <c r="F30" s="169"/>
      <c r="G30" s="169"/>
      <c r="H30" s="169"/>
      <c r="I30" s="169"/>
      <c r="J30" s="170"/>
      <c r="K30" s="35"/>
    </row>
    <row r="31" spans="1:11" s="4" customFormat="1" ht="13.5" customHeight="1" x14ac:dyDescent="0.15">
      <c r="A31" s="1"/>
      <c r="B31" s="265" t="s">
        <v>210</v>
      </c>
      <c r="C31" s="266"/>
      <c r="D31" s="266"/>
      <c r="E31" s="266"/>
      <c r="F31" s="266"/>
      <c r="G31" s="266"/>
      <c r="H31" s="266"/>
      <c r="I31" s="266"/>
      <c r="J31" s="267"/>
      <c r="K31" s="35" t="str">
        <f>IF(B31="","入力してください","")</f>
        <v/>
      </c>
    </row>
    <row r="32" spans="1:11" s="4" customFormat="1" ht="13.5" customHeight="1" x14ac:dyDescent="0.15">
      <c r="A32" s="1"/>
      <c r="B32" s="268"/>
      <c r="C32" s="269"/>
      <c r="D32" s="269"/>
      <c r="E32" s="269"/>
      <c r="F32" s="269"/>
      <c r="G32" s="269"/>
      <c r="H32" s="269"/>
      <c r="I32" s="269"/>
      <c r="J32" s="270"/>
      <c r="K32" s="35"/>
    </row>
    <row r="33" spans="1:11" s="4" customFormat="1" ht="13.5" customHeight="1" x14ac:dyDescent="0.15">
      <c r="A33" s="1"/>
      <c r="B33" s="268"/>
      <c r="C33" s="269"/>
      <c r="D33" s="269"/>
      <c r="E33" s="269"/>
      <c r="F33" s="269"/>
      <c r="G33" s="269"/>
      <c r="H33" s="269"/>
      <c r="I33" s="269"/>
      <c r="J33" s="270"/>
      <c r="K33" s="35"/>
    </row>
    <row r="34" spans="1:11" s="4" customFormat="1" ht="13.5" customHeight="1" x14ac:dyDescent="0.15">
      <c r="A34" s="1"/>
      <c r="B34" s="268"/>
      <c r="C34" s="269"/>
      <c r="D34" s="269"/>
      <c r="E34" s="269"/>
      <c r="F34" s="269"/>
      <c r="G34" s="269"/>
      <c r="H34" s="269"/>
      <c r="I34" s="269"/>
      <c r="J34" s="270"/>
      <c r="K34" s="35"/>
    </row>
    <row r="35" spans="1:11" s="4" customFormat="1" ht="13.5" customHeight="1" x14ac:dyDescent="0.15">
      <c r="A35" s="1"/>
      <c r="B35" s="268"/>
      <c r="C35" s="269"/>
      <c r="D35" s="269"/>
      <c r="E35" s="269"/>
      <c r="F35" s="269"/>
      <c r="G35" s="269"/>
      <c r="H35" s="269"/>
      <c r="I35" s="269"/>
      <c r="J35" s="270"/>
      <c r="K35" s="35"/>
    </row>
    <row r="36" spans="1:11" s="4" customFormat="1" ht="13.5" customHeight="1" x14ac:dyDescent="0.15">
      <c r="A36" s="1"/>
      <c r="B36" s="268"/>
      <c r="C36" s="269"/>
      <c r="D36" s="269"/>
      <c r="E36" s="269"/>
      <c r="F36" s="269"/>
      <c r="G36" s="269"/>
      <c r="H36" s="269"/>
      <c r="I36" s="269"/>
      <c r="J36" s="270"/>
      <c r="K36" s="35"/>
    </row>
    <row r="37" spans="1:11" s="4" customFormat="1" ht="13.5" customHeight="1" x14ac:dyDescent="0.15">
      <c r="A37" s="1"/>
      <c r="B37" s="268"/>
      <c r="C37" s="269"/>
      <c r="D37" s="269"/>
      <c r="E37" s="269"/>
      <c r="F37" s="269"/>
      <c r="G37" s="269"/>
      <c r="H37" s="269"/>
      <c r="I37" s="269"/>
      <c r="J37" s="270"/>
      <c r="K37" s="35"/>
    </row>
    <row r="38" spans="1:11" s="4" customFormat="1" ht="13.5" customHeight="1" x14ac:dyDescent="0.15">
      <c r="A38" s="1"/>
      <c r="B38" s="268"/>
      <c r="C38" s="269"/>
      <c r="D38" s="269"/>
      <c r="E38" s="269"/>
      <c r="F38" s="269"/>
      <c r="G38" s="269"/>
      <c r="H38" s="269"/>
      <c r="I38" s="269"/>
      <c r="J38" s="270"/>
      <c r="K38" s="35"/>
    </row>
    <row r="39" spans="1:11" s="4" customFormat="1" ht="13.5" customHeight="1" x14ac:dyDescent="0.15">
      <c r="A39" s="1"/>
      <c r="B39" s="268"/>
      <c r="C39" s="269"/>
      <c r="D39" s="269"/>
      <c r="E39" s="269"/>
      <c r="F39" s="269"/>
      <c r="G39" s="269"/>
      <c r="H39" s="269"/>
      <c r="I39" s="269"/>
      <c r="J39" s="270"/>
      <c r="K39" s="35"/>
    </row>
    <row r="40" spans="1:11" s="4" customFormat="1" ht="13.5" customHeight="1" x14ac:dyDescent="0.15">
      <c r="A40" s="1"/>
      <c r="B40" s="268"/>
      <c r="C40" s="269"/>
      <c r="D40" s="269"/>
      <c r="E40" s="269"/>
      <c r="F40" s="269"/>
      <c r="G40" s="269"/>
      <c r="H40" s="269"/>
      <c r="I40" s="269"/>
      <c r="J40" s="270"/>
      <c r="K40" s="35"/>
    </row>
    <row r="41" spans="1:11" s="4" customFormat="1" ht="13.5" customHeight="1" x14ac:dyDescent="0.15">
      <c r="A41" s="1"/>
      <c r="B41" s="268"/>
      <c r="C41" s="269"/>
      <c r="D41" s="269"/>
      <c r="E41" s="269"/>
      <c r="F41" s="269"/>
      <c r="G41" s="269"/>
      <c r="H41" s="269"/>
      <c r="I41" s="269"/>
      <c r="J41" s="270"/>
      <c r="K41" s="35"/>
    </row>
    <row r="42" spans="1:11" s="4" customFormat="1" ht="13.5" customHeight="1" x14ac:dyDescent="0.15">
      <c r="A42" s="1"/>
      <c r="B42" s="268"/>
      <c r="C42" s="269"/>
      <c r="D42" s="269"/>
      <c r="E42" s="269"/>
      <c r="F42" s="269"/>
      <c r="G42" s="269"/>
      <c r="H42" s="269"/>
      <c r="I42" s="269"/>
      <c r="J42" s="270"/>
      <c r="K42" s="35"/>
    </row>
    <row r="43" spans="1:11" ht="13.5" customHeight="1" x14ac:dyDescent="0.15">
      <c r="A43" s="39"/>
      <c r="B43" s="268"/>
      <c r="C43" s="269"/>
      <c r="D43" s="269"/>
      <c r="E43" s="269"/>
      <c r="F43" s="269"/>
      <c r="G43" s="269"/>
      <c r="H43" s="269"/>
      <c r="I43" s="269"/>
      <c r="J43" s="270"/>
      <c r="K43" s="35"/>
    </row>
    <row r="44" spans="1:11" ht="13.5" customHeight="1" x14ac:dyDescent="0.15">
      <c r="A44" s="39"/>
      <c r="B44" s="271"/>
      <c r="C44" s="272"/>
      <c r="D44" s="272"/>
      <c r="E44" s="272"/>
      <c r="F44" s="272"/>
      <c r="G44" s="272"/>
      <c r="H44" s="272"/>
      <c r="I44" s="272"/>
      <c r="J44" s="273"/>
    </row>
    <row r="45" spans="1:11" s="4" customFormat="1" ht="18.75" customHeight="1" x14ac:dyDescent="0.15">
      <c r="A45" s="103" t="s">
        <v>12</v>
      </c>
      <c r="B45" s="1" t="s">
        <v>67</v>
      </c>
      <c r="C45" s="1"/>
      <c r="D45" s="1"/>
      <c r="E45" s="1"/>
      <c r="F45" s="1"/>
      <c r="G45" s="1"/>
      <c r="H45" s="1"/>
      <c r="I45" s="103"/>
      <c r="J45" s="103"/>
      <c r="K45" s="31"/>
    </row>
    <row r="46" spans="1:11" ht="18.75" customHeight="1" x14ac:dyDescent="0.15">
      <c r="A46" s="39"/>
      <c r="B46" s="275" t="s">
        <v>186</v>
      </c>
      <c r="C46" s="285"/>
      <c r="D46" s="285"/>
      <c r="E46" s="285"/>
      <c r="F46" s="285"/>
      <c r="G46" s="285"/>
      <c r="H46" s="285"/>
      <c r="I46" s="286"/>
      <c r="J46" s="287"/>
      <c r="K46" s="31" t="str">
        <f>IF(B46="","入力してください","")</f>
        <v/>
      </c>
    </row>
    <row r="47" spans="1:11" ht="18.75" customHeight="1" x14ac:dyDescent="0.15">
      <c r="A47" s="39"/>
      <c r="B47" s="288"/>
      <c r="C47" s="289"/>
      <c r="D47" s="289"/>
      <c r="E47" s="289"/>
      <c r="F47" s="289"/>
      <c r="G47" s="289"/>
      <c r="H47" s="289"/>
      <c r="I47" s="289"/>
      <c r="J47" s="290"/>
    </row>
    <row r="48" spans="1:11" ht="18.75" customHeight="1" x14ac:dyDescent="0.15">
      <c r="A48" s="39"/>
      <c r="B48" s="288"/>
      <c r="C48" s="289"/>
      <c r="D48" s="289"/>
      <c r="E48" s="289"/>
      <c r="F48" s="289"/>
      <c r="G48" s="289"/>
      <c r="H48" s="289"/>
      <c r="I48" s="289"/>
      <c r="J48" s="290"/>
    </row>
    <row r="49" spans="1:10" ht="18.75" customHeight="1" x14ac:dyDescent="0.15">
      <c r="A49" s="39"/>
      <c r="B49" s="288"/>
      <c r="C49" s="289"/>
      <c r="D49" s="289"/>
      <c r="E49" s="289"/>
      <c r="F49" s="289"/>
      <c r="G49" s="289"/>
      <c r="H49" s="289"/>
      <c r="I49" s="289"/>
      <c r="J49" s="290"/>
    </row>
    <row r="50" spans="1:10" ht="18.75" customHeight="1" x14ac:dyDescent="0.15">
      <c r="A50" s="39"/>
      <c r="B50" s="288"/>
      <c r="C50" s="289"/>
      <c r="D50" s="289"/>
      <c r="E50" s="289"/>
      <c r="F50" s="289"/>
      <c r="G50" s="289"/>
      <c r="H50" s="289"/>
      <c r="I50" s="289"/>
      <c r="J50" s="290"/>
    </row>
    <row r="51" spans="1:10" ht="18.75" customHeight="1" x14ac:dyDescent="0.15">
      <c r="A51" s="39"/>
      <c r="B51" s="288"/>
      <c r="C51" s="289"/>
      <c r="D51" s="289"/>
      <c r="E51" s="289"/>
      <c r="F51" s="289"/>
      <c r="G51" s="289"/>
      <c r="H51" s="289"/>
      <c r="I51" s="289"/>
      <c r="J51" s="290"/>
    </row>
    <row r="52" spans="1:10" ht="18.75" customHeight="1" x14ac:dyDescent="0.15">
      <c r="A52" s="39"/>
      <c r="B52" s="288"/>
      <c r="C52" s="289"/>
      <c r="D52" s="289"/>
      <c r="E52" s="289"/>
      <c r="F52" s="289"/>
      <c r="G52" s="289"/>
      <c r="H52" s="289"/>
      <c r="I52" s="289"/>
      <c r="J52" s="290"/>
    </row>
    <row r="53" spans="1:10" ht="18.75" customHeight="1" x14ac:dyDescent="0.15">
      <c r="A53" s="39"/>
      <c r="B53" s="288"/>
      <c r="C53" s="289"/>
      <c r="D53" s="289"/>
      <c r="E53" s="289"/>
      <c r="F53" s="289"/>
      <c r="G53" s="289"/>
      <c r="H53" s="289"/>
      <c r="I53" s="289"/>
      <c r="J53" s="290"/>
    </row>
    <row r="54" spans="1:10" ht="18.75" customHeight="1" x14ac:dyDescent="0.15">
      <c r="A54" s="39"/>
      <c r="B54" s="288"/>
      <c r="C54" s="289"/>
      <c r="D54" s="289"/>
      <c r="E54" s="289"/>
      <c r="F54" s="289"/>
      <c r="G54" s="289"/>
      <c r="H54" s="289"/>
      <c r="I54" s="289"/>
      <c r="J54" s="290"/>
    </row>
    <row r="55" spans="1:10" ht="18.75" customHeight="1" x14ac:dyDescent="0.15">
      <c r="A55" s="39"/>
      <c r="B55" s="288"/>
      <c r="C55" s="289"/>
      <c r="D55" s="289"/>
      <c r="E55" s="289"/>
      <c r="F55" s="289"/>
      <c r="G55" s="289"/>
      <c r="H55" s="289"/>
      <c r="I55" s="289"/>
      <c r="J55" s="290"/>
    </row>
    <row r="56" spans="1:10" ht="18.75" customHeight="1" x14ac:dyDescent="0.15">
      <c r="A56" s="39"/>
      <c r="B56" s="288"/>
      <c r="C56" s="289"/>
      <c r="D56" s="289"/>
      <c r="E56" s="289"/>
      <c r="F56" s="289"/>
      <c r="G56" s="289"/>
      <c r="H56" s="289"/>
      <c r="I56" s="289"/>
      <c r="J56" s="290"/>
    </row>
    <row r="57" spans="1:10" ht="18.75" customHeight="1" x14ac:dyDescent="0.15">
      <c r="A57" s="39"/>
      <c r="B57" s="288"/>
      <c r="C57" s="289"/>
      <c r="D57" s="289"/>
      <c r="E57" s="289"/>
      <c r="F57" s="289"/>
      <c r="G57" s="289"/>
      <c r="H57" s="289"/>
      <c r="I57" s="289"/>
      <c r="J57" s="290"/>
    </row>
    <row r="58" spans="1:10" ht="18.75" customHeight="1" x14ac:dyDescent="0.15">
      <c r="A58" s="39"/>
      <c r="B58" s="288"/>
      <c r="C58" s="289"/>
      <c r="D58" s="289"/>
      <c r="E58" s="289"/>
      <c r="F58" s="289"/>
      <c r="G58" s="289"/>
      <c r="H58" s="289"/>
      <c r="I58" s="289"/>
      <c r="J58" s="290"/>
    </row>
    <row r="59" spans="1:10" ht="18.75" customHeight="1" x14ac:dyDescent="0.15">
      <c r="A59" s="39"/>
      <c r="B59" s="288"/>
      <c r="C59" s="289"/>
      <c r="D59" s="289"/>
      <c r="E59" s="289"/>
      <c r="F59" s="289"/>
      <c r="G59" s="289"/>
      <c r="H59" s="289"/>
      <c r="I59" s="289"/>
      <c r="J59" s="290"/>
    </row>
    <row r="60" spans="1:10" ht="18.75" customHeight="1" x14ac:dyDescent="0.15">
      <c r="A60" s="39"/>
      <c r="B60" s="288"/>
      <c r="C60" s="289"/>
      <c r="D60" s="289"/>
      <c r="E60" s="289"/>
      <c r="F60" s="289"/>
      <c r="G60" s="289"/>
      <c r="H60" s="289"/>
      <c r="I60" s="289"/>
      <c r="J60" s="290"/>
    </row>
    <row r="61" spans="1:10" ht="18.75" customHeight="1" x14ac:dyDescent="0.15">
      <c r="A61" s="39"/>
      <c r="B61" s="288"/>
      <c r="C61" s="289"/>
      <c r="D61" s="289"/>
      <c r="E61" s="289"/>
      <c r="F61" s="289"/>
      <c r="G61" s="289"/>
      <c r="H61" s="289"/>
      <c r="I61" s="289"/>
      <c r="J61" s="290"/>
    </row>
    <row r="62" spans="1:10" ht="18.75" customHeight="1" x14ac:dyDescent="0.15">
      <c r="A62" s="39"/>
      <c r="B62" s="288"/>
      <c r="C62" s="289"/>
      <c r="D62" s="289"/>
      <c r="E62" s="289"/>
      <c r="F62" s="289"/>
      <c r="G62" s="289"/>
      <c r="H62" s="289"/>
      <c r="I62" s="289"/>
      <c r="J62" s="290"/>
    </row>
    <row r="63" spans="1:10" ht="18.75" customHeight="1" x14ac:dyDescent="0.15">
      <c r="A63" s="39"/>
      <c r="B63" s="288"/>
      <c r="C63" s="289"/>
      <c r="D63" s="289"/>
      <c r="E63" s="289"/>
      <c r="F63" s="289"/>
      <c r="G63" s="289"/>
      <c r="H63" s="289"/>
      <c r="I63" s="289"/>
      <c r="J63" s="290"/>
    </row>
    <row r="64" spans="1:10" ht="18.75" customHeight="1" x14ac:dyDescent="0.15">
      <c r="A64" s="39"/>
      <c r="B64" s="288"/>
      <c r="C64" s="289"/>
      <c r="D64" s="289"/>
      <c r="E64" s="289"/>
      <c r="F64" s="289"/>
      <c r="G64" s="289"/>
      <c r="H64" s="289"/>
      <c r="I64" s="289"/>
      <c r="J64" s="290"/>
    </row>
    <row r="65" spans="1:11" ht="18.75" customHeight="1" x14ac:dyDescent="0.15">
      <c r="A65" s="39"/>
      <c r="B65" s="288"/>
      <c r="C65" s="289"/>
      <c r="D65" s="289"/>
      <c r="E65" s="289"/>
      <c r="F65" s="289"/>
      <c r="G65" s="289"/>
      <c r="H65" s="289"/>
      <c r="I65" s="289"/>
      <c r="J65" s="290"/>
    </row>
    <row r="66" spans="1:11" ht="18.75" customHeight="1" x14ac:dyDescent="0.15">
      <c r="A66" s="39"/>
      <c r="B66" s="291"/>
      <c r="C66" s="292"/>
      <c r="D66" s="292"/>
      <c r="E66" s="292"/>
      <c r="F66" s="292"/>
      <c r="G66" s="292"/>
      <c r="H66" s="292"/>
      <c r="I66" s="292"/>
      <c r="J66" s="293"/>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75" t="s">
        <v>187</v>
      </c>
      <c r="C69" s="285"/>
      <c r="D69" s="285"/>
      <c r="E69" s="285"/>
      <c r="F69" s="285"/>
      <c r="G69" s="285"/>
      <c r="H69" s="285"/>
      <c r="I69" s="294"/>
      <c r="J69" s="295"/>
      <c r="K69" s="35" t="str">
        <f>IF(B69="","入力してください","")</f>
        <v/>
      </c>
    </row>
    <row r="70" spans="1:11" s="4" customFormat="1" ht="18.75" customHeight="1" x14ac:dyDescent="0.15">
      <c r="A70" s="1"/>
      <c r="B70" s="296"/>
      <c r="C70" s="297"/>
      <c r="D70" s="297"/>
      <c r="E70" s="297"/>
      <c r="F70" s="297"/>
      <c r="G70" s="297"/>
      <c r="H70" s="297"/>
      <c r="I70" s="297"/>
      <c r="J70" s="298"/>
      <c r="K70" s="35"/>
    </row>
    <row r="71" spans="1:11" s="4" customFormat="1" ht="18.75" customHeight="1" x14ac:dyDescent="0.15">
      <c r="A71" s="1"/>
      <c r="B71" s="296"/>
      <c r="C71" s="297"/>
      <c r="D71" s="297"/>
      <c r="E71" s="297"/>
      <c r="F71" s="297"/>
      <c r="G71" s="297"/>
      <c r="H71" s="297"/>
      <c r="I71" s="297"/>
      <c r="J71" s="298"/>
      <c r="K71" s="35"/>
    </row>
    <row r="72" spans="1:11" s="4" customFormat="1" ht="18.75" customHeight="1" x14ac:dyDescent="0.15">
      <c r="A72" s="1"/>
      <c r="B72" s="296"/>
      <c r="C72" s="297"/>
      <c r="D72" s="297"/>
      <c r="E72" s="297"/>
      <c r="F72" s="297"/>
      <c r="G72" s="297"/>
      <c r="H72" s="297"/>
      <c r="I72" s="297"/>
      <c r="J72" s="298"/>
      <c r="K72" s="35"/>
    </row>
    <row r="73" spans="1:11" s="4" customFormat="1" ht="18.75" customHeight="1" x14ac:dyDescent="0.15">
      <c r="A73" s="1"/>
      <c r="B73" s="296"/>
      <c r="C73" s="297"/>
      <c r="D73" s="297"/>
      <c r="E73" s="297"/>
      <c r="F73" s="297"/>
      <c r="G73" s="297"/>
      <c r="H73" s="297"/>
      <c r="I73" s="297"/>
      <c r="J73" s="298"/>
      <c r="K73" s="35"/>
    </row>
    <row r="74" spans="1:11" s="4" customFormat="1" ht="18.75" customHeight="1" x14ac:dyDescent="0.15">
      <c r="A74" s="1"/>
      <c r="B74" s="296"/>
      <c r="C74" s="297"/>
      <c r="D74" s="297"/>
      <c r="E74" s="297"/>
      <c r="F74" s="297"/>
      <c r="G74" s="297"/>
      <c r="H74" s="297"/>
      <c r="I74" s="297"/>
      <c r="J74" s="298"/>
      <c r="K74" s="35"/>
    </row>
    <row r="75" spans="1:11" s="4" customFormat="1" ht="18.75" customHeight="1" x14ac:dyDescent="0.15">
      <c r="A75" s="1"/>
      <c r="B75" s="296"/>
      <c r="C75" s="297"/>
      <c r="D75" s="297"/>
      <c r="E75" s="297"/>
      <c r="F75" s="297"/>
      <c r="G75" s="297"/>
      <c r="H75" s="297"/>
      <c r="I75" s="297"/>
      <c r="J75" s="298"/>
      <c r="K75" s="35"/>
    </row>
    <row r="76" spans="1:11" s="4" customFormat="1" ht="18.75" customHeight="1" x14ac:dyDescent="0.15">
      <c r="A76" s="1"/>
      <c r="B76" s="296"/>
      <c r="C76" s="297"/>
      <c r="D76" s="297"/>
      <c r="E76" s="297"/>
      <c r="F76" s="297"/>
      <c r="G76" s="297"/>
      <c r="H76" s="297"/>
      <c r="I76" s="297"/>
      <c r="J76" s="298"/>
      <c r="K76" s="35"/>
    </row>
    <row r="77" spans="1:11" s="4" customFormat="1" ht="18.75" customHeight="1" x14ac:dyDescent="0.15">
      <c r="A77" s="1"/>
      <c r="B77" s="296"/>
      <c r="C77" s="297"/>
      <c r="D77" s="297"/>
      <c r="E77" s="297"/>
      <c r="F77" s="297"/>
      <c r="G77" s="297"/>
      <c r="H77" s="297"/>
      <c r="I77" s="297"/>
      <c r="J77" s="298"/>
      <c r="K77" s="35"/>
    </row>
    <row r="78" spans="1:11" s="4" customFormat="1" ht="18.75" customHeight="1" x14ac:dyDescent="0.15">
      <c r="A78" s="1"/>
      <c r="B78" s="296"/>
      <c r="C78" s="297"/>
      <c r="D78" s="297"/>
      <c r="E78" s="297"/>
      <c r="F78" s="297"/>
      <c r="G78" s="297"/>
      <c r="H78" s="297"/>
      <c r="I78" s="297"/>
      <c r="J78" s="298"/>
      <c r="K78" s="35"/>
    </row>
    <row r="79" spans="1:11" s="4" customFormat="1" ht="18.75" customHeight="1" x14ac:dyDescent="0.15">
      <c r="A79" s="1"/>
      <c r="B79" s="296"/>
      <c r="C79" s="297"/>
      <c r="D79" s="297"/>
      <c r="E79" s="297"/>
      <c r="F79" s="297"/>
      <c r="G79" s="297"/>
      <c r="H79" s="297"/>
      <c r="I79" s="297"/>
      <c r="J79" s="298"/>
      <c r="K79" s="35"/>
    </row>
    <row r="80" spans="1:11" s="4" customFormat="1" ht="18.75" customHeight="1" x14ac:dyDescent="0.15">
      <c r="A80" s="1"/>
      <c r="B80" s="296"/>
      <c r="C80" s="297"/>
      <c r="D80" s="297"/>
      <c r="E80" s="297"/>
      <c r="F80" s="297"/>
      <c r="G80" s="297"/>
      <c r="H80" s="297"/>
      <c r="I80" s="297"/>
      <c r="J80" s="298"/>
      <c r="K80" s="35"/>
    </row>
    <row r="81" spans="1:11" s="4" customFormat="1" ht="18.75" customHeight="1" x14ac:dyDescent="0.15">
      <c r="A81" s="1"/>
      <c r="B81" s="296"/>
      <c r="C81" s="297"/>
      <c r="D81" s="297"/>
      <c r="E81" s="297"/>
      <c r="F81" s="297"/>
      <c r="G81" s="297"/>
      <c r="H81" s="297"/>
      <c r="I81" s="297"/>
      <c r="J81" s="298"/>
      <c r="K81" s="35"/>
    </row>
    <row r="82" spans="1:11" s="4" customFormat="1" ht="18.75" customHeight="1" x14ac:dyDescent="0.15">
      <c r="A82" s="1"/>
      <c r="B82" s="296"/>
      <c r="C82" s="297"/>
      <c r="D82" s="297"/>
      <c r="E82" s="297"/>
      <c r="F82" s="297"/>
      <c r="G82" s="297"/>
      <c r="H82" s="297"/>
      <c r="I82" s="297"/>
      <c r="J82" s="298"/>
      <c r="K82" s="35"/>
    </row>
    <row r="83" spans="1:11" s="4" customFormat="1" ht="18.75" customHeight="1" x14ac:dyDescent="0.15">
      <c r="A83" s="1"/>
      <c r="B83" s="296"/>
      <c r="C83" s="297"/>
      <c r="D83" s="297"/>
      <c r="E83" s="297"/>
      <c r="F83" s="297"/>
      <c r="G83" s="297"/>
      <c r="H83" s="297"/>
      <c r="I83" s="297"/>
      <c r="J83" s="298"/>
      <c r="K83" s="35"/>
    </row>
    <row r="84" spans="1:11" s="4" customFormat="1" ht="18.75" customHeight="1" x14ac:dyDescent="0.15">
      <c r="A84" s="1"/>
      <c r="B84" s="296"/>
      <c r="C84" s="297"/>
      <c r="D84" s="297"/>
      <c r="E84" s="297"/>
      <c r="F84" s="297"/>
      <c r="G84" s="297"/>
      <c r="H84" s="297"/>
      <c r="I84" s="297"/>
      <c r="J84" s="298"/>
      <c r="K84" s="35"/>
    </row>
    <row r="85" spans="1:11" ht="18.75" customHeight="1" x14ac:dyDescent="0.15">
      <c r="A85" s="39"/>
      <c r="B85" s="296"/>
      <c r="C85" s="297"/>
      <c r="D85" s="297"/>
      <c r="E85" s="297"/>
      <c r="F85" s="297"/>
      <c r="G85" s="297"/>
      <c r="H85" s="297"/>
      <c r="I85" s="297"/>
      <c r="J85" s="298"/>
      <c r="K85" s="35"/>
    </row>
    <row r="86" spans="1:11" ht="18.75" customHeight="1" x14ac:dyDescent="0.15">
      <c r="A86" s="39"/>
      <c r="B86" s="299"/>
      <c r="C86" s="300"/>
      <c r="D86" s="300"/>
      <c r="E86" s="300"/>
      <c r="F86" s="300"/>
      <c r="G86" s="300"/>
      <c r="H86" s="300"/>
      <c r="I86" s="300"/>
      <c r="J86" s="301"/>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75" t="s">
        <v>188</v>
      </c>
      <c r="C89" s="285"/>
      <c r="D89" s="285"/>
      <c r="E89" s="285"/>
      <c r="F89" s="285"/>
      <c r="G89" s="285"/>
      <c r="H89" s="285"/>
      <c r="I89" s="294"/>
      <c r="J89" s="295"/>
      <c r="K89" s="31"/>
    </row>
    <row r="90" spans="1:11" s="4" customFormat="1" ht="18.75" customHeight="1" x14ac:dyDescent="0.15">
      <c r="A90" s="1"/>
      <c r="B90" s="296"/>
      <c r="C90" s="297"/>
      <c r="D90" s="297"/>
      <c r="E90" s="297"/>
      <c r="F90" s="297"/>
      <c r="G90" s="297"/>
      <c r="H90" s="297"/>
      <c r="I90" s="297"/>
      <c r="J90" s="298"/>
      <c r="K90" s="35"/>
    </row>
    <row r="91" spans="1:11" s="4" customFormat="1" ht="18.75" customHeight="1" x14ac:dyDescent="0.15">
      <c r="A91" s="1"/>
      <c r="B91" s="296"/>
      <c r="C91" s="297"/>
      <c r="D91" s="297"/>
      <c r="E91" s="297"/>
      <c r="F91" s="297"/>
      <c r="G91" s="297"/>
      <c r="H91" s="297"/>
      <c r="I91" s="297"/>
      <c r="J91" s="298"/>
      <c r="K91" s="35" t="str">
        <f>IF(B89="","入力してください","")</f>
        <v/>
      </c>
    </row>
    <row r="92" spans="1:11" s="4" customFormat="1" ht="18.75" customHeight="1" x14ac:dyDescent="0.15">
      <c r="A92" s="1"/>
      <c r="B92" s="296"/>
      <c r="C92" s="297"/>
      <c r="D92" s="297"/>
      <c r="E92" s="297"/>
      <c r="F92" s="297"/>
      <c r="G92" s="297"/>
      <c r="H92" s="297"/>
      <c r="I92" s="297"/>
      <c r="J92" s="298"/>
      <c r="K92" s="35"/>
    </row>
    <row r="93" spans="1:11" s="4" customFormat="1" ht="18.75" customHeight="1" x14ac:dyDescent="0.15">
      <c r="A93" s="1"/>
      <c r="B93" s="296"/>
      <c r="C93" s="297"/>
      <c r="D93" s="297"/>
      <c r="E93" s="297"/>
      <c r="F93" s="297"/>
      <c r="G93" s="297"/>
      <c r="H93" s="297"/>
      <c r="I93" s="297"/>
      <c r="J93" s="298"/>
      <c r="K93" s="35"/>
    </row>
    <row r="94" spans="1:11" s="4" customFormat="1" ht="18.75" customHeight="1" x14ac:dyDescent="0.15">
      <c r="A94" s="1"/>
      <c r="B94" s="296"/>
      <c r="C94" s="297"/>
      <c r="D94" s="297"/>
      <c r="E94" s="297"/>
      <c r="F94" s="297"/>
      <c r="G94" s="297"/>
      <c r="H94" s="297"/>
      <c r="I94" s="297"/>
      <c r="J94" s="298"/>
      <c r="K94" s="35"/>
    </row>
    <row r="95" spans="1:11" s="4" customFormat="1" ht="18.75" customHeight="1" x14ac:dyDescent="0.15">
      <c r="A95" s="1"/>
      <c r="B95" s="296"/>
      <c r="C95" s="297"/>
      <c r="D95" s="297"/>
      <c r="E95" s="297"/>
      <c r="F95" s="297"/>
      <c r="G95" s="297"/>
      <c r="H95" s="297"/>
      <c r="I95" s="297"/>
      <c r="J95" s="298"/>
      <c r="K95" s="35"/>
    </row>
    <row r="96" spans="1:11" s="4" customFormat="1" ht="18.75" customHeight="1" x14ac:dyDescent="0.15">
      <c r="A96" s="1"/>
      <c r="B96" s="296"/>
      <c r="C96" s="297"/>
      <c r="D96" s="297"/>
      <c r="E96" s="297"/>
      <c r="F96" s="297"/>
      <c r="G96" s="297"/>
      <c r="H96" s="297"/>
      <c r="I96" s="297"/>
      <c r="J96" s="298"/>
      <c r="K96" s="35"/>
    </row>
    <row r="97" spans="1:11" s="4" customFormat="1" ht="18.75" customHeight="1" x14ac:dyDescent="0.15">
      <c r="A97" s="1"/>
      <c r="B97" s="296"/>
      <c r="C97" s="297"/>
      <c r="D97" s="297"/>
      <c r="E97" s="297"/>
      <c r="F97" s="297"/>
      <c r="G97" s="297"/>
      <c r="H97" s="297"/>
      <c r="I97" s="297"/>
      <c r="J97" s="298"/>
      <c r="K97" s="35"/>
    </row>
    <row r="98" spans="1:11" s="4" customFormat="1" ht="18.75" customHeight="1" x14ac:dyDescent="0.15">
      <c r="A98" s="1"/>
      <c r="B98" s="296"/>
      <c r="C98" s="297"/>
      <c r="D98" s="297"/>
      <c r="E98" s="297"/>
      <c r="F98" s="297"/>
      <c r="G98" s="297"/>
      <c r="H98" s="297"/>
      <c r="I98" s="297"/>
      <c r="J98" s="298"/>
      <c r="K98" s="35"/>
    </row>
    <row r="99" spans="1:11" s="4" customFormat="1" ht="18.75" customHeight="1" x14ac:dyDescent="0.15">
      <c r="A99" s="1"/>
      <c r="B99" s="296"/>
      <c r="C99" s="297"/>
      <c r="D99" s="297"/>
      <c r="E99" s="297"/>
      <c r="F99" s="297"/>
      <c r="G99" s="297"/>
      <c r="H99" s="297"/>
      <c r="I99" s="297"/>
      <c r="J99" s="298"/>
      <c r="K99" s="35"/>
    </row>
    <row r="100" spans="1:11" s="4" customFormat="1" ht="18.75" customHeight="1" x14ac:dyDescent="0.15">
      <c r="A100" s="1"/>
      <c r="B100" s="296"/>
      <c r="C100" s="297"/>
      <c r="D100" s="297"/>
      <c r="E100" s="297"/>
      <c r="F100" s="297"/>
      <c r="G100" s="297"/>
      <c r="H100" s="297"/>
      <c r="I100" s="297"/>
      <c r="J100" s="298"/>
      <c r="K100" s="35"/>
    </row>
    <row r="101" spans="1:11" s="4" customFormat="1" ht="18.75" customHeight="1" x14ac:dyDescent="0.15">
      <c r="A101" s="1"/>
      <c r="B101" s="296"/>
      <c r="C101" s="297"/>
      <c r="D101" s="297"/>
      <c r="E101" s="297"/>
      <c r="F101" s="297"/>
      <c r="G101" s="297"/>
      <c r="H101" s="297"/>
      <c r="I101" s="297"/>
      <c r="J101" s="298"/>
      <c r="K101" s="35"/>
    </row>
    <row r="102" spans="1:11" s="4" customFormat="1" ht="18.75" customHeight="1" x14ac:dyDescent="0.15">
      <c r="A102" s="1"/>
      <c r="B102" s="296"/>
      <c r="C102" s="297"/>
      <c r="D102" s="297"/>
      <c r="E102" s="297"/>
      <c r="F102" s="297"/>
      <c r="G102" s="297"/>
      <c r="H102" s="297"/>
      <c r="I102" s="297"/>
      <c r="J102" s="298"/>
      <c r="K102" s="35"/>
    </row>
    <row r="103" spans="1:11" s="4" customFormat="1" ht="18.75" customHeight="1" x14ac:dyDescent="0.15">
      <c r="A103" s="1"/>
      <c r="B103" s="296"/>
      <c r="C103" s="297"/>
      <c r="D103" s="297"/>
      <c r="E103" s="297"/>
      <c r="F103" s="297"/>
      <c r="G103" s="297"/>
      <c r="H103" s="297"/>
      <c r="I103" s="297"/>
      <c r="J103" s="298"/>
      <c r="K103" s="35"/>
    </row>
    <row r="104" spans="1:11" s="4" customFormat="1" ht="18.75" customHeight="1" x14ac:dyDescent="0.15">
      <c r="A104" s="1"/>
      <c r="B104" s="296"/>
      <c r="C104" s="297"/>
      <c r="D104" s="297"/>
      <c r="E104" s="297"/>
      <c r="F104" s="297"/>
      <c r="G104" s="297"/>
      <c r="H104" s="297"/>
      <c r="I104" s="297"/>
      <c r="J104" s="298"/>
      <c r="K104" s="35"/>
    </row>
    <row r="105" spans="1:11" s="4" customFormat="1" ht="18.75" customHeight="1" x14ac:dyDescent="0.15">
      <c r="A105" s="1"/>
      <c r="B105" s="296"/>
      <c r="C105" s="297"/>
      <c r="D105" s="297"/>
      <c r="E105" s="297"/>
      <c r="F105" s="297"/>
      <c r="G105" s="297"/>
      <c r="H105" s="297"/>
      <c r="I105" s="297"/>
      <c r="J105" s="298"/>
      <c r="K105" s="35"/>
    </row>
    <row r="106" spans="1:11" s="4" customFormat="1" ht="18.75" customHeight="1" x14ac:dyDescent="0.15">
      <c r="A106" s="1"/>
      <c r="B106" s="296"/>
      <c r="C106" s="297"/>
      <c r="D106" s="297"/>
      <c r="E106" s="297"/>
      <c r="F106" s="297"/>
      <c r="G106" s="297"/>
      <c r="H106" s="297"/>
      <c r="I106" s="297"/>
      <c r="J106" s="298"/>
      <c r="K106" s="35"/>
    </row>
    <row r="107" spans="1:11" ht="18.75" customHeight="1" x14ac:dyDescent="0.15">
      <c r="A107" s="39"/>
      <c r="B107" s="296"/>
      <c r="C107" s="297"/>
      <c r="D107" s="297"/>
      <c r="E107" s="297"/>
      <c r="F107" s="297"/>
      <c r="G107" s="297"/>
      <c r="H107" s="297"/>
      <c r="I107" s="297"/>
      <c r="J107" s="298"/>
      <c r="K107" s="35"/>
    </row>
    <row r="108" spans="1:11" ht="18.75" customHeight="1" x14ac:dyDescent="0.15">
      <c r="A108" s="39"/>
      <c r="B108" s="299"/>
      <c r="C108" s="300"/>
      <c r="D108" s="300"/>
      <c r="E108" s="300"/>
      <c r="F108" s="300"/>
      <c r="G108" s="300"/>
      <c r="H108" s="300"/>
      <c r="I108" s="300"/>
      <c r="J108" s="301"/>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302" t="s">
        <v>86</v>
      </c>
      <c r="C110" s="302"/>
      <c r="D110" s="302"/>
      <c r="E110" s="302"/>
      <c r="F110" s="302"/>
      <c r="G110" s="302"/>
      <c r="H110" s="302"/>
      <c r="I110" s="302"/>
      <c r="J110" s="302"/>
      <c r="K110" s="31"/>
    </row>
    <row r="111" spans="1:11" ht="18.75" customHeight="1" x14ac:dyDescent="0.15">
      <c r="A111" s="39"/>
      <c r="B111" s="275" t="s">
        <v>189</v>
      </c>
      <c r="C111" s="285"/>
      <c r="D111" s="285"/>
      <c r="E111" s="285"/>
      <c r="F111" s="285"/>
      <c r="G111" s="285"/>
      <c r="H111" s="285"/>
      <c r="I111" s="294"/>
      <c r="J111" s="295"/>
    </row>
    <row r="112" spans="1:11" ht="18.75" customHeight="1" x14ac:dyDescent="0.15">
      <c r="A112" s="39"/>
      <c r="B112" s="296"/>
      <c r="C112" s="297"/>
      <c r="D112" s="297"/>
      <c r="E112" s="297"/>
      <c r="F112" s="297"/>
      <c r="G112" s="297"/>
      <c r="H112" s="297"/>
      <c r="I112" s="297"/>
      <c r="J112" s="298"/>
      <c r="K112" s="35"/>
    </row>
    <row r="113" spans="1:11" ht="18.75" customHeight="1" x14ac:dyDescent="0.15">
      <c r="A113" s="39"/>
      <c r="B113" s="296"/>
      <c r="C113" s="297"/>
      <c r="D113" s="297"/>
      <c r="E113" s="297"/>
      <c r="F113" s="297"/>
      <c r="G113" s="297"/>
      <c r="H113" s="297"/>
      <c r="I113" s="297"/>
      <c r="J113" s="298"/>
      <c r="K113" s="31" t="str">
        <f>IF(B111="","入力してください","")</f>
        <v/>
      </c>
    </row>
    <row r="114" spans="1:11" ht="18.75" customHeight="1" x14ac:dyDescent="0.15">
      <c r="A114" s="39"/>
      <c r="B114" s="296"/>
      <c r="C114" s="297"/>
      <c r="D114" s="297"/>
      <c r="E114" s="297"/>
      <c r="F114" s="297"/>
      <c r="G114" s="297"/>
      <c r="H114" s="297"/>
      <c r="I114" s="297"/>
      <c r="J114" s="298"/>
    </row>
    <row r="115" spans="1:11" ht="18.75" customHeight="1" x14ac:dyDescent="0.15">
      <c r="A115" s="39"/>
      <c r="B115" s="296"/>
      <c r="C115" s="297"/>
      <c r="D115" s="297"/>
      <c r="E115" s="297"/>
      <c r="F115" s="297"/>
      <c r="G115" s="297"/>
      <c r="H115" s="297"/>
      <c r="I115" s="297"/>
      <c r="J115" s="298"/>
    </row>
    <row r="116" spans="1:11" ht="18.75" customHeight="1" x14ac:dyDescent="0.15">
      <c r="A116" s="39"/>
      <c r="B116" s="296"/>
      <c r="C116" s="297"/>
      <c r="D116" s="297"/>
      <c r="E116" s="297"/>
      <c r="F116" s="297"/>
      <c r="G116" s="297"/>
      <c r="H116" s="297"/>
      <c r="I116" s="297"/>
      <c r="J116" s="298"/>
    </row>
    <row r="117" spans="1:11" ht="18.75" customHeight="1" x14ac:dyDescent="0.15">
      <c r="A117" s="39"/>
      <c r="B117" s="296"/>
      <c r="C117" s="297"/>
      <c r="D117" s="297"/>
      <c r="E117" s="297"/>
      <c r="F117" s="297"/>
      <c r="G117" s="297"/>
      <c r="H117" s="297"/>
      <c r="I117" s="297"/>
      <c r="J117" s="298"/>
    </row>
    <row r="118" spans="1:11" ht="18.75" customHeight="1" x14ac:dyDescent="0.15">
      <c r="A118" s="39"/>
      <c r="B118" s="296"/>
      <c r="C118" s="297"/>
      <c r="D118" s="297"/>
      <c r="E118" s="297"/>
      <c r="F118" s="297"/>
      <c r="G118" s="297"/>
      <c r="H118" s="297"/>
      <c r="I118" s="297"/>
      <c r="J118" s="298"/>
    </row>
    <row r="119" spans="1:11" ht="18.75" customHeight="1" x14ac:dyDescent="0.15">
      <c r="A119" s="39"/>
      <c r="B119" s="296"/>
      <c r="C119" s="297"/>
      <c r="D119" s="297"/>
      <c r="E119" s="297"/>
      <c r="F119" s="297"/>
      <c r="G119" s="297"/>
      <c r="H119" s="297"/>
      <c r="I119" s="297"/>
      <c r="J119" s="298"/>
    </row>
    <row r="120" spans="1:11" ht="18.75" customHeight="1" x14ac:dyDescent="0.15">
      <c r="A120" s="39"/>
      <c r="B120" s="296"/>
      <c r="C120" s="297"/>
      <c r="D120" s="297"/>
      <c r="E120" s="297"/>
      <c r="F120" s="297"/>
      <c r="G120" s="297"/>
      <c r="H120" s="297"/>
      <c r="I120" s="297"/>
      <c r="J120" s="298"/>
    </row>
    <row r="121" spans="1:11" ht="18.75" customHeight="1" x14ac:dyDescent="0.15">
      <c r="A121" s="39"/>
      <c r="B121" s="296"/>
      <c r="C121" s="297"/>
      <c r="D121" s="297"/>
      <c r="E121" s="297"/>
      <c r="F121" s="297"/>
      <c r="G121" s="297"/>
      <c r="H121" s="297"/>
      <c r="I121" s="297"/>
      <c r="J121" s="298"/>
    </row>
    <row r="122" spans="1:11" ht="18.75" customHeight="1" x14ac:dyDescent="0.15">
      <c r="A122" s="39"/>
      <c r="B122" s="296"/>
      <c r="C122" s="297"/>
      <c r="D122" s="297"/>
      <c r="E122" s="297"/>
      <c r="F122" s="297"/>
      <c r="G122" s="297"/>
      <c r="H122" s="297"/>
      <c r="I122" s="297"/>
      <c r="J122" s="298"/>
    </row>
    <row r="123" spans="1:11" ht="18.75" customHeight="1" x14ac:dyDescent="0.15">
      <c r="A123" s="39"/>
      <c r="B123" s="296"/>
      <c r="C123" s="297"/>
      <c r="D123" s="297"/>
      <c r="E123" s="297"/>
      <c r="F123" s="297"/>
      <c r="G123" s="297"/>
      <c r="H123" s="297"/>
      <c r="I123" s="297"/>
      <c r="J123" s="298"/>
    </row>
    <row r="124" spans="1:11" ht="18.75" customHeight="1" x14ac:dyDescent="0.15">
      <c r="A124" s="39"/>
      <c r="B124" s="296"/>
      <c r="C124" s="297"/>
      <c r="D124" s="297"/>
      <c r="E124" s="297"/>
      <c r="F124" s="297"/>
      <c r="G124" s="297"/>
      <c r="H124" s="297"/>
      <c r="I124" s="297"/>
      <c r="J124" s="298"/>
    </row>
    <row r="125" spans="1:11" ht="18.75" customHeight="1" x14ac:dyDescent="0.15">
      <c r="A125" s="39"/>
      <c r="B125" s="296"/>
      <c r="C125" s="297"/>
      <c r="D125" s="297"/>
      <c r="E125" s="297"/>
      <c r="F125" s="297"/>
      <c r="G125" s="297"/>
      <c r="H125" s="297"/>
      <c r="I125" s="297"/>
      <c r="J125" s="298"/>
    </row>
    <row r="126" spans="1:11" ht="18.75" customHeight="1" x14ac:dyDescent="0.15">
      <c r="A126" s="39"/>
      <c r="B126" s="296"/>
      <c r="C126" s="297"/>
      <c r="D126" s="297"/>
      <c r="E126" s="297"/>
      <c r="F126" s="297"/>
      <c r="G126" s="297"/>
      <c r="H126" s="297"/>
      <c r="I126" s="297"/>
      <c r="J126" s="298"/>
    </row>
    <row r="127" spans="1:11" ht="18.75" customHeight="1" x14ac:dyDescent="0.15">
      <c r="A127" s="39"/>
      <c r="B127" s="296"/>
      <c r="C127" s="297"/>
      <c r="D127" s="297"/>
      <c r="E127" s="297"/>
      <c r="F127" s="297"/>
      <c r="G127" s="297"/>
      <c r="H127" s="297"/>
      <c r="I127" s="297"/>
      <c r="J127" s="298"/>
    </row>
    <row r="128" spans="1:11" ht="18.75" customHeight="1" x14ac:dyDescent="0.15">
      <c r="A128" s="39"/>
      <c r="B128" s="296"/>
      <c r="C128" s="297"/>
      <c r="D128" s="297"/>
      <c r="E128" s="297"/>
      <c r="F128" s="297"/>
      <c r="G128" s="297"/>
      <c r="H128" s="297"/>
      <c r="I128" s="297"/>
      <c r="J128" s="298"/>
    </row>
    <row r="129" spans="1:10" ht="18.75" customHeight="1" x14ac:dyDescent="0.15">
      <c r="A129" s="39"/>
      <c r="B129" s="299"/>
      <c r="C129" s="300"/>
      <c r="D129" s="300"/>
      <c r="E129" s="300"/>
      <c r="F129" s="300"/>
      <c r="G129" s="300"/>
      <c r="H129" s="300"/>
      <c r="I129" s="300"/>
      <c r="J129" s="301"/>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5" zoomScaleNormal="100" zoomScaleSheetLayoutView="100" workbookViewId="0">
      <selection activeCell="N15" sqref="N15"/>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128</v>
      </c>
      <c r="J1" s="41" t="s">
        <v>77</v>
      </c>
    </row>
    <row r="2" spans="1:11" ht="18.75" customHeight="1" x14ac:dyDescent="0.15">
      <c r="A2" s="249" t="s">
        <v>44</v>
      </c>
      <c r="B2" s="249"/>
      <c r="C2" s="249"/>
      <c r="D2" s="249"/>
      <c r="E2" s="249"/>
      <c r="F2" s="249"/>
      <c r="G2" s="249"/>
      <c r="H2" s="249"/>
      <c r="I2" s="249"/>
      <c r="J2" s="249"/>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08" t="s">
        <v>40</v>
      </c>
      <c r="C5" s="309"/>
      <c r="D5" s="310"/>
      <c r="E5" s="311" t="s">
        <v>42</v>
      </c>
      <c r="F5" s="311"/>
      <c r="G5" s="311"/>
      <c r="H5" s="311"/>
      <c r="I5" s="311"/>
      <c r="J5" s="312"/>
    </row>
    <row r="6" spans="1:11" ht="18.75" customHeight="1" x14ac:dyDescent="0.15">
      <c r="B6" s="3" t="s">
        <v>30</v>
      </c>
      <c r="C6" s="39"/>
      <c r="D6" s="7"/>
      <c r="I6" s="40"/>
      <c r="J6" s="5"/>
    </row>
    <row r="7" spans="1:11" ht="207" customHeight="1" x14ac:dyDescent="0.15">
      <c r="B7" s="6"/>
      <c r="C7" s="313" t="s">
        <v>31</v>
      </c>
      <c r="D7" s="314"/>
      <c r="E7" s="305" t="s">
        <v>190</v>
      </c>
      <c r="F7" s="306"/>
      <c r="G7" s="306"/>
      <c r="H7" s="306"/>
      <c r="I7" s="306"/>
      <c r="J7" s="307"/>
      <c r="K7" s="31" t="str">
        <f>IF(E7="","入力してください","")</f>
        <v/>
      </c>
    </row>
    <row r="8" spans="1:11" ht="207" customHeight="1" x14ac:dyDescent="0.15">
      <c r="B8" s="6"/>
      <c r="C8" s="303" t="s">
        <v>32</v>
      </c>
      <c r="D8" s="304"/>
      <c r="E8" s="305" t="s">
        <v>191</v>
      </c>
      <c r="F8" s="306"/>
      <c r="G8" s="306"/>
      <c r="H8" s="306"/>
      <c r="I8" s="306"/>
      <c r="J8" s="307"/>
      <c r="K8" s="31" t="str">
        <f>IF(E8="","入力してください","")</f>
        <v/>
      </c>
    </row>
    <row r="9" spans="1:11" ht="172.5" customHeight="1" x14ac:dyDescent="0.15">
      <c r="B9" s="6"/>
      <c r="C9" s="313" t="s">
        <v>33</v>
      </c>
      <c r="D9" s="314"/>
      <c r="E9" s="305" t="s">
        <v>192</v>
      </c>
      <c r="F9" s="306"/>
      <c r="G9" s="306"/>
      <c r="H9" s="306"/>
      <c r="I9" s="306"/>
      <c r="J9" s="307"/>
      <c r="K9" s="31" t="str">
        <f>IF(E9="","入力してください","")</f>
        <v/>
      </c>
    </row>
    <row r="10" spans="1:11" ht="172.5" customHeight="1" x14ac:dyDescent="0.15">
      <c r="B10" s="6"/>
      <c r="C10" s="313" t="s">
        <v>34</v>
      </c>
      <c r="D10" s="314"/>
      <c r="E10" s="305" t="s">
        <v>192</v>
      </c>
      <c r="F10" s="306"/>
      <c r="G10" s="306"/>
      <c r="H10" s="306"/>
      <c r="I10" s="306"/>
      <c r="J10" s="307"/>
      <c r="K10" s="31" t="str">
        <f t="shared" ref="K10:K14" si="0">IF(E10="","入力してください","")</f>
        <v/>
      </c>
    </row>
    <row r="11" spans="1:11" ht="172.5" customHeight="1" x14ac:dyDescent="0.15">
      <c r="B11" s="6"/>
      <c r="C11" s="313" t="s">
        <v>35</v>
      </c>
      <c r="D11" s="314"/>
      <c r="E11" s="305" t="s">
        <v>193</v>
      </c>
      <c r="F11" s="306"/>
      <c r="G11" s="306"/>
      <c r="H11" s="306"/>
      <c r="I11" s="306"/>
      <c r="J11" s="307"/>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13" t="s">
        <v>37</v>
      </c>
      <c r="D13" s="314"/>
      <c r="E13" s="321" t="s">
        <v>194</v>
      </c>
      <c r="F13" s="306"/>
      <c r="G13" s="306"/>
      <c r="H13" s="306"/>
      <c r="I13" s="306"/>
      <c r="J13" s="307"/>
      <c r="K13" s="31" t="str">
        <f t="shared" si="0"/>
        <v/>
      </c>
    </row>
    <row r="14" spans="1:11" ht="255" customHeight="1" x14ac:dyDescent="0.15">
      <c r="B14" s="6"/>
      <c r="C14" s="313" t="s">
        <v>38</v>
      </c>
      <c r="D14" s="314"/>
      <c r="E14" s="321" t="s">
        <v>195</v>
      </c>
      <c r="F14" s="306"/>
      <c r="G14" s="306"/>
      <c r="H14" s="306"/>
      <c r="I14" s="306"/>
      <c r="J14" s="307"/>
      <c r="K14" s="31" t="str">
        <f t="shared" si="0"/>
        <v/>
      </c>
    </row>
    <row r="15" spans="1:11" ht="280.5" customHeight="1" x14ac:dyDescent="0.15">
      <c r="B15" s="322" t="s">
        <v>39</v>
      </c>
      <c r="C15" s="323"/>
      <c r="D15" s="314"/>
      <c r="E15" s="321" t="s">
        <v>212</v>
      </c>
      <c r="F15" s="306"/>
      <c r="G15" s="306"/>
      <c r="H15" s="306"/>
      <c r="I15" s="306"/>
      <c r="J15" s="307"/>
      <c r="K15" s="31" t="str">
        <f>IF(E15="","入力してください","")</f>
        <v/>
      </c>
    </row>
    <row r="16" spans="1:11" ht="189" customHeight="1" x14ac:dyDescent="0.15">
      <c r="A16" s="31"/>
      <c r="B16" s="315" t="s">
        <v>68</v>
      </c>
      <c r="C16" s="316"/>
      <c r="D16" s="317"/>
      <c r="E16" s="272" t="s">
        <v>196</v>
      </c>
      <c r="F16" s="292"/>
      <c r="G16" s="292"/>
      <c r="H16" s="292"/>
      <c r="I16" s="292"/>
      <c r="J16" s="293"/>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129</v>
      </c>
      <c r="B18" s="4"/>
      <c r="C18" s="39"/>
      <c r="D18" s="39"/>
      <c r="E18" s="40"/>
      <c r="F18" s="94"/>
      <c r="G18" s="318" t="s">
        <v>197</v>
      </c>
      <c r="H18" s="319"/>
      <c r="I18" s="319"/>
      <c r="J18" s="320"/>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C876F44C-05B9-47B7-8F77-46E21E417896}"/>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zoomScaleNormal="100" zoomScaleSheetLayoutView="100" workbookViewId="0">
      <selection activeCell="B44" sqref="B44:F83"/>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8" t="s">
        <v>7</v>
      </c>
      <c r="F1" s="248"/>
    </row>
    <row r="2" spans="1:6" ht="18.75" customHeight="1" x14ac:dyDescent="0.15">
      <c r="A2" s="324" t="s">
        <v>130</v>
      </c>
      <c r="B2" s="324"/>
      <c r="C2" s="324"/>
      <c r="D2" s="324"/>
      <c r="E2" s="324"/>
      <c r="F2" s="324"/>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325" t="s">
        <v>198</v>
      </c>
      <c r="C5" s="326"/>
      <c r="D5" s="326"/>
      <c r="E5" s="326"/>
      <c r="F5" s="327"/>
    </row>
    <row r="6" spans="1:6" ht="18.75" customHeight="1" x14ac:dyDescent="0.15">
      <c r="A6" s="38"/>
      <c r="B6" s="328"/>
      <c r="C6" s="329"/>
      <c r="D6" s="329"/>
      <c r="E6" s="329"/>
      <c r="F6" s="330"/>
    </row>
    <row r="7" spans="1:6" ht="18.75" customHeight="1" x14ac:dyDescent="0.15">
      <c r="A7" s="38"/>
      <c r="B7" s="328"/>
      <c r="C7" s="329"/>
      <c r="D7" s="329"/>
      <c r="E7" s="329"/>
      <c r="F7" s="330"/>
    </row>
    <row r="8" spans="1:6" ht="18.75" customHeight="1" x14ac:dyDescent="0.15">
      <c r="A8" s="38"/>
      <c r="B8" s="328"/>
      <c r="C8" s="329"/>
      <c r="D8" s="329"/>
      <c r="E8" s="329"/>
      <c r="F8" s="330"/>
    </row>
    <row r="9" spans="1:6" ht="18.75" customHeight="1" x14ac:dyDescent="0.15">
      <c r="A9" s="38"/>
      <c r="B9" s="328"/>
      <c r="C9" s="329"/>
      <c r="D9" s="329"/>
      <c r="E9" s="329"/>
      <c r="F9" s="330"/>
    </row>
    <row r="10" spans="1:6" ht="18.75" customHeight="1" x14ac:dyDescent="0.15">
      <c r="A10" s="38"/>
      <c r="B10" s="328"/>
      <c r="C10" s="329"/>
      <c r="D10" s="329"/>
      <c r="E10" s="329"/>
      <c r="F10" s="330"/>
    </row>
    <row r="11" spans="1:6" ht="18.75" customHeight="1" x14ac:dyDescent="0.15">
      <c r="A11" s="38"/>
      <c r="B11" s="328"/>
      <c r="C11" s="329"/>
      <c r="D11" s="329"/>
      <c r="E11" s="329"/>
      <c r="F11" s="330"/>
    </row>
    <row r="12" spans="1:6" ht="18.75" customHeight="1" x14ac:dyDescent="0.15">
      <c r="A12" s="38"/>
      <c r="B12" s="328"/>
      <c r="C12" s="329"/>
      <c r="D12" s="329"/>
      <c r="E12" s="329"/>
      <c r="F12" s="330"/>
    </row>
    <row r="13" spans="1:6" ht="18.75" customHeight="1" x14ac:dyDescent="0.15">
      <c r="A13" s="38"/>
      <c r="B13" s="328"/>
      <c r="C13" s="329"/>
      <c r="D13" s="329"/>
      <c r="E13" s="329"/>
      <c r="F13" s="330"/>
    </row>
    <row r="14" spans="1:6" ht="18.75" customHeight="1" x14ac:dyDescent="0.15">
      <c r="A14" s="38"/>
      <c r="B14" s="328"/>
      <c r="C14" s="329"/>
      <c r="D14" s="329"/>
      <c r="E14" s="329"/>
      <c r="F14" s="330"/>
    </row>
    <row r="15" spans="1:6" ht="18.75" customHeight="1" x14ac:dyDescent="0.15">
      <c r="A15" s="38"/>
      <c r="B15" s="328"/>
      <c r="C15" s="329"/>
      <c r="D15" s="329"/>
      <c r="E15" s="329"/>
      <c r="F15" s="330"/>
    </row>
    <row r="16" spans="1:6" ht="18.75" customHeight="1" x14ac:dyDescent="0.15">
      <c r="A16" s="38"/>
      <c r="B16" s="328"/>
      <c r="C16" s="329"/>
      <c r="D16" s="329"/>
      <c r="E16" s="329"/>
      <c r="F16" s="330"/>
    </row>
    <row r="17" spans="1:6" ht="18.75" customHeight="1" x14ac:dyDescent="0.15">
      <c r="A17" s="38"/>
      <c r="B17" s="328"/>
      <c r="C17" s="329"/>
      <c r="D17" s="329"/>
      <c r="E17" s="329"/>
      <c r="F17" s="330"/>
    </row>
    <row r="18" spans="1:6" ht="18.75" customHeight="1" x14ac:dyDescent="0.15">
      <c r="A18" s="38"/>
      <c r="B18" s="328"/>
      <c r="C18" s="329"/>
      <c r="D18" s="329"/>
      <c r="E18" s="329"/>
      <c r="F18" s="330"/>
    </row>
    <row r="19" spans="1:6" ht="18.75" customHeight="1" x14ac:dyDescent="0.15">
      <c r="A19" s="38"/>
      <c r="B19" s="328"/>
      <c r="C19" s="329"/>
      <c r="D19" s="329"/>
      <c r="E19" s="329"/>
      <c r="F19" s="330"/>
    </row>
    <row r="20" spans="1:6" ht="18.75" customHeight="1" x14ac:dyDescent="0.15">
      <c r="A20" s="38"/>
      <c r="B20" s="328"/>
      <c r="C20" s="329"/>
      <c r="D20" s="329"/>
      <c r="E20" s="329"/>
      <c r="F20" s="330"/>
    </row>
    <row r="21" spans="1:6" ht="18.75" customHeight="1" x14ac:dyDescent="0.15">
      <c r="A21" s="38"/>
      <c r="B21" s="328"/>
      <c r="C21" s="329"/>
      <c r="D21" s="329"/>
      <c r="E21" s="329"/>
      <c r="F21" s="330"/>
    </row>
    <row r="22" spans="1:6" ht="18.75" customHeight="1" x14ac:dyDescent="0.15">
      <c r="A22" s="38"/>
      <c r="B22" s="328"/>
      <c r="C22" s="329"/>
      <c r="D22" s="329"/>
      <c r="E22" s="329"/>
      <c r="F22" s="330"/>
    </row>
    <row r="23" spans="1:6" ht="18.75" customHeight="1" x14ac:dyDescent="0.15">
      <c r="A23" s="38"/>
      <c r="B23" s="328"/>
      <c r="C23" s="329"/>
      <c r="D23" s="329"/>
      <c r="E23" s="329"/>
      <c r="F23" s="330"/>
    </row>
    <row r="24" spans="1:6" ht="18.75" customHeight="1" x14ac:dyDescent="0.15">
      <c r="A24" s="38"/>
      <c r="B24" s="328"/>
      <c r="C24" s="329"/>
      <c r="D24" s="329"/>
      <c r="E24" s="329"/>
      <c r="F24" s="330"/>
    </row>
    <row r="25" spans="1:6" ht="18.75" customHeight="1" x14ac:dyDescent="0.15">
      <c r="A25" s="38"/>
      <c r="B25" s="328"/>
      <c r="C25" s="329"/>
      <c r="D25" s="329"/>
      <c r="E25" s="329"/>
      <c r="F25" s="330"/>
    </row>
    <row r="26" spans="1:6" ht="18.75" customHeight="1" x14ac:dyDescent="0.15">
      <c r="A26" s="38"/>
      <c r="B26" s="328"/>
      <c r="C26" s="329"/>
      <c r="D26" s="329"/>
      <c r="E26" s="329"/>
      <c r="F26" s="330"/>
    </row>
    <row r="27" spans="1:6" ht="18.75" customHeight="1" x14ac:dyDescent="0.15">
      <c r="A27" s="38"/>
      <c r="B27" s="328"/>
      <c r="C27" s="329"/>
      <c r="D27" s="329"/>
      <c r="E27" s="329"/>
      <c r="F27" s="330"/>
    </row>
    <row r="28" spans="1:6" ht="18.75" customHeight="1" x14ac:dyDescent="0.15">
      <c r="A28" s="38"/>
      <c r="B28" s="328"/>
      <c r="C28" s="329"/>
      <c r="D28" s="329"/>
      <c r="E28" s="329"/>
      <c r="F28" s="330"/>
    </row>
    <row r="29" spans="1:6" ht="18.75" customHeight="1" x14ac:dyDescent="0.15">
      <c r="A29" s="38"/>
      <c r="B29" s="328"/>
      <c r="C29" s="329"/>
      <c r="D29" s="329"/>
      <c r="E29" s="329"/>
      <c r="F29" s="330"/>
    </row>
    <row r="30" spans="1:6" ht="18.75" customHeight="1" x14ac:dyDescent="0.15">
      <c r="A30" s="38"/>
      <c r="B30" s="328"/>
      <c r="C30" s="329"/>
      <c r="D30" s="329"/>
      <c r="E30" s="329"/>
      <c r="F30" s="330"/>
    </row>
    <row r="31" spans="1:6" ht="18.75" customHeight="1" x14ac:dyDescent="0.15">
      <c r="A31" s="38"/>
      <c r="B31" s="328"/>
      <c r="C31" s="329"/>
      <c r="D31" s="329"/>
      <c r="E31" s="329"/>
      <c r="F31" s="330"/>
    </row>
    <row r="32" spans="1:6" ht="18.75" customHeight="1" x14ac:dyDescent="0.15">
      <c r="A32" s="38"/>
      <c r="B32" s="328"/>
      <c r="C32" s="329"/>
      <c r="D32" s="329"/>
      <c r="E32" s="329"/>
      <c r="F32" s="330"/>
    </row>
    <row r="33" spans="1:6" ht="18.75" customHeight="1" x14ac:dyDescent="0.15">
      <c r="A33" s="38"/>
      <c r="B33" s="328"/>
      <c r="C33" s="329"/>
      <c r="D33" s="329"/>
      <c r="E33" s="329"/>
      <c r="F33" s="330"/>
    </row>
    <row r="34" spans="1:6" ht="18.75" customHeight="1" x14ac:dyDescent="0.15">
      <c r="A34" s="38"/>
      <c r="B34" s="328"/>
      <c r="C34" s="329"/>
      <c r="D34" s="329"/>
      <c r="E34" s="329"/>
      <c r="F34" s="330"/>
    </row>
    <row r="35" spans="1:6" ht="18.75" customHeight="1" x14ac:dyDescent="0.15">
      <c r="A35" s="38"/>
      <c r="B35" s="328"/>
      <c r="C35" s="329"/>
      <c r="D35" s="329"/>
      <c r="E35" s="329"/>
      <c r="F35" s="330"/>
    </row>
    <row r="36" spans="1:6" ht="18.75" customHeight="1" x14ac:dyDescent="0.15">
      <c r="A36" s="38"/>
      <c r="B36" s="328"/>
      <c r="C36" s="329"/>
      <c r="D36" s="329"/>
      <c r="E36" s="329"/>
      <c r="F36" s="330"/>
    </row>
    <row r="37" spans="1:6" ht="18.75" customHeight="1" x14ac:dyDescent="0.15">
      <c r="A37" s="38"/>
      <c r="B37" s="328"/>
      <c r="C37" s="329"/>
      <c r="D37" s="329"/>
      <c r="E37" s="329"/>
      <c r="F37" s="330"/>
    </row>
    <row r="38" spans="1:6" ht="18.75" customHeight="1" x14ac:dyDescent="0.15">
      <c r="A38" s="38"/>
      <c r="B38" s="328"/>
      <c r="C38" s="329"/>
      <c r="D38" s="329"/>
      <c r="E38" s="329"/>
      <c r="F38" s="330"/>
    </row>
    <row r="39" spans="1:6" ht="18.75" customHeight="1" x14ac:dyDescent="0.15">
      <c r="A39" s="38"/>
      <c r="B39" s="328"/>
      <c r="C39" s="329"/>
      <c r="D39" s="329"/>
      <c r="E39" s="329"/>
      <c r="F39" s="330"/>
    </row>
    <row r="40" spans="1:6" ht="18.75" customHeight="1" x14ac:dyDescent="0.15">
      <c r="A40" s="38"/>
      <c r="B40" s="328"/>
      <c r="C40" s="329"/>
      <c r="D40" s="329"/>
      <c r="E40" s="329"/>
      <c r="F40" s="330"/>
    </row>
    <row r="41" spans="1:6" ht="18.75" customHeight="1" x14ac:dyDescent="0.15">
      <c r="A41" s="38"/>
      <c r="B41" s="328"/>
      <c r="C41" s="329"/>
      <c r="D41" s="329"/>
      <c r="E41" s="329"/>
      <c r="F41" s="330"/>
    </row>
    <row r="42" spans="1:6" ht="18.75" customHeight="1" x14ac:dyDescent="0.15">
      <c r="A42" s="38"/>
      <c r="B42" s="331"/>
      <c r="C42" s="332"/>
      <c r="D42" s="332"/>
      <c r="E42" s="332"/>
      <c r="F42" s="333"/>
    </row>
    <row r="43" spans="1:6" ht="18.75" customHeight="1" x14ac:dyDescent="0.15">
      <c r="A43" s="38" t="s">
        <v>10</v>
      </c>
      <c r="B43" s="4" t="s">
        <v>73</v>
      </c>
      <c r="C43" s="38"/>
      <c r="D43" s="38"/>
      <c r="E43" s="38"/>
      <c r="F43" s="38"/>
    </row>
    <row r="44" spans="1:6" ht="18.75" customHeight="1" x14ac:dyDescent="0.15">
      <c r="A44" s="38"/>
      <c r="B44" s="334" t="s">
        <v>215</v>
      </c>
      <c r="C44" s="335"/>
      <c r="D44" s="335"/>
      <c r="E44" s="335"/>
      <c r="F44" s="336"/>
    </row>
    <row r="45" spans="1:6" ht="18.75" customHeight="1" x14ac:dyDescent="0.15">
      <c r="A45" s="38"/>
      <c r="B45" s="337"/>
      <c r="C45" s="338"/>
      <c r="D45" s="338"/>
      <c r="E45" s="338"/>
      <c r="F45" s="339"/>
    </row>
    <row r="46" spans="1:6" ht="18.75" customHeight="1" x14ac:dyDescent="0.15">
      <c r="A46" s="38"/>
      <c r="B46" s="337"/>
      <c r="C46" s="338"/>
      <c r="D46" s="338"/>
      <c r="E46" s="338"/>
      <c r="F46" s="339"/>
    </row>
    <row r="47" spans="1:6" ht="18.75" customHeight="1" x14ac:dyDescent="0.15">
      <c r="A47" s="38"/>
      <c r="B47" s="337"/>
      <c r="C47" s="338"/>
      <c r="D47" s="338"/>
      <c r="E47" s="338"/>
      <c r="F47" s="339"/>
    </row>
    <row r="48" spans="1:6" ht="18.75" customHeight="1" x14ac:dyDescent="0.15">
      <c r="A48" s="38"/>
      <c r="B48" s="337"/>
      <c r="C48" s="338"/>
      <c r="D48" s="338"/>
      <c r="E48" s="338"/>
      <c r="F48" s="339"/>
    </row>
    <row r="49" spans="1:6" ht="18.75" customHeight="1" x14ac:dyDescent="0.15">
      <c r="A49" s="38"/>
      <c r="B49" s="337"/>
      <c r="C49" s="338"/>
      <c r="D49" s="338"/>
      <c r="E49" s="338"/>
      <c r="F49" s="339"/>
    </row>
    <row r="50" spans="1:6" ht="18.75" customHeight="1" x14ac:dyDescent="0.15">
      <c r="A50" s="38"/>
      <c r="B50" s="337"/>
      <c r="C50" s="338"/>
      <c r="D50" s="338"/>
      <c r="E50" s="338"/>
      <c r="F50" s="339"/>
    </row>
    <row r="51" spans="1:6" ht="18.75" customHeight="1" x14ac:dyDescent="0.15">
      <c r="A51" s="38"/>
      <c r="B51" s="337"/>
      <c r="C51" s="338"/>
      <c r="D51" s="338"/>
      <c r="E51" s="338"/>
      <c r="F51" s="339"/>
    </row>
    <row r="52" spans="1:6" ht="18.75" customHeight="1" x14ac:dyDescent="0.15">
      <c r="A52" s="38"/>
      <c r="B52" s="337"/>
      <c r="C52" s="338"/>
      <c r="D52" s="338"/>
      <c r="E52" s="338"/>
      <c r="F52" s="339"/>
    </row>
    <row r="53" spans="1:6" ht="18.75" customHeight="1" x14ac:dyDescent="0.15">
      <c r="A53" s="38"/>
      <c r="B53" s="337"/>
      <c r="C53" s="338"/>
      <c r="D53" s="338"/>
      <c r="E53" s="338"/>
      <c r="F53" s="339"/>
    </row>
    <row r="54" spans="1:6" ht="18.75" customHeight="1" x14ac:dyDescent="0.15">
      <c r="A54" s="38"/>
      <c r="B54" s="337"/>
      <c r="C54" s="338"/>
      <c r="D54" s="338"/>
      <c r="E54" s="338"/>
      <c r="F54" s="339"/>
    </row>
    <row r="55" spans="1:6" ht="18.75" customHeight="1" x14ac:dyDescent="0.15">
      <c r="A55" s="38"/>
      <c r="B55" s="337"/>
      <c r="C55" s="338"/>
      <c r="D55" s="338"/>
      <c r="E55" s="338"/>
      <c r="F55" s="339"/>
    </row>
    <row r="56" spans="1:6" ht="18.75" customHeight="1" x14ac:dyDescent="0.15">
      <c r="A56" s="38"/>
      <c r="B56" s="337"/>
      <c r="C56" s="338"/>
      <c r="D56" s="338"/>
      <c r="E56" s="338"/>
      <c r="F56" s="339"/>
    </row>
    <row r="57" spans="1:6" ht="18.75" customHeight="1" x14ac:dyDescent="0.15">
      <c r="A57" s="38"/>
      <c r="B57" s="337"/>
      <c r="C57" s="338"/>
      <c r="D57" s="338"/>
      <c r="E57" s="338"/>
      <c r="F57" s="339"/>
    </row>
    <row r="58" spans="1:6" ht="18.75" customHeight="1" x14ac:dyDescent="0.15">
      <c r="A58" s="38"/>
      <c r="B58" s="337"/>
      <c r="C58" s="338"/>
      <c r="D58" s="338"/>
      <c r="E58" s="338"/>
      <c r="F58" s="339"/>
    </row>
    <row r="59" spans="1:6" ht="18.75" customHeight="1" x14ac:dyDescent="0.15">
      <c r="A59" s="38"/>
      <c r="B59" s="337"/>
      <c r="C59" s="338"/>
      <c r="D59" s="338"/>
      <c r="E59" s="338"/>
      <c r="F59" s="339"/>
    </row>
    <row r="60" spans="1:6" ht="18.75" customHeight="1" x14ac:dyDescent="0.15">
      <c r="A60" s="38"/>
      <c r="B60" s="337"/>
      <c r="C60" s="338"/>
      <c r="D60" s="338"/>
      <c r="E60" s="338"/>
      <c r="F60" s="339"/>
    </row>
    <row r="61" spans="1:6" ht="18.75" customHeight="1" x14ac:dyDescent="0.15">
      <c r="A61" s="38"/>
      <c r="B61" s="337"/>
      <c r="C61" s="338"/>
      <c r="D61" s="338"/>
      <c r="E61" s="338"/>
      <c r="F61" s="339"/>
    </row>
    <row r="62" spans="1:6" ht="18.75" customHeight="1" x14ac:dyDescent="0.15">
      <c r="A62" s="38"/>
      <c r="B62" s="337"/>
      <c r="C62" s="338"/>
      <c r="D62" s="338"/>
      <c r="E62" s="338"/>
      <c r="F62" s="339"/>
    </row>
    <row r="63" spans="1:6" ht="18.75" customHeight="1" x14ac:dyDescent="0.15">
      <c r="A63" s="38"/>
      <c r="B63" s="337"/>
      <c r="C63" s="338"/>
      <c r="D63" s="338"/>
      <c r="E63" s="338"/>
      <c r="F63" s="339"/>
    </row>
    <row r="64" spans="1:6" ht="18.75" customHeight="1" x14ac:dyDescent="0.15">
      <c r="A64" s="38"/>
      <c r="B64" s="337"/>
      <c r="C64" s="338"/>
      <c r="D64" s="338"/>
      <c r="E64" s="338"/>
      <c r="F64" s="339"/>
    </row>
    <row r="65" spans="1:6" ht="18.75" customHeight="1" x14ac:dyDescent="0.15">
      <c r="A65" s="38"/>
      <c r="B65" s="337"/>
      <c r="C65" s="338"/>
      <c r="D65" s="338"/>
      <c r="E65" s="338"/>
      <c r="F65" s="339"/>
    </row>
    <row r="66" spans="1:6" ht="18.75" customHeight="1" x14ac:dyDescent="0.15">
      <c r="A66" s="38"/>
      <c r="B66" s="337"/>
      <c r="C66" s="338"/>
      <c r="D66" s="338"/>
      <c r="E66" s="338"/>
      <c r="F66" s="339"/>
    </row>
    <row r="67" spans="1:6" ht="18.75" customHeight="1" x14ac:dyDescent="0.15">
      <c r="A67" s="38"/>
      <c r="B67" s="337"/>
      <c r="C67" s="338"/>
      <c r="D67" s="338"/>
      <c r="E67" s="338"/>
      <c r="F67" s="339"/>
    </row>
    <row r="68" spans="1:6" ht="18.75" customHeight="1" x14ac:dyDescent="0.15">
      <c r="A68" s="38"/>
      <c r="B68" s="337"/>
      <c r="C68" s="338"/>
      <c r="D68" s="338"/>
      <c r="E68" s="338"/>
      <c r="F68" s="339"/>
    </row>
    <row r="69" spans="1:6" ht="18.75" customHeight="1" x14ac:dyDescent="0.15">
      <c r="A69" s="38"/>
      <c r="B69" s="337"/>
      <c r="C69" s="338"/>
      <c r="D69" s="338"/>
      <c r="E69" s="338"/>
      <c r="F69" s="339"/>
    </row>
    <row r="70" spans="1:6" ht="18.75" customHeight="1" x14ac:dyDescent="0.15">
      <c r="A70" s="38"/>
      <c r="B70" s="337"/>
      <c r="C70" s="338"/>
      <c r="D70" s="338"/>
      <c r="E70" s="338"/>
      <c r="F70" s="339"/>
    </row>
    <row r="71" spans="1:6" ht="18.75" customHeight="1" x14ac:dyDescent="0.15">
      <c r="A71" s="38"/>
      <c r="B71" s="337"/>
      <c r="C71" s="338"/>
      <c r="D71" s="338"/>
      <c r="E71" s="338"/>
      <c r="F71" s="339"/>
    </row>
    <row r="72" spans="1:6" ht="18.75" customHeight="1" x14ac:dyDescent="0.15">
      <c r="A72" s="38"/>
      <c r="B72" s="337"/>
      <c r="C72" s="338"/>
      <c r="D72" s="338"/>
      <c r="E72" s="338"/>
      <c r="F72" s="339"/>
    </row>
    <row r="73" spans="1:6" ht="18.75" customHeight="1" x14ac:dyDescent="0.15">
      <c r="A73" s="38"/>
      <c r="B73" s="337"/>
      <c r="C73" s="338"/>
      <c r="D73" s="338"/>
      <c r="E73" s="338"/>
      <c r="F73" s="339"/>
    </row>
    <row r="74" spans="1:6" ht="18.75" customHeight="1" x14ac:dyDescent="0.15">
      <c r="A74" s="38"/>
      <c r="B74" s="337"/>
      <c r="C74" s="338"/>
      <c r="D74" s="338"/>
      <c r="E74" s="338"/>
      <c r="F74" s="339"/>
    </row>
    <row r="75" spans="1:6" ht="18.75" customHeight="1" x14ac:dyDescent="0.15">
      <c r="A75" s="38"/>
      <c r="B75" s="337"/>
      <c r="C75" s="338"/>
      <c r="D75" s="338"/>
      <c r="E75" s="338"/>
      <c r="F75" s="339"/>
    </row>
    <row r="76" spans="1:6" ht="18.75" customHeight="1" x14ac:dyDescent="0.15">
      <c r="A76" s="38"/>
      <c r="B76" s="337"/>
      <c r="C76" s="338"/>
      <c r="D76" s="338"/>
      <c r="E76" s="338"/>
      <c r="F76" s="339"/>
    </row>
    <row r="77" spans="1:6" ht="18.75" customHeight="1" x14ac:dyDescent="0.15">
      <c r="A77" s="38"/>
      <c r="B77" s="337"/>
      <c r="C77" s="338"/>
      <c r="D77" s="338"/>
      <c r="E77" s="338"/>
      <c r="F77" s="339"/>
    </row>
    <row r="78" spans="1:6" ht="18.75" customHeight="1" x14ac:dyDescent="0.15">
      <c r="A78" s="38"/>
      <c r="B78" s="337"/>
      <c r="C78" s="338"/>
      <c r="D78" s="338"/>
      <c r="E78" s="338"/>
      <c r="F78" s="339"/>
    </row>
    <row r="79" spans="1:6" ht="18.75" customHeight="1" x14ac:dyDescent="0.15">
      <c r="A79" s="38"/>
      <c r="B79" s="337"/>
      <c r="C79" s="338"/>
      <c r="D79" s="338"/>
      <c r="E79" s="338"/>
      <c r="F79" s="339"/>
    </row>
    <row r="80" spans="1:6" ht="18.75" customHeight="1" x14ac:dyDescent="0.15">
      <c r="A80" s="38"/>
      <c r="B80" s="337"/>
      <c r="C80" s="338"/>
      <c r="D80" s="338"/>
      <c r="E80" s="338"/>
      <c r="F80" s="339"/>
    </row>
    <row r="81" spans="1:6" ht="18.75" customHeight="1" x14ac:dyDescent="0.15">
      <c r="A81" s="38"/>
      <c r="B81" s="337"/>
      <c r="C81" s="338"/>
      <c r="D81" s="338"/>
      <c r="E81" s="338"/>
      <c r="F81" s="339"/>
    </row>
    <row r="82" spans="1:6" ht="18.75" customHeight="1" x14ac:dyDescent="0.15">
      <c r="A82" s="38"/>
      <c r="B82" s="337"/>
      <c r="C82" s="338"/>
      <c r="D82" s="338"/>
      <c r="E82" s="338"/>
      <c r="F82" s="339"/>
    </row>
    <row r="83" spans="1:6" ht="18.75" customHeight="1" x14ac:dyDescent="0.15">
      <c r="A83" s="38"/>
      <c r="B83" s="340"/>
      <c r="C83" s="341"/>
      <c r="D83" s="341"/>
      <c r="E83" s="341"/>
      <c r="F83" s="342"/>
    </row>
    <row r="84" spans="1:6" ht="18.75" customHeight="1" x14ac:dyDescent="0.15">
      <c r="A84" s="4" t="s">
        <v>11</v>
      </c>
      <c r="B84" s="4" t="s">
        <v>74</v>
      </c>
      <c r="C84" s="4"/>
      <c r="D84" s="4"/>
      <c r="E84" s="4"/>
      <c r="F84" s="4"/>
    </row>
    <row r="85" spans="1:6" ht="18.75" customHeight="1" x14ac:dyDescent="0.15">
      <c r="A85" s="38"/>
      <c r="B85" s="334" t="s">
        <v>216</v>
      </c>
      <c r="C85" s="335"/>
      <c r="D85" s="335"/>
      <c r="E85" s="335"/>
      <c r="F85" s="336"/>
    </row>
    <row r="86" spans="1:6" ht="18.75" customHeight="1" x14ac:dyDescent="0.15">
      <c r="A86" s="38"/>
      <c r="B86" s="337"/>
      <c r="C86" s="338"/>
      <c r="D86" s="338"/>
      <c r="E86" s="338"/>
      <c r="F86" s="339"/>
    </row>
    <row r="87" spans="1:6" ht="18.75" customHeight="1" x14ac:dyDescent="0.15">
      <c r="A87" s="38"/>
      <c r="B87" s="337"/>
      <c r="C87" s="338"/>
      <c r="D87" s="338"/>
      <c r="E87" s="338"/>
      <c r="F87" s="339"/>
    </row>
    <row r="88" spans="1:6" ht="18.75" customHeight="1" x14ac:dyDescent="0.15">
      <c r="A88" s="38"/>
      <c r="B88" s="337"/>
      <c r="C88" s="338"/>
      <c r="D88" s="338"/>
      <c r="E88" s="338"/>
      <c r="F88" s="339"/>
    </row>
    <row r="89" spans="1:6" ht="18.75" customHeight="1" x14ac:dyDescent="0.15">
      <c r="A89" s="38"/>
      <c r="B89" s="337"/>
      <c r="C89" s="338"/>
      <c r="D89" s="338"/>
      <c r="E89" s="338"/>
      <c r="F89" s="339"/>
    </row>
    <row r="90" spans="1:6" ht="18.75" customHeight="1" x14ac:dyDescent="0.15">
      <c r="A90" s="38"/>
      <c r="B90" s="337"/>
      <c r="C90" s="338"/>
      <c r="D90" s="338"/>
      <c r="E90" s="338"/>
      <c r="F90" s="339"/>
    </row>
    <row r="91" spans="1:6" ht="18.75" customHeight="1" x14ac:dyDescent="0.15">
      <c r="A91" s="38"/>
      <c r="B91" s="337"/>
      <c r="C91" s="338"/>
      <c r="D91" s="338"/>
      <c r="E91" s="338"/>
      <c r="F91" s="339"/>
    </row>
    <row r="92" spans="1:6" ht="18.75" customHeight="1" x14ac:dyDescent="0.15">
      <c r="A92" s="38"/>
      <c r="B92" s="337"/>
      <c r="C92" s="338"/>
      <c r="D92" s="338"/>
      <c r="E92" s="338"/>
      <c r="F92" s="339"/>
    </row>
    <row r="93" spans="1:6" ht="18.75" customHeight="1" x14ac:dyDescent="0.15">
      <c r="A93" s="38"/>
      <c r="B93" s="337"/>
      <c r="C93" s="338"/>
      <c r="D93" s="338"/>
      <c r="E93" s="338"/>
      <c r="F93" s="339"/>
    </row>
    <row r="94" spans="1:6" ht="18.75" customHeight="1" x14ac:dyDescent="0.15">
      <c r="A94" s="38"/>
      <c r="B94" s="337"/>
      <c r="C94" s="338"/>
      <c r="D94" s="338"/>
      <c r="E94" s="338"/>
      <c r="F94" s="339"/>
    </row>
    <row r="95" spans="1:6" ht="18.75" customHeight="1" x14ac:dyDescent="0.15">
      <c r="A95" s="38"/>
      <c r="B95" s="337"/>
      <c r="C95" s="338"/>
      <c r="D95" s="338"/>
      <c r="E95" s="338"/>
      <c r="F95" s="339"/>
    </row>
    <row r="96" spans="1:6" ht="18.75" customHeight="1" x14ac:dyDescent="0.15">
      <c r="A96" s="38"/>
      <c r="B96" s="337"/>
      <c r="C96" s="338"/>
      <c r="D96" s="338"/>
      <c r="E96" s="338"/>
      <c r="F96" s="339"/>
    </row>
    <row r="97" spans="1:6" ht="18.75" customHeight="1" x14ac:dyDescent="0.15">
      <c r="A97" s="38"/>
      <c r="B97" s="337"/>
      <c r="C97" s="338"/>
      <c r="D97" s="338"/>
      <c r="E97" s="338"/>
      <c r="F97" s="339"/>
    </row>
    <row r="98" spans="1:6" ht="18.75" customHeight="1" x14ac:dyDescent="0.15">
      <c r="A98" s="38"/>
      <c r="B98" s="337"/>
      <c r="C98" s="338"/>
      <c r="D98" s="338"/>
      <c r="E98" s="338"/>
      <c r="F98" s="339"/>
    </row>
    <row r="99" spans="1:6" ht="18.75" customHeight="1" x14ac:dyDescent="0.15">
      <c r="A99" s="38"/>
      <c r="B99" s="337"/>
      <c r="C99" s="338"/>
      <c r="D99" s="338"/>
      <c r="E99" s="338"/>
      <c r="F99" s="339"/>
    </row>
    <row r="100" spans="1:6" ht="18.75" customHeight="1" x14ac:dyDescent="0.15">
      <c r="A100" s="38"/>
      <c r="B100" s="337"/>
      <c r="C100" s="338"/>
      <c r="D100" s="338"/>
      <c r="E100" s="338"/>
      <c r="F100" s="339"/>
    </row>
    <row r="101" spans="1:6" ht="18.75" customHeight="1" x14ac:dyDescent="0.15">
      <c r="A101" s="38"/>
      <c r="B101" s="337"/>
      <c r="C101" s="338"/>
      <c r="D101" s="338"/>
      <c r="E101" s="338"/>
      <c r="F101" s="339"/>
    </row>
    <row r="102" spans="1:6" ht="18.75" customHeight="1" x14ac:dyDescent="0.15">
      <c r="A102" s="38"/>
      <c r="B102" s="337"/>
      <c r="C102" s="338"/>
      <c r="D102" s="338"/>
      <c r="E102" s="338"/>
      <c r="F102" s="339"/>
    </row>
    <row r="103" spans="1:6" ht="18.75" customHeight="1" x14ac:dyDescent="0.15">
      <c r="A103" s="38"/>
      <c r="B103" s="337"/>
      <c r="C103" s="338"/>
      <c r="D103" s="338"/>
      <c r="E103" s="338"/>
      <c r="F103" s="339"/>
    </row>
    <row r="104" spans="1:6" ht="18.75" customHeight="1" x14ac:dyDescent="0.15">
      <c r="A104" s="38"/>
      <c r="B104" s="337"/>
      <c r="C104" s="338"/>
      <c r="D104" s="338"/>
      <c r="E104" s="338"/>
      <c r="F104" s="339"/>
    </row>
    <row r="105" spans="1:6" ht="18.75" customHeight="1" x14ac:dyDescent="0.15">
      <c r="A105" s="38"/>
      <c r="B105" s="337"/>
      <c r="C105" s="338"/>
      <c r="D105" s="338"/>
      <c r="E105" s="338"/>
      <c r="F105" s="339"/>
    </row>
    <row r="106" spans="1:6" ht="18.75" customHeight="1" x14ac:dyDescent="0.15">
      <c r="A106" s="38"/>
      <c r="B106" s="337"/>
      <c r="C106" s="338"/>
      <c r="D106" s="338"/>
      <c r="E106" s="338"/>
      <c r="F106" s="339"/>
    </row>
    <row r="107" spans="1:6" ht="18.75" customHeight="1" x14ac:dyDescent="0.15">
      <c r="A107" s="38"/>
      <c r="B107" s="337"/>
      <c r="C107" s="338"/>
      <c r="D107" s="338"/>
      <c r="E107" s="338"/>
      <c r="F107" s="339"/>
    </row>
    <row r="108" spans="1:6" ht="18.75" customHeight="1" x14ac:dyDescent="0.15">
      <c r="A108" s="38"/>
      <c r="B108" s="337"/>
      <c r="C108" s="338"/>
      <c r="D108" s="338"/>
      <c r="E108" s="338"/>
      <c r="F108" s="339"/>
    </row>
    <row r="109" spans="1:6" ht="18.75" customHeight="1" x14ac:dyDescent="0.15">
      <c r="A109" s="38"/>
      <c r="B109" s="337"/>
      <c r="C109" s="338"/>
      <c r="D109" s="338"/>
      <c r="E109" s="338"/>
      <c r="F109" s="339"/>
    </row>
    <row r="110" spans="1:6" ht="18.75" customHeight="1" x14ac:dyDescent="0.15">
      <c r="A110" s="38"/>
      <c r="B110" s="337"/>
      <c r="C110" s="338"/>
      <c r="D110" s="338"/>
      <c r="E110" s="338"/>
      <c r="F110" s="339"/>
    </row>
    <row r="111" spans="1:6" ht="18.75" customHeight="1" x14ac:dyDescent="0.15">
      <c r="A111" s="38"/>
      <c r="B111" s="337"/>
      <c r="C111" s="338"/>
      <c r="D111" s="338"/>
      <c r="E111" s="338"/>
      <c r="F111" s="339"/>
    </row>
    <row r="112" spans="1:6" ht="18.75" customHeight="1" x14ac:dyDescent="0.15">
      <c r="A112" s="38"/>
      <c r="B112" s="337"/>
      <c r="C112" s="338"/>
      <c r="D112" s="338"/>
      <c r="E112" s="338"/>
      <c r="F112" s="339"/>
    </row>
    <row r="113" spans="1:6" ht="18.75" customHeight="1" x14ac:dyDescent="0.15">
      <c r="A113" s="38"/>
      <c r="B113" s="337"/>
      <c r="C113" s="338"/>
      <c r="D113" s="338"/>
      <c r="E113" s="338"/>
      <c r="F113" s="339"/>
    </row>
    <row r="114" spans="1:6" ht="18.75" customHeight="1" x14ac:dyDescent="0.15">
      <c r="A114" s="38"/>
      <c r="B114" s="337"/>
      <c r="C114" s="338"/>
      <c r="D114" s="338"/>
      <c r="E114" s="338"/>
      <c r="F114" s="339"/>
    </row>
    <row r="115" spans="1:6" ht="18.75" customHeight="1" x14ac:dyDescent="0.15">
      <c r="A115" s="38"/>
      <c r="B115" s="337"/>
      <c r="C115" s="338"/>
      <c r="D115" s="338"/>
      <c r="E115" s="338"/>
      <c r="F115" s="339"/>
    </row>
    <row r="116" spans="1:6" ht="18.75" customHeight="1" x14ac:dyDescent="0.15">
      <c r="A116" s="38"/>
      <c r="B116" s="337"/>
      <c r="C116" s="338"/>
      <c r="D116" s="338"/>
      <c r="E116" s="338"/>
      <c r="F116" s="339"/>
    </row>
    <row r="117" spans="1:6" ht="18.75" customHeight="1" x14ac:dyDescent="0.15">
      <c r="A117" s="38"/>
      <c r="B117" s="337"/>
      <c r="C117" s="338"/>
      <c r="D117" s="338"/>
      <c r="E117" s="338"/>
      <c r="F117" s="339"/>
    </row>
    <row r="118" spans="1:6" ht="18.75" customHeight="1" x14ac:dyDescent="0.15">
      <c r="A118" s="38"/>
      <c r="B118" s="337"/>
      <c r="C118" s="338"/>
      <c r="D118" s="338"/>
      <c r="E118" s="338"/>
      <c r="F118" s="339"/>
    </row>
    <row r="119" spans="1:6" ht="18.75" customHeight="1" x14ac:dyDescent="0.15">
      <c r="A119" s="38"/>
      <c r="B119" s="337"/>
      <c r="C119" s="338"/>
      <c r="D119" s="338"/>
      <c r="E119" s="338"/>
      <c r="F119" s="339"/>
    </row>
    <row r="120" spans="1:6" ht="18.75" customHeight="1" x14ac:dyDescent="0.15">
      <c r="A120" s="38"/>
      <c r="B120" s="337"/>
      <c r="C120" s="338"/>
      <c r="D120" s="338"/>
      <c r="E120" s="338"/>
      <c r="F120" s="339"/>
    </row>
    <row r="121" spans="1:6" ht="18.75" customHeight="1" x14ac:dyDescent="0.15">
      <c r="A121" s="38"/>
      <c r="B121" s="337"/>
      <c r="C121" s="338"/>
      <c r="D121" s="338"/>
      <c r="E121" s="338"/>
      <c r="F121" s="339"/>
    </row>
    <row r="122" spans="1:6" ht="18.75" customHeight="1" x14ac:dyDescent="0.15">
      <c r="A122" s="38"/>
      <c r="B122" s="337"/>
      <c r="C122" s="338"/>
      <c r="D122" s="338"/>
      <c r="E122" s="338"/>
      <c r="F122" s="339"/>
    </row>
    <row r="123" spans="1:6" ht="18.75" customHeight="1" x14ac:dyDescent="0.15">
      <c r="A123" s="38"/>
      <c r="B123" s="337"/>
      <c r="C123" s="338"/>
      <c r="D123" s="338"/>
      <c r="E123" s="338"/>
      <c r="F123" s="339"/>
    </row>
    <row r="124" spans="1:6" ht="18.75" customHeight="1" x14ac:dyDescent="0.15">
      <c r="A124" s="38"/>
      <c r="B124" s="340"/>
      <c r="C124" s="341"/>
      <c r="D124" s="341"/>
      <c r="E124" s="341"/>
      <c r="F124" s="342"/>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CB2B1B228B3EA46BEF434CA1F935758" ma:contentTypeVersion="5" ma:contentTypeDescription="新しいドキュメントを作成します。" ma:contentTypeScope="" ma:versionID="2138a20c06faf28e2b78590d78591621">
  <xsd:schema xmlns:xsd="http://www.w3.org/2001/XMLSchema" xmlns:xs="http://www.w3.org/2001/XMLSchema" xmlns:p="http://schemas.microsoft.com/office/2006/metadata/properties" xmlns:ns2="eb756039-5fda-44f7-a8b3-5e753cd4d7b8" targetNamespace="http://schemas.microsoft.com/office/2006/metadata/properties" ma:root="true" ma:fieldsID="23c83a2d99810658c6423acbf88ee8a2" ns2:_="">
    <xsd:import namespace="eb756039-5fda-44f7-a8b3-5e753cd4d7b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756039-5fda-44f7-a8b3-5e753cd4d7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7AFF31-5846-4034-84E3-BC1941BF6140}">
  <ds:schemaRefs>
    <ds:schemaRef ds:uri="http://schemas.microsoft.com/sharepoint/v3/contenttype/forms"/>
  </ds:schemaRefs>
</ds:datastoreItem>
</file>

<file path=customXml/itemProps2.xml><?xml version="1.0" encoding="utf-8"?>
<ds:datastoreItem xmlns:ds="http://schemas.openxmlformats.org/officeDocument/2006/customXml" ds:itemID="{ADC64182-9147-47EE-A06C-B1F524F7798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8387865-4592-42DC-8F4B-A50D585986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756039-5fda-44f7-a8b3-5e753cd4d7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伊神 和希</cp:lastModifiedBy>
  <cp:lastPrinted>2022-04-21T08:01:10Z</cp:lastPrinted>
  <dcterms:created xsi:type="dcterms:W3CDTF">2011-06-14T05:32:50Z</dcterms:created>
  <dcterms:modified xsi:type="dcterms:W3CDTF">2022-05-19T08:12:09Z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0x0101005CB2B1B228B3EA46BEF434CA1F935758</vt:lpwstr>
  </property>
</Properties>
</file>