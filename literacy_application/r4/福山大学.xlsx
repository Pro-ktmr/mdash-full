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defaultThemeVersion="124226"/>
  <mc:AlternateContent xmlns:mc="http://schemas.openxmlformats.org/markup-compatibility/2006">
    <mc:Choice Requires="x15">
      <x15ac:absPath xmlns:x15ac="http://schemas.microsoft.com/office/spreadsheetml/2010/11/ac" url="\\kyoumu-nas2\kyoumu-share\okumura\数理・データサイエンス・AI教育プログラム認定制度関係\2022\★申請ファイル\20220714修正\"/>
    </mc:Choice>
  </mc:AlternateContent>
  <xr:revisionPtr revIDLastSave="0" documentId="13_ncr:1_{854B34BA-AFA8-4E22-B4D5-ACCF1935DB45}" xr6:coauthVersionLast="47" xr6:coauthVersionMax="47" xr10:uidLastSave="{00000000-0000-0000-0000-000000000000}"/>
  <bookViews>
    <workbookView xWindow="-120" yWindow="-120" windowWidth="29040" windowHeight="17640" tabRatio="885" xr2:uid="{00000000-000D-0000-FFFF-FFFF00000000}"/>
  </bookViews>
  <sheets>
    <sheet name="様式１　大学等概要" sheetId="8" r:id="rId1"/>
    <sheet name="様式２　プログラムを構成する授業科目" sheetId="44"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<sst xmlns="http://schemas.openxmlformats.org/spreadsheetml/2006/main" count="350" uniqueCount="210">
  <si>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</si>
  <si>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</si>
  <si>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</si>
  <si>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</si>
  <si>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福山大学</t>
    <rPh sb="0" eb="4">
      <t>フクヤマダイガク</t>
    </rPh>
    <phoneticPr fontId="1"/>
  </si>
  <si>
    <t>②</t>
    <phoneticPr fontId="1"/>
  </si>
  <si>
    <t>大学等の設置者</t>
  </si>
  <si>
    <t>学校法人福山大学</t>
    <phoneticPr fontId="1"/>
  </si>
  <si>
    <t>③</t>
  </si>
  <si>
    <t>設置形態</t>
    <phoneticPr fontId="1"/>
  </si>
  <si>
    <t>私立大学</t>
  </si>
  <si>
    <t>④</t>
    <phoneticPr fontId="1"/>
  </si>
  <si>
    <t>所在地</t>
    <phoneticPr fontId="1"/>
  </si>
  <si>
    <t>⑤</t>
    <phoneticPr fontId="1"/>
  </si>
  <si>
    <t>申請するプログラム名称</t>
    <rPh sb="0" eb="2">
      <t>シンセイ</t>
    </rPh>
    <rPh sb="9" eb="11">
      <t>メイショウ</t>
    </rPh>
    <phoneticPr fontId="1"/>
  </si>
  <si>
    <t>数理・データサイエンス・AI教育プログラム</t>
    <phoneticPr fontId="1"/>
  </si>
  <si>
    <t>⑥</t>
    <phoneticPr fontId="1"/>
  </si>
  <si>
    <t>プログラムの開設年度</t>
    <rPh sb="6" eb="8">
      <t>カイセツ</t>
    </rPh>
    <rPh sb="8" eb="10">
      <t>ネンド</t>
    </rPh>
    <phoneticPr fontId="1"/>
  </si>
  <si>
    <t>令和２</t>
    <phoneticPr fontId="1"/>
  </si>
  <si>
    <t>年度</t>
    <rPh sb="0" eb="2">
      <t>ネンド</t>
    </rPh>
    <phoneticPr fontId="1"/>
  </si>
  <si>
    <t>⑦応用基礎レベルの申請の有無</t>
    <phoneticPr fontId="1"/>
  </si>
  <si>
    <t>有</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</si>
  <si>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</si>
  <si>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</si>
  <si>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</si>
  <si>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</si>
  <si>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</si>
  <si>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</si>
  <si>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</si>
  <si>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</si>
  <si>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</si>
  <si>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</si>
  <si>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</si>
  <si>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</si>
  <si>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</si>
  <si>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</si>
  <si>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</si>
  <si>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</si>
  <si>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</si>
  <si>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</si>
  <si>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</si>
  <si>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</si>
  <si>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</si>
  <si>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</si>
  <si>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金子　邦彦</t>
    <phoneticPr fontId="1"/>
  </si>
  <si>
    <t>（役職名）</t>
    <rPh sb="1" eb="4">
      <t>ヤクショクメイ</t>
    </rPh>
    <phoneticPr fontId="1"/>
  </si>
  <si>
    <t>大学教育センター数理・ＤＳ・ＡＩ教育プログラム統括責任者</t>
    <rPh sb="0" eb="2">
      <t>ダイガク</t>
    </rPh>
    <rPh sb="2" eb="4">
      <t>キョウイク</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</si>
  <si>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</si>
  <si>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</si>
  <si>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大学教育センター運営委員会</t>
    <rPh sb="8" eb="10">
      <t>ウンエイ</t>
    </rPh>
    <rPh sb="10" eb="13">
      <t>イインカイ</t>
    </rPh>
    <phoneticPr fontId="1"/>
  </si>
  <si>
    <t>鶴田　泰人</t>
    <phoneticPr fontId="1"/>
  </si>
  <si>
    <t>大学教育センター長</t>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</si>
  <si>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</si>
  <si>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</si>
  <si>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大学教育センター運営委員会</t>
    <phoneticPr fontId="1"/>
  </si>
  <si>
    <t>金子　邦彦</t>
    <rPh sb="0" eb="2">
      <t>カネコ</t>
    </rPh>
    <rPh sb="3" eb="5">
      <t>クニヒコ</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</si>
  <si>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</si>
  <si>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</si>
  <si>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</si>
  <si>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</si>
  <si>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</si>
  <si>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福山大学学務部教務課</t>
    <phoneticPr fontId="1"/>
  </si>
  <si>
    <t>担当者名</t>
    <rPh sb="0" eb="2">
      <t>タントウ</t>
    </rPh>
    <rPh sb="2" eb="3">
      <t>シャ</t>
    </rPh>
    <rPh sb="3" eb="4">
      <t>メイ</t>
    </rPh>
    <phoneticPr fontId="1"/>
  </si>
  <si>
    <t>奥村　健一</t>
    <phoneticPr fontId="1"/>
  </si>
  <si>
    <t>E-mail</t>
  </si>
  <si>
    <t>kyoumuka@fukuyama-u.ac.jp</t>
    <phoneticPr fontId="1"/>
  </si>
  <si>
    <t>電話番号</t>
  </si>
  <si>
    <t>084-936-2111</t>
    <phoneticPr fontId="1"/>
  </si>
  <si>
    <t>様式２</t>
    <phoneticPr fontId="1"/>
  </si>
  <si>
    <t>プログラムを構成する授業科目について</t>
    <phoneticPr fontId="1"/>
  </si>
  <si>
    <t>①具体的な修了要件</t>
    <phoneticPr fontId="1"/>
  </si>
  <si>
    <t>②教育プログラムの修了要件</t>
    <phoneticPr fontId="1"/>
  </si>
  <si>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</si>
  <si>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</si>
  <si>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</si>
  <si>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</si>
  <si>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</si>
  <si>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</si>
  <si>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</si>
  <si>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</si>
  <si>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人工知能</t>
    <rPh sb="0" eb="4">
      <t>ジンコウチノウ</t>
    </rPh>
    <phoneticPr fontId="1"/>
  </si>
  <si>
    <t>全学開講</t>
  </si>
  <si>
    <t>○</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</si>
  <si>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</si>
  <si>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</si>
  <si>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</si>
  <si>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情報処理基礎</t>
    <rPh sb="0" eb="6">
      <t>ジョウホウショリキソ</t>
    </rPh>
    <phoneticPr fontId="1"/>
  </si>
  <si>
    <t>情報処理応用</t>
    <rPh sb="0" eb="2">
      <t>ジョウホウ</t>
    </rPh>
    <rPh sb="2" eb="4">
      <t>ショリ</t>
    </rPh>
    <rPh sb="4" eb="6">
      <t>オウヨウ</t>
    </rPh>
    <phoneticPr fontId="1"/>
  </si>
  <si>
    <t>情報処理技法</t>
    <rPh sb="0" eb="4">
      <t>ジョウホウショリ</t>
    </rPh>
    <rPh sb="4" eb="6">
      <t>ギホウ</t>
    </rPh>
    <phoneticPr fontId="1"/>
  </si>
  <si>
    <t>一部開講</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</si>
  <si>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</si>
  <si>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</si>
  <si>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</si>
  <si>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数理科学</t>
    <rPh sb="0" eb="4">
      <t>スウリカガク</t>
    </rPh>
    <phoneticPr fontId="1"/>
  </si>
  <si>
    <t>情報処理応用</t>
    <rPh sb="0" eb="6">
      <t>ジョウホウショリオウヨウ</t>
    </rPh>
    <phoneticPr fontId="1"/>
  </si>
  <si>
    <t>金融論特講</t>
    <rPh sb="0" eb="2">
      <t>キンユウ</t>
    </rPh>
    <rPh sb="2" eb="3">
      <t>ロン</t>
    </rPh>
    <rPh sb="3" eb="4">
      <t>トク</t>
    </rPh>
    <rPh sb="4" eb="5">
      <t>コウ</t>
    </rPh>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</si>
  <si>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</si>
  <si>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</si>
  <si>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</si>
  <si>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</si>
  <si>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</si>
  <si>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</si>
  <si>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</si>
  <si>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〇</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</si>
  <si>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</si>
  <si>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</si>
  <si>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</si>
  <si>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</si>
  <si>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</si>
  <si>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</si>
  <si>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</si>
  <si>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</si>
  <si>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・画像あるいは種々のデータ　「情報処理基礎」
　実施回などは、担当教員により異なり、以下の通りである。
　・PowerPoint の使い方とグループ分け　「情報処理基礎（片桐）」（２回目）
　・Wordの活用(1)＜アイコン・イラスト・画像・テキストボックス＞　「情報処理基礎（記谷）（石丸）（畑本）」（１０回目）
　・PowerPoint① 05_表，06画像（図） 「情報処理基礎（伊澤）」（１３回目）
　・Microsoft Word における図の挿入と数式作成　「情報処理基礎（上敷領）」（４回目）
　・イラストや画像の挿入、デジタル画像の撮影と加工　「情報処理基礎（その他の教員）」（１２、１３回目）
・図や絵を描く　「情報処理応用」（１１回目）
・データベース　「情報処理技法」（１０回目，１１回目）</t>
  </si>
  <si>
    <t>・ファイルやグラフでのデータの扱い　「情報処理基礎」
　実施回などは、担当教員により異なり、以下の通りである。
　・GPSとプライバシー　「情報処理基礎（片桐）」（７回目）
　・Wordの応用②＜グラフの挿入＞　「情報処理基礎（記谷）（石丸）（畑本）」（１４回目）
　・PowerPoint② 07_グラフ　「情報処理基礎（伊澤）」（１４回目）
　・Microsoft Excel のグラフ作成　「情報処理基礎（上敷領）」（６回目）
　・ファイルの保存と課題の印刷　「情報処理基礎（その他の教員）」（６回目）
・グラフの作成と印刷　「情報処理応用（瀬島）」（７回目）
・グラフ　「情報処理技法」（２回目，７回目，８回目，９回目）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</si>
  <si>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</si>
  <si>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 xml:space="preserve">・AI技術の課題演習（Excelを利用した将来予測）　「情報処理応用」（１０回目）
・分布・代表値・散布図　「数理科学」（２回目）
・統計学（１）　ーファイナンス理論と統計学ー，統計学（２）　ーFinancial Charts－，統計学（３）　ー株，債権，Options－　「金融論特講」（２回目）
・機械学習、ニューラルネットワーク　「人工知能」（９回目）
</t>
    <rPh sb="3" eb="5">
      <t>ギジュツ</t>
    </rPh>
    <rPh sb="6" eb="10">
      <t>カダイエンシュウ</t>
    </rPh>
    <rPh sb="17" eb="19">
      <t>リヨウ</t>
    </rPh>
    <rPh sb="21" eb="25">
      <t>ショウライヨソク</t>
    </rPh>
    <rPh sb="28" eb="34">
      <t>ジョウホウショリオウヨウ</t>
    </rPh>
    <rPh sb="38" eb="40">
      <t>カイメ</t>
    </rPh>
    <rPh sb="45" eb="47">
      <t>ダイヒョウ</t>
    </rPh>
    <rPh sb="47" eb="48">
      <t>アタイ</t>
    </rPh>
    <rPh sb="49" eb="51">
      <t>サンプ</t>
    </rPh>
    <rPh sb="51" eb="52">
      <t>ズ</t>
    </rPh>
    <rPh sb="54" eb="58">
      <t>スウリカガク</t>
    </rPh>
    <rPh sb="61" eb="63">
      <t>カイメ</t>
    </rPh>
    <rPh sb="67" eb="70">
      <t>トウケイガク</t>
    </rPh>
    <rPh sb="81" eb="83">
      <t>リロン</t>
    </rPh>
    <rPh sb="84" eb="87">
      <t>トウケイガク</t>
    </rPh>
    <rPh sb="89" eb="92">
      <t>トウケイガク</t>
    </rPh>
    <rPh sb="115" eb="118">
      <t>トウケイガク</t>
    </rPh>
    <rPh sb="123" eb="124">
      <t>カブ</t>
    </rPh>
    <rPh sb="125" eb="127">
      <t>サイケン</t>
    </rPh>
    <rPh sb="151" eb="155">
      <t>キカイガクシュウ</t>
    </rPh>
    <rPh sb="169" eb="173">
      <t>ジンコウチノウ</t>
    </rPh>
    <rPh sb="176" eb="178">
      <t>カイメ</t>
    </rPh>
    <phoneticPr fontId="1"/>
  </si>
  <si>
    <t xml:space="preserve">・AI技術の課題演習（Excelを利用した将来予測）　「情報処理応用」（１０回目）
・仮説と検定、２項分布と検定　「数理科学」（２回目）
・統計学（４） －ファイナンス理論の実証方法－　「金融論特講義」（５回目）
・人工知能とは何か　「人工知能」（１回目）
</t>
    <rPh sb="43" eb="45">
      <t>カセツ</t>
    </rPh>
    <rPh sb="46" eb="48">
      <t>ケンテイ</t>
    </rPh>
    <rPh sb="50" eb="53">
      <t>コウブンプ</t>
    </rPh>
    <rPh sb="54" eb="56">
      <t>ケンテイ</t>
    </rPh>
    <rPh sb="58" eb="62">
      <t>スウリカガク</t>
    </rPh>
    <rPh sb="65" eb="67">
      <t>カイメ</t>
    </rPh>
    <rPh sb="70" eb="73">
      <t>トウケイガク</t>
    </rPh>
    <rPh sb="84" eb="86">
      <t>リロン</t>
    </rPh>
    <rPh sb="87" eb="91">
      <t>ジッショウホウホウ</t>
    </rPh>
    <phoneticPr fontId="1"/>
  </si>
  <si>
    <t>（４）活用に当たっての様々な留意事項（ELSI、個人情報、データ倫理、ＡＩ社会原則等）を考慮し、情報セキュリティや情報漏洩等、データを守る上での留意事項への理解をする</t>
    <phoneticPr fontId="1"/>
  </si>
  <si>
    <t>・情報を扱う上での注意事項　「情報処理基礎」
　実施回などは、担当教員により異なり、以下の通りである。
　・スマホが持っている個人情報　「情報処理基礎（片桐）」（１４回目）
　・パソコンの基礎知識　「情報処理基礎（伊澤）」（１回目）
　・情報リテラシーの必要性　「情報処理基礎（上敷領）」（１回目）
　・情報倫理と情報セキュリティ　「情報処理基礎（その他の教員）」（２回目）
・情報倫理と情報セキュリティ　「情報処理応用」（１回目）
・情報倫理と情報セキュリティ　「情報処理技法」（１回目）</t>
  </si>
  <si>
    <t>・情報倫理と情報セキュリティ　「情報処理基礎」
　実施回などは、担当教員により異なり、以下の通りである。
　・個人情報紛失に備えるノウハウ　「情報処理基礎（片桐）」（１４回目）
　・パソコンの基礎知識　「情報処理基礎（伊澤）」（１回目）
　・情報リテラシーの必要性　「情報処理基礎（上敷領）」（１回目）
　・情報倫理と情報セキュリティ　「情報処理基礎（その他の教員）」（２回目）
・情報倫理と情報セキュリティ　「情報処理応用」（１回目）
・情報倫理と情報セキュリティ　「情報処理技法」（１回目）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</si>
  <si>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</si>
  <si>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・金融データ（１）　ーデータ取得方法 (Bloomberg)ー　「金融論特講義」（６回目）
・機械学習，ニューラルネットワーク　「人工知能」（９回目）</t>
    <rPh sb="1" eb="3">
      <t>キンユウ</t>
    </rPh>
    <rPh sb="14" eb="18">
      <t>シュトクホウホウ</t>
    </rPh>
    <rPh sb="47" eb="51">
      <t>キカイガクシュウ</t>
    </rPh>
    <rPh sb="65" eb="69">
      <t>ジンコウチノウ</t>
    </rPh>
    <rPh sb="72" eb="74">
      <t>カイメ</t>
    </rPh>
    <phoneticPr fontId="1"/>
  </si>
  <si>
    <t>・金融データの統計分析（１），（２），（３）　「金融論特講」（８回目，９回目）
・機械学習，ニューラルネットワーク　「人工知能」（９回目）</t>
    <rPh sb="1" eb="3">
      <t>キンユウ</t>
    </rPh>
    <rPh sb="7" eb="9">
      <t>トウケイ</t>
    </rPh>
    <rPh sb="9" eb="11">
      <t>ブンセキ</t>
    </rPh>
    <rPh sb="24" eb="27">
      <t>キンユウロン</t>
    </rPh>
    <rPh sb="27" eb="28">
      <t>トク</t>
    </rPh>
    <rPh sb="28" eb="29">
      <t>コウ</t>
    </rPh>
    <rPh sb="32" eb="34">
      <t>カイメ</t>
    </rPh>
    <rPh sb="36" eb="38">
      <t>カイメ</t>
    </rPh>
    <phoneticPr fontId="1"/>
  </si>
  <si>
    <t>・金融データ（１）　ーデータ活用方法 (Bloomberg)ー　「金融論特講義」（７回目）
・機械学習，ニューラルネットワーク　「人工知能」（９回目）</t>
    <rPh sb="14" eb="16">
      <t>カツヨウ</t>
    </rPh>
    <phoneticPr fontId="1"/>
  </si>
  <si>
    <t>⑩プログラムの学修成果（学生等が身に付けられる能力等）</t>
    <phoneticPr fontId="1"/>
  </si>
  <si>
    <t>(1) 人工知能社会、情報化社会におけるＩＣＴとＡＩの活用ができる基本的な素養
(2) 情報倫理、プライバシ、個人情報に関する基礎的な素養
(3) 情報セキュリティに関する基礎的な素養
(4) データサイエンスとデータ活用と、それらの数理的基礎に関する基本的な素養</t>
    <phoneticPr fontId="1"/>
  </si>
  <si>
    <t>⑪プログラムの授業内容等を公表しているアドレス</t>
    <phoneticPr fontId="1"/>
  </si>
  <si>
    <t>https://www.fukuyama-u.ac.jp/edu-center/literacy-level/</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</si>
  <si>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</si>
  <si>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</si>
  <si>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</si>
  <si>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</si>
  <si>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</si>
  <si>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</si>
  <si>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</si>
  <si>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</si>
  <si>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</si>
  <si>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</si>
  <si>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</si>
  <si>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</si>
  <si>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</si>
  <si>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</si>
  <si>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</si>
  <si>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</si>
  <si>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</si>
  <si>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経済学部</t>
    <rPh sb="0" eb="4">
      <t>ケイザイガクブ</t>
    </rPh>
    <phoneticPr fontId="1"/>
  </si>
  <si>
    <t>人間文化学部</t>
    <rPh sb="0" eb="6">
      <t>ニンゲンブンカガクブ</t>
    </rPh>
    <phoneticPr fontId="1"/>
  </si>
  <si>
    <t>工学部</t>
    <rPh sb="0" eb="3">
      <t>コウガクブ</t>
    </rPh>
    <phoneticPr fontId="1"/>
  </si>
  <si>
    <t>生命工学部</t>
    <rPh sb="0" eb="5">
      <t>セイメイコウガクブ</t>
    </rPh>
    <phoneticPr fontId="1"/>
  </si>
  <si>
    <t>薬学部</t>
    <rPh sb="0" eb="3">
      <t>ヤクガクブ</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</si>
  <si>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</si>
  <si>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</si>
  <si>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</si>
  <si>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</si>
  <si>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</si>
  <si>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福山大学大学教育センター規則、数理・データサイエンス・AI教育部門運営細則</t>
    <rPh sb="0" eb="4">
      <t>フクヤマダイガク</t>
    </rPh>
    <rPh sb="4" eb="8">
      <t>ダイガクキョウイク</t>
    </rPh>
    <rPh sb="12" eb="14">
      <t>キソク</t>
    </rPh>
    <rPh sb="15" eb="17">
      <t>スウリ</t>
    </rPh>
    <rPh sb="29" eb="31">
      <t>キョウイク</t>
    </rPh>
    <rPh sb="31" eb="33">
      <t>ブモン</t>
    </rPh>
    <rPh sb="33" eb="35">
      <t>ウンエイ</t>
    </rPh>
    <rPh sb="35" eb="37">
      <t>サイソク</t>
    </rPh>
    <phoneticPr fontId="1"/>
  </si>
  <si>
    <t>体制の目的</t>
    <rPh sb="0" eb="2">
      <t>タイセイ</t>
    </rPh>
    <rPh sb="3" eb="5">
      <t>モクテキ</t>
    </rPh>
    <phoneticPr fontId="1"/>
  </si>
  <si>
    <t>大学教育センターは、福山大学教育システムおよび福山大学における共通教育に関する種々の業務を行う組織で、全学的な視点から大学教育に関する調査, 研究, 企画, 調整, 研修等を行うことにより大学全体の教育改革の主導を行っており、その運営委員会は、本学の大学教育センターの運営全般の企画、審議を担う全学レベルの委員会であり、本学の「数理・データサイエンス・AI教育プログラム」の改善・進化も担っている。</t>
    <phoneticPr fontId="1"/>
  </si>
  <si>
    <t>③</t>
    <phoneticPr fontId="1"/>
  </si>
  <si>
    <t>具体的な構成員</t>
    <rPh sb="0" eb="3">
      <t>グタイテキ</t>
    </rPh>
    <rPh sb="4" eb="7">
      <t>コウセイイン</t>
    </rPh>
    <phoneticPr fontId="1"/>
  </si>
  <si>
    <t>大学教育センター運営委員会
　委員長（大学教育センター長）　鶴田　泰人
　委員
　　副センター長、共通教育部門長 今井　航
　　教育開発部門長　佐藤　英治
　　資格教育部門長　三川　敦
　　学修支援部門長　坂口　勝次
　　経済学科長　楠田　昭二
　　国際経済学科長　足立　浩一
　　税務会計学科長　白木　康晴
　　人間文化学科長　小原　友行
　　心理学科長　赤澤　淳子
　　メディア・映像学科長　安田　暁
　　スマートシステム学科長　仲嶋　一
　　建築学科長　梅國　章
　　情報工学科長　尾関　孝史
　　機械システム工学科長　木村　純壮
　　生物工学科長　岩本　博行
　　生命栄養科学科長　石井　香代子
　　海洋生物科学科長　北口　博隆
　　薬学科長　小嶋　英二朗
　　薬学科長(実務教育担当)　（佐藤　英治）
　　数理・ＤＳ・ＡＩ教育プログラム統括責任者　金子　邦彦
　　大学教育センター(ＩＲ室)　記谷　康之
　　教務副委員長　井上　裕文
　　学芸員養成課程委員長　真田　誠至
　　大学教育センター　上西　幸治
　　学生委員長　鶴崎　健一
　　教務委員長　満谷　淳
　　就職委員長　藤原　美樹
　　教職課程委員長　竹盛　浩二
　　学務部長　武田　貢一
　　学務部副部長、教務課長・学務課長　奥村　健一</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</si>
  <si>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</si>
  <si>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</si>
  <si>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</si>
  <si>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</si>
  <si>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</si>
  <si>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</si>
  <si>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</si>
  <si>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</si>
  <si>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r>
      <t>目標を達成するために、次を行っている。
１．本プログラムを構成する科目のうち「情報処理基礎」を１年次の全学必修としている
２．大学教育センターにおいて、全学生によるオンラインでの授業評価アンケートを実施し、授業担当教員による年２回の自己点検と学生へのフィードバック等により、教育の質向上を行っている。
３．授業内容は、１年次の「情報処理基礎」においては、初学者であっても十分に内容を理解できるように設計している。
４．令和４年度入学生より、本プログラムのカリキュラムの刷新、本プログラムを構成する全科目のシラバス</t>
    </r>
    <r>
      <rPr>
        <sz val="12"/>
        <rFont val="ＭＳ Ｐゴシック"/>
        <family val="3"/>
        <charset val="128"/>
      </rPr>
      <t>の改訂</t>
    </r>
    <r>
      <rPr>
        <sz val="12"/>
        <rFont val="ＭＳ Ｐゴシック"/>
        <family val="3"/>
        <charset val="128"/>
        <scheme val="minor"/>
      </rPr>
      <t>を行い、教育内容を</t>
    </r>
    <r>
      <rPr>
        <sz val="12"/>
        <rFont val="ＭＳ Ｐゴシック"/>
        <family val="3"/>
        <charset val="128"/>
      </rPr>
      <t>さらに</t>
    </r>
    <r>
      <rPr>
        <sz val="12"/>
        <rFont val="ＭＳ Ｐゴシック"/>
        <family val="3"/>
        <charset val="128"/>
        <scheme val="minor"/>
      </rPr>
      <t>充実するとともに、本学の文系理系の学部の</t>
    </r>
    <r>
      <rPr>
        <sz val="12"/>
        <rFont val="ＭＳ Ｐゴシック"/>
        <family val="3"/>
        <charset val="128"/>
      </rPr>
      <t>特性</t>
    </r>
    <r>
      <rPr>
        <sz val="12"/>
        <rFont val="ＭＳ Ｐゴシック"/>
        <family val="3"/>
        <charset val="128"/>
        <scheme val="minor"/>
      </rPr>
      <t>に応じたきめ細かな教育を実施する。
５．本プログラムについて、他大学（福山市立大学）の全教職員を対象とした説明会を、令和４年２月に実施し、他大学への展開・普及を行うとともに、</t>
    </r>
    <r>
      <rPr>
        <sz val="12"/>
        <rFont val="ＭＳ Ｐゴシック"/>
        <family val="3"/>
        <charset val="128"/>
      </rPr>
      <t>説明会時に集約した意見を</t>
    </r>
    <r>
      <rPr>
        <sz val="12"/>
        <rFont val="ＭＳ Ｐゴシック"/>
        <family val="3"/>
        <charset val="128"/>
        <scheme val="minor"/>
      </rPr>
      <t>本プログラムの教育の質向上につなげている。</t>
    </r>
    <rPh sb="164" eb="170">
      <t>ジョウホウショリキソ</t>
    </rPh>
    <rPh sb="177" eb="178">
      <t>ハツ</t>
    </rPh>
    <rPh sb="178" eb="180">
      <t>ガクシャ</t>
    </rPh>
    <rPh sb="257" eb="259">
      <t xml:space="preserve">カイテイ </t>
    </rPh>
    <rPh sb="280" eb="282">
      <t>ホンガク</t>
    </rPh>
    <rPh sb="291" eb="292">
      <t xml:space="preserve">トックセイ </t>
    </rPh>
    <rPh sb="292" eb="293">
      <t xml:space="preserve">セイ </t>
    </rPh>
    <rPh sb="336" eb="337">
      <t>ゼン</t>
    </rPh>
    <rPh sb="383" eb="384">
      <t xml:space="preserve">ジ </t>
    </rPh>
    <rPh sb="385" eb="387">
      <t xml:space="preserve">シュウヤク </t>
    </rPh>
    <phoneticPr fontId="1"/>
  </si>
  <si>
    <t>学部・学科に関係なく希望する学生全員が受講可能となるような必要な体制・取組等</t>
    <phoneticPr fontId="1"/>
  </si>
  <si>
    <r>
      <t>１．従来より、文理問わず学生全員が受講可能なカリキュラムである。
２．令和３年度に、大学教育センター運営委員会の中に本教育プログラムの改善・充実を検討する臨時の作業部会を設置し、令和４年１月には数理・データサイエンス・AI教育部門を新たに発足した。これら作業部会と新部門は次を行う。
・カリキュラムならびにシラバスの点検と改善・充実を組織的に行う。
・全学部の教員により構成し、各学部の特性に応じた適切な教育内容の改善・進化を行う。
・科目「情報処理基礎」について、いつでも全学生が学習し、復習可能なオンデマンド教材</t>
    </r>
    <r>
      <rPr>
        <sz val="12"/>
        <rFont val="ＭＳ Ｐゴシック"/>
        <family val="3"/>
        <charset val="128"/>
      </rPr>
      <t>を充実させる</t>
    </r>
    <r>
      <rPr>
        <sz val="12"/>
        <rFont val="ＭＳ Ｐゴシック"/>
        <family val="3"/>
        <charset val="128"/>
        <scheme val="minor"/>
      </rPr>
      <t>。
３．受講可能人数については、令和３年度まで、おおよそ最大で90～100名程度が本教育プログラム</t>
    </r>
    <r>
      <rPr>
        <sz val="12"/>
        <rFont val="ＭＳ Ｐゴシック"/>
        <family val="3"/>
        <charset val="128"/>
      </rPr>
      <t>を履修</t>
    </r>
    <r>
      <rPr>
        <sz val="12"/>
        <rFont val="ＭＳ Ｐゴシック"/>
        <family val="3"/>
        <charset val="128"/>
        <scheme val="minor"/>
      </rPr>
      <t>できるように、教室の割り当て、担当教員の割り当てを行ってきた。将来見込まれる</t>
    </r>
    <r>
      <rPr>
        <sz val="12"/>
        <rFont val="ＭＳ Ｐゴシック"/>
        <family val="3"/>
        <charset val="128"/>
      </rPr>
      <t>履修者</t>
    </r>
    <r>
      <rPr>
        <sz val="12"/>
        <rFont val="ＭＳ Ｐゴシック"/>
        <family val="3"/>
        <charset val="128"/>
        <scheme val="minor"/>
      </rPr>
      <t>増に対しては、令和４年度入学生からの新カリキュラムの実施により、</t>
    </r>
    <r>
      <rPr>
        <sz val="12"/>
        <rFont val="ＭＳ Ｐゴシック"/>
        <family val="3"/>
        <charset val="128"/>
      </rPr>
      <t>履修を希望する</t>
    </r>
    <r>
      <rPr>
        <sz val="12"/>
        <rFont val="ＭＳ Ｐゴシック"/>
        <family val="3"/>
        <charset val="128"/>
        <scheme val="minor"/>
      </rPr>
      <t>学生が大幅に増加しても受講が</t>
    </r>
    <r>
      <rPr>
        <sz val="12"/>
        <rFont val="ＭＳ Ｐゴシック"/>
        <family val="3"/>
        <charset val="128"/>
      </rPr>
      <t>可能になるようにしている</t>
    </r>
    <r>
      <rPr>
        <sz val="12"/>
        <rFont val="ＭＳ Ｐゴシック"/>
        <family val="3"/>
        <charset val="128"/>
        <scheme val="minor"/>
      </rPr>
      <t>。</t>
    </r>
    <rPh sb="92" eb="93">
      <t xml:space="preserve">ネン </t>
    </rPh>
    <rPh sb="97" eb="99">
      <t xml:space="preserve">スウリ </t>
    </rPh>
    <rPh sb="113" eb="115">
      <t xml:space="preserve">ブモン </t>
    </rPh>
    <rPh sb="116" eb="117">
      <t xml:space="preserve">アラタニ </t>
    </rPh>
    <rPh sb="119" eb="121">
      <t xml:space="preserve">ホッソク </t>
    </rPh>
    <rPh sb="314" eb="316">
      <t xml:space="preserve">リシュウ </t>
    </rPh>
    <rPh sb="354" eb="356">
      <t xml:space="preserve">リシュウ </t>
    </rPh>
    <rPh sb="389" eb="391">
      <t xml:space="preserve">リシュウ </t>
    </rPh>
    <rPh sb="410" eb="412">
      <t xml:space="preserve">カノウ </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</si>
  <si>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</si>
  <si>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r>
      <t>１．本学のWEBサイトにプログラム専用のページを開設し、学生が情報を受</t>
    </r>
    <r>
      <rPr>
        <sz val="12"/>
        <rFont val="ＭＳ Ｐゴシック"/>
        <family val="3"/>
        <charset val="128"/>
      </rPr>
      <t>け</t>
    </r>
    <r>
      <rPr>
        <sz val="12"/>
        <rFont val="ＭＳ Ｐゴシック"/>
        <family val="3"/>
        <charset val="128"/>
        <scheme val="minor"/>
      </rPr>
      <t>取りやすい環境を整備している。そして、本教育プログラムのカリキュラムマップを</t>
    </r>
    <r>
      <rPr>
        <sz val="12"/>
        <rFont val="ＭＳ Ｐゴシック"/>
        <family val="3"/>
        <charset val="128"/>
      </rPr>
      <t>全学部の学生が利用できる一つの</t>
    </r>
    <r>
      <rPr>
        <sz val="12"/>
        <rFont val="ＭＳ Ｐゴシック"/>
        <family val="3"/>
        <charset val="128"/>
        <scheme val="minor"/>
      </rPr>
      <t>見やすい表</t>
    </r>
    <r>
      <rPr>
        <sz val="12"/>
        <rFont val="ＭＳ Ｐゴシック"/>
        <family val="3"/>
        <charset val="128"/>
      </rPr>
      <t>として</t>
    </r>
    <r>
      <rPr>
        <sz val="12"/>
        <rFont val="ＭＳ Ｐゴシック"/>
        <family val="3"/>
        <charset val="128"/>
        <scheme val="minor"/>
      </rPr>
      <t>作成し、WEB ページで公開することにより、全学生が履修計画を立てやすいようにしている。このことは、本学志願者に、入学前からの学習準備を促すためにも重要である。
２．本教育プログラムの修了証を発行する体制を整えており、履修意欲の向上を</t>
    </r>
    <r>
      <rPr>
        <sz val="12"/>
        <rFont val="ＭＳ Ｐゴシック"/>
        <family val="3"/>
        <charset val="128"/>
      </rPr>
      <t>図っている。</t>
    </r>
    <r>
      <rPr>
        <sz val="12"/>
        <rFont val="ＭＳ Ｐゴシック"/>
        <family val="3"/>
        <charset val="128"/>
        <scheme val="minor"/>
      </rPr>
      <t xml:space="preserve">
３．学生に分かりやすいオンラインのシラバスを作成し、公開している。
４．学生全員に速やかな通知ができるオンラインの掲示板システムを運用している。
５．大学教育センター運営委員会において、全学科の学科長に、本プログラムの内容を説明している。あわせて、全教職員に対して、令和４年２月に、本プログラムの説明会を実施している。以上により教職員が学生に</t>
    </r>
    <r>
      <rPr>
        <sz val="12"/>
        <rFont val="ＭＳ Ｐゴシック"/>
        <family val="3"/>
        <charset val="128"/>
      </rPr>
      <t>適切な履修指導を行える</t>
    </r>
    <r>
      <rPr>
        <sz val="12"/>
        <rFont val="ＭＳ Ｐゴシック"/>
        <family val="3"/>
        <charset val="128"/>
        <scheme val="minor"/>
      </rPr>
      <t>ようにしている。</t>
    </r>
    <rPh sb="75" eb="77">
      <t xml:space="preserve">ガクブ </t>
    </rPh>
    <rPh sb="78" eb="80">
      <t xml:space="preserve">ガクセイ </t>
    </rPh>
    <rPh sb="81" eb="83">
      <t xml:space="preserve">リヨウ </t>
    </rPh>
    <rPh sb="86" eb="87">
      <t xml:space="preserve">ヒトツノ </t>
    </rPh>
    <rPh sb="214" eb="215">
      <t xml:space="preserve">ハカッテ </t>
    </rPh>
    <rPh sb="392" eb="394">
      <t xml:space="preserve">テキセツ </t>
    </rPh>
    <rPh sb="400" eb="401">
      <t xml:space="preserve">オコナエル </t>
    </rPh>
    <phoneticPr fontId="1"/>
  </si>
  <si>
    <t>⑦</t>
    <phoneticPr fontId="1"/>
  </si>
  <si>
    <t>できる限り多くの学生が履修・修得できるようなサポート体制</t>
    <rPh sb="26" eb="28">
      <t>タイセイ</t>
    </rPh>
    <phoneticPr fontId="1"/>
  </si>
  <si>
    <r>
      <t>１．学習の途中でICTの活用が必要となるが、</t>
    </r>
    <r>
      <rPr>
        <sz val="12"/>
        <rFont val="ＭＳ Ｐゴシック"/>
        <family val="3"/>
        <charset val="128"/>
      </rPr>
      <t>学生が</t>
    </r>
    <r>
      <rPr>
        <sz val="12"/>
        <rFont val="ＭＳ Ｐゴシック"/>
        <family val="3"/>
        <charset val="128"/>
        <scheme val="minor"/>
      </rPr>
      <t>ICTの活用について相談できるICTサービスセンターを常設している。それによりICTの活用を促進し、全学生が不安を持つことなしに学修できるように支援できる体制を構築している。
２．教育の下支えとなる ICT機器・設備としては、全学で700台規模のパソコン室を整備している。あわせて、BYOD（Bring Your Own Device）の制度を全学で導入しており、学生はいつでもデジタルデバイス（ノートパソコン類）を大学に持参できる。
３．本学では、LMS を運用し、全学生がいつでも授業の資料を閲覧できる環境を構築している。
４．LMSと連動したオンデマンドのビデオ教材のシステムを運用している。</t>
    </r>
    <rPh sb="22" eb="24">
      <t xml:space="preserve">ガクセイ </t>
    </rPh>
    <phoneticPr fontId="1"/>
  </si>
  <si>
    <t>授業時間内外で学習指導、質問を受け付ける具体的な仕組み</t>
    <rPh sb="20" eb="23">
      <t>グタイテキ</t>
    </rPh>
    <phoneticPr fontId="1"/>
  </si>
  <si>
    <r>
      <t>１．授業時間内外での学習指導や質問の受け付け等、学生の学修サポートを行う「学習支援相談室」を運用しており、数理等の学習支援、履修支援を行っている。
２．授業の履修は、全科目でLMSで管理している。授業についての質問や相談は、授業時間以外であっても、LMS</t>
    </r>
    <r>
      <rPr>
        <sz val="12"/>
        <rFont val="ＭＳ Ｐゴシック"/>
        <family val="3"/>
        <charset val="128"/>
      </rPr>
      <t xml:space="preserve"> 上で行うことが</t>
    </r>
    <r>
      <rPr>
        <sz val="12"/>
        <rFont val="ＭＳ Ｐゴシック"/>
        <family val="3"/>
        <charset val="128"/>
        <scheme val="minor"/>
      </rPr>
      <t>できるようにしている。返答は、授業担当教員が行っている。LMSを用いて教員と学生間の情報共有やオンラインでのディスカッションもできるようにしている。
３．全学的に実施している授業評価アンケート</t>
    </r>
    <r>
      <rPr>
        <sz val="12"/>
        <rFont val="ＭＳ Ｐゴシック"/>
        <family val="3"/>
        <charset val="128"/>
      </rPr>
      <t>調査</t>
    </r>
    <r>
      <rPr>
        <sz val="12"/>
        <rFont val="ＭＳ Ｐゴシック"/>
        <family val="3"/>
        <charset val="128"/>
        <scheme val="minor"/>
      </rPr>
      <t>においても、</t>
    </r>
    <r>
      <rPr>
        <sz val="12"/>
        <rFont val="ＭＳ Ｐゴシック"/>
        <family val="3"/>
        <charset val="128"/>
      </rPr>
      <t>学生の質問や意見</t>
    </r>
    <r>
      <rPr>
        <sz val="12"/>
        <rFont val="ＭＳ Ｐゴシック"/>
        <family val="3"/>
        <charset val="128"/>
        <scheme val="minor"/>
      </rPr>
      <t>を受け付け、</t>
    </r>
    <r>
      <rPr>
        <sz val="12"/>
        <rFont val="ＭＳ Ｐゴシック"/>
        <family val="3"/>
        <charset val="128"/>
      </rPr>
      <t>教員からフィードバックを行う</t>
    </r>
    <r>
      <rPr>
        <sz val="12"/>
        <rFont val="ＭＳ Ｐゴシック"/>
        <family val="3"/>
        <charset val="128"/>
        <scheme val="minor"/>
      </rPr>
      <t>体制を整備している。
４．全学的にティーチング・アシスタントならびにスチューデント・アシスタントの制度を導入している。</t>
    </r>
    <rPh sb="128" eb="129">
      <t xml:space="preserve">ジョウ </t>
    </rPh>
    <rPh sb="130" eb="131">
      <t xml:space="preserve">オコナウコトガ </t>
    </rPh>
    <rPh sb="231" eb="233">
      <t xml:space="preserve">チョウサ </t>
    </rPh>
    <rPh sb="239" eb="241">
      <t xml:space="preserve">ガクセイ </t>
    </rPh>
    <rPh sb="242" eb="244">
      <t xml:space="preserve">シツモン </t>
    </rPh>
    <rPh sb="245" eb="247">
      <t xml:space="preserve">イケン </t>
    </rPh>
    <rPh sb="253" eb="255">
      <t xml:space="preserve">キョウイン </t>
    </rPh>
    <rPh sb="265" eb="266">
      <t xml:space="preserve">オコナウ </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</si>
  <si>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</si>
  <si>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</si>
  <si>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</si>
  <si>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</si>
  <si>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</si>
  <si>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</si>
  <si>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</si>
  <si>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</si>
  <si>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r>
      <t>・教務課において教務システムを運用し</t>
    </r>
    <r>
      <rPr>
        <sz val="12"/>
        <rFont val="ＭＳ Ｐゴシック"/>
        <family val="3"/>
        <charset val="128"/>
      </rPr>
      <t>ており</t>
    </r>
    <r>
      <rPr>
        <sz val="12"/>
        <rFont val="ＭＳ Ｐゴシック"/>
        <family val="3"/>
        <charset val="128"/>
        <scheme val="minor"/>
      </rPr>
      <t>、プログラムの履修・取得状況の把握、出欠状況</t>
    </r>
    <r>
      <rPr>
        <sz val="12"/>
        <rFont val="ＭＳ Ｐゴシック"/>
        <family val="3"/>
        <charset val="128"/>
      </rPr>
      <t>を</t>
    </r>
    <r>
      <rPr>
        <sz val="12"/>
        <rFont val="ＭＳ Ｐゴシック"/>
        <family val="3"/>
        <charset val="128"/>
        <scheme val="minor"/>
      </rPr>
      <t>把握</t>
    </r>
    <r>
      <rPr>
        <sz val="12"/>
        <rFont val="ＭＳ Ｐゴシック"/>
        <family val="3"/>
        <charset val="128"/>
      </rPr>
      <t>できる</t>
    </r>
    <r>
      <rPr>
        <sz val="12"/>
        <rFont val="ＭＳ Ｐゴシック"/>
        <family val="3"/>
        <charset val="128"/>
        <scheme val="minor"/>
      </rPr>
      <t>。履修者本人も自らの状況を簡単に把握できる。
・各年度の履修状況を踏まえて、授業担当教員の割り当て、教室の割り当てを実施している。
・授業の履修はLMSで管理し、課題への回答状況を、授業担当教員が把握</t>
    </r>
    <r>
      <rPr>
        <sz val="12"/>
        <rFont val="ＭＳ Ｐゴシック"/>
        <family val="3"/>
        <charset val="128"/>
      </rPr>
      <t>できる</t>
    </r>
    <r>
      <rPr>
        <sz val="12"/>
        <rFont val="ＭＳ Ｐゴシック"/>
        <family val="3"/>
        <charset val="128"/>
        <scheme val="minor"/>
      </rPr>
      <t>。</t>
    </r>
    <phoneticPr fontId="1"/>
  </si>
  <si>
    <t>学修成果</t>
    <rPh sb="0" eb="2">
      <t>ガクシュウ</t>
    </rPh>
    <rPh sb="2" eb="4">
      <t>セイカ</t>
    </rPh>
    <phoneticPr fontId="1"/>
  </si>
  <si>
    <r>
      <t>・教務課において教務システムを運用し</t>
    </r>
    <r>
      <rPr>
        <sz val="12"/>
        <rFont val="ＭＳ Ｐゴシック"/>
        <family val="3"/>
        <charset val="128"/>
      </rPr>
      <t>ており</t>
    </r>
    <r>
      <rPr>
        <sz val="12"/>
        <rFont val="ＭＳ Ｐゴシック"/>
        <family val="3"/>
        <charset val="128"/>
        <scheme val="minor"/>
      </rPr>
      <t>、成績分布を把握</t>
    </r>
    <r>
      <rPr>
        <sz val="12"/>
        <rFont val="ＭＳ Ｐゴシック"/>
        <family val="3"/>
        <charset val="128"/>
      </rPr>
      <t>できる</t>
    </r>
    <r>
      <rPr>
        <sz val="12"/>
        <rFont val="ＭＳ Ｐゴシック"/>
        <family val="3"/>
        <charset val="128"/>
        <scheme val="minor"/>
      </rPr>
      <t>。履修者本人も自らの状況を簡単に把握できる。
・本教育プログラムを構成する授業科目を含む全授業科目について授業評価アンケー</t>
    </r>
    <r>
      <rPr>
        <sz val="12"/>
        <rFont val="ＭＳ Ｐゴシック"/>
        <family val="3"/>
        <charset val="128"/>
      </rPr>
      <t>ト調査</t>
    </r>
    <r>
      <rPr>
        <sz val="12"/>
        <rFont val="ＭＳ Ｐゴシック"/>
        <family val="3"/>
        <charset val="128"/>
        <scheme val="minor"/>
      </rPr>
      <t>を実施し、</t>
    </r>
    <r>
      <rPr>
        <sz val="12"/>
        <rFont val="ＭＳ Ｐゴシック"/>
        <family val="3"/>
        <charset val="128"/>
      </rPr>
      <t>その中で学生自身が、学修成果を自己点検している。また、授業担当教員が学修成果の観点から担当科目のアンケート結果を自己分析して授業の改善につなげ、さらに</t>
    </r>
    <r>
      <rPr>
        <sz val="12"/>
        <rFont val="ＭＳ Ｐゴシック"/>
        <family val="3"/>
        <charset val="128"/>
        <scheme val="minor"/>
      </rPr>
      <t>大学教育センターにお</t>
    </r>
    <r>
      <rPr>
        <sz val="12"/>
        <rFont val="ＭＳ Ｐゴシック"/>
        <family val="3"/>
        <charset val="128"/>
      </rPr>
      <t>いて</t>
    </r>
    <r>
      <rPr>
        <sz val="12"/>
        <rFont val="ＭＳ Ｐゴシック"/>
        <family val="3"/>
        <charset val="128"/>
        <scheme val="minor"/>
      </rPr>
      <t>学修成果の分析を行っている。</t>
    </r>
    <r>
      <rPr>
        <sz val="12"/>
        <rFont val="ＭＳ Ｐゴシック"/>
        <family val="3"/>
        <charset val="128"/>
      </rPr>
      <t>同アンケート調査において学修成果に関わる項目で</t>
    </r>
    <r>
      <rPr>
        <sz val="12"/>
        <rFont val="ＭＳ Ｐゴシック"/>
        <family val="3"/>
        <charset val="128"/>
        <scheme val="minor"/>
      </rPr>
      <t>高い評点を得ていること</t>
    </r>
    <r>
      <rPr>
        <sz val="12"/>
        <rFont val="ＭＳ Ｐゴシック"/>
        <family val="3"/>
        <charset val="128"/>
      </rPr>
      <t>は</t>
    </r>
    <r>
      <rPr>
        <sz val="12"/>
        <rFont val="ＭＳ Ｐゴシック"/>
        <family val="3"/>
        <charset val="128"/>
        <scheme val="minor"/>
      </rPr>
      <t>確認済みである。このように、学生の学修成果を確認しながら適切に授業改善を行う体制を確立している。</t>
    </r>
    <rPh sb="94" eb="96">
      <t xml:space="preserve">チョウサ </t>
    </rPh>
    <rPh sb="135" eb="139">
      <t>ガクシュウセイカ</t>
    </rPh>
    <rPh sb="140" eb="142">
      <t xml:space="preserve">カンテンカラ </t>
    </rPh>
    <rPh sb="144" eb="146">
      <t xml:space="preserve">タントウ </t>
    </rPh>
    <rPh sb="146" eb="148">
      <t xml:space="preserve">カモク </t>
    </rPh>
    <rPh sb="154" eb="156">
      <t xml:space="preserve">ケッカ </t>
    </rPh>
    <rPh sb="159" eb="161">
      <t xml:space="preserve">ブンセキ </t>
    </rPh>
    <rPh sb="163" eb="165">
      <t xml:space="preserve">ジュギョウ </t>
    </rPh>
    <rPh sb="166" eb="168">
      <t xml:space="preserve">カイゼン </t>
    </rPh>
    <rPh sb="202" eb="203">
      <t xml:space="preserve">ドウアンケート </t>
    </rPh>
    <rPh sb="208" eb="210">
      <t xml:space="preserve">チョウサ </t>
    </rPh>
    <rPh sb="219" eb="220">
      <t xml:space="preserve">カカワル </t>
    </rPh>
    <rPh sb="222" eb="224">
      <t xml:space="preserve">コウモク </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</si>
  <si>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</si>
  <si>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r>
      <t>本教育プログラムを構成する授業科目を含む全授業科目について授業評価アンケート</t>
    </r>
    <r>
      <rPr>
        <sz val="12"/>
        <rFont val="ＭＳ Ｐゴシック"/>
        <family val="3"/>
        <charset val="128"/>
      </rPr>
      <t>調査</t>
    </r>
    <r>
      <rPr>
        <sz val="12"/>
        <rFont val="ＭＳ Ｐゴシック"/>
        <family val="3"/>
        <charset val="128"/>
        <scheme val="minor"/>
      </rPr>
      <t>を実施し、その中で、「知識や技能の深まり」を問うことによって、学生個々の理解度を確認している。さらに、大学教育センターにおいて、</t>
    </r>
    <r>
      <rPr>
        <sz val="12"/>
        <rFont val="ＭＳ Ｐゴシック"/>
        <family val="3"/>
        <charset val="128"/>
      </rPr>
      <t>調査結果の集計</t>
    </r>
    <r>
      <rPr>
        <sz val="12"/>
        <rFont val="ＭＳ Ｐゴシック"/>
        <family val="3"/>
        <charset val="128"/>
        <scheme val="minor"/>
      </rPr>
      <t>や、全教員ならびに全学生が実施する自己点検の総括を行っている。</t>
    </r>
    <rPh sb="38" eb="40">
      <t xml:space="preserve">チョウサ </t>
    </rPh>
    <rPh sb="51" eb="53">
      <t>チシキ</t>
    </rPh>
    <rPh sb="54" eb="56">
      <t>ギノウ</t>
    </rPh>
    <rPh sb="57" eb="58">
      <t>フカ</t>
    </rPh>
    <rPh sb="62" eb="63">
      <t>ト</t>
    </rPh>
    <rPh sb="71" eb="75">
      <t>ガクセイココ</t>
    </rPh>
    <rPh sb="106" eb="108">
      <t xml:space="preserve">ケッカ </t>
    </rPh>
    <rPh sb="109" eb="111">
      <t xml:space="preserve">シュウケイ </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</si>
  <si>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</si>
  <si>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r>
      <t>本教育プログラムを構成する授業科目を含む全授業科目について授業評価アンケート</t>
    </r>
    <r>
      <rPr>
        <sz val="12"/>
        <rFont val="ＭＳ Ｐゴシック"/>
        <family val="3"/>
        <charset val="128"/>
      </rPr>
      <t>調査</t>
    </r>
    <r>
      <rPr>
        <sz val="12"/>
        <rFont val="ＭＳ Ｐゴシック"/>
        <family val="3"/>
        <charset val="128"/>
        <scheme val="minor"/>
      </rPr>
      <t>を実施し、その中で、「授業への満足度」を問うことによって、学生個々の推奨度を確認している。さらに、大学教育センターにおいて、</t>
    </r>
    <r>
      <rPr>
        <sz val="12"/>
        <rFont val="ＭＳ Ｐゴシック"/>
        <family val="3"/>
        <charset val="128"/>
      </rPr>
      <t>調査結果</t>
    </r>
    <r>
      <rPr>
        <sz val="12"/>
        <rFont val="ＭＳ Ｐゴシック"/>
        <family val="3"/>
        <charset val="128"/>
        <scheme val="minor"/>
      </rPr>
      <t>の集計や、全教員ならびに全学生が実施する自己点検の総括を行っている。</t>
    </r>
    <rPh sb="38" eb="40">
      <t xml:space="preserve">チョウサ </t>
    </rPh>
    <rPh sb="74" eb="77">
      <t>スイショウド</t>
    </rPh>
    <rPh sb="102" eb="104">
      <t xml:space="preserve">チョウサ </t>
    </rPh>
    <rPh sb="104" eb="106">
      <t xml:space="preserve">ケッカ </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</si>
  <si>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</si>
  <si>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r>
      <rPr>
        <sz val="12"/>
        <rFont val="ＭＳ Ｐゴシック"/>
        <family val="3"/>
        <charset val="128"/>
      </rPr>
      <t>本教育プログラムについて、履修者数、履修率の向上に向けて次に示す２つの方策を実施あるいは準備している。
１．令和４年１月に大学教育センターに新たに数理・データサイエンス・AI教育部門を設置し、全学部の観点を取り入れてプログラムの改善・進化を行う体制を整えた。</t>
    </r>
    <r>
      <rPr>
        <sz val="12"/>
        <rFont val="ＭＳ Ｐゴシック"/>
        <family val="3"/>
        <charset val="128"/>
        <scheme val="minor"/>
      </rPr>
      <t xml:space="preserve">
２．令和４年度入学生より、本プログラムのカリキュラムの刷新、</t>
    </r>
    <r>
      <rPr>
        <sz val="12"/>
        <rFont val="ＭＳ Ｐゴシック"/>
        <family val="3"/>
        <charset val="128"/>
      </rPr>
      <t>ならびに</t>
    </r>
    <r>
      <rPr>
        <sz val="12"/>
        <rFont val="ＭＳ Ｐゴシック"/>
        <family val="3"/>
        <charset val="128"/>
        <scheme val="minor"/>
      </rPr>
      <t>本プログラムを構成する全科目のシラバス</t>
    </r>
    <r>
      <rPr>
        <sz val="12"/>
        <rFont val="ＭＳ Ｐゴシック"/>
        <family val="3"/>
        <charset val="128"/>
      </rPr>
      <t>の改訂</t>
    </r>
    <r>
      <rPr>
        <sz val="12"/>
        <rFont val="ＭＳ Ｐゴシック"/>
        <family val="3"/>
        <charset val="128"/>
        <scheme val="minor"/>
      </rPr>
      <t>を行い、教育内容を</t>
    </r>
    <r>
      <rPr>
        <sz val="12"/>
        <rFont val="ＭＳ Ｐゴシック"/>
        <family val="3"/>
        <charset val="128"/>
      </rPr>
      <t>さらに</t>
    </r>
    <r>
      <rPr>
        <sz val="12"/>
        <rFont val="ＭＳ Ｐゴシック"/>
        <family val="3"/>
        <charset val="128"/>
        <scheme val="minor"/>
      </rPr>
      <t>充実するとともに、本学の文系理系の</t>
    </r>
    <r>
      <rPr>
        <sz val="12"/>
        <rFont val="ＭＳ Ｐゴシック"/>
        <family val="3"/>
        <charset val="128"/>
      </rPr>
      <t>各</t>
    </r>
    <r>
      <rPr>
        <sz val="12"/>
        <rFont val="ＭＳ Ｐゴシック"/>
        <family val="3"/>
        <charset val="128"/>
        <scheme val="minor"/>
      </rPr>
      <t>学部の</t>
    </r>
    <r>
      <rPr>
        <sz val="12"/>
        <rFont val="ＭＳ Ｐゴシック"/>
        <family val="3"/>
        <charset val="128"/>
      </rPr>
      <t>特性</t>
    </r>
    <r>
      <rPr>
        <sz val="12"/>
        <rFont val="ＭＳ Ｐゴシック"/>
        <family val="3"/>
        <charset val="128"/>
        <scheme val="minor"/>
      </rPr>
      <t>に応じたきめ細かな教育を実施する。
その他、本プログラムについて、他大学（福山市立大学）の全教職員を対象とした説明会を令和４年２月に実施し、</t>
    </r>
    <r>
      <rPr>
        <sz val="12"/>
        <rFont val="ＭＳ Ｐゴシック"/>
        <family val="3"/>
        <charset val="128"/>
      </rPr>
      <t>説明会時に集約した意見を</t>
    </r>
    <r>
      <rPr>
        <sz val="12"/>
        <rFont val="ＭＳ Ｐゴシック"/>
        <family val="3"/>
        <charset val="128"/>
        <scheme val="minor"/>
      </rPr>
      <t>改善・進化につなげている。</t>
    </r>
    <rPh sb="0" eb="3">
      <t>ホンキョウイク</t>
    </rPh>
    <rPh sb="13" eb="15">
      <t>レイワ</t>
    </rPh>
    <rPh sb="16" eb="18">
      <t>ネンド</t>
    </rPh>
    <rPh sb="21" eb="22">
      <t>ツギ</t>
    </rPh>
    <rPh sb="23" eb="25">
      <t>ジッシ</t>
    </rPh>
    <rPh sb="28" eb="51">
      <t>リシュウシャスウ</t>
    </rPh>
    <rPh sb="53" eb="56">
      <t>ゼンガクブ</t>
    </rPh>
    <rPh sb="57" eb="58">
      <t>カンテン</t>
    </rPh>
    <rPh sb="61" eb="65">
      <t xml:space="preserve">ダイガクキョウイクセンター </t>
    </rPh>
    <rPh sb="70" eb="71">
      <t xml:space="preserve">アラタニ </t>
    </rPh>
    <rPh sb="73" eb="75">
      <t xml:space="preserve">スウリ </t>
    </rPh>
    <rPh sb="87" eb="89">
      <t xml:space="preserve">キョウイク </t>
    </rPh>
    <rPh sb="90" eb="91">
      <t>イ</t>
    </rPh>
    <rPh sb="92" eb="94">
      <t xml:space="preserve">セッチ </t>
    </rPh>
    <rPh sb="94" eb="95">
      <t>カイゼン</t>
    </rPh>
    <rPh sb="96" eb="98">
      <t>シンカ</t>
    </rPh>
    <rPh sb="99" eb="101">
      <t>タイセイ</t>
    </rPh>
    <rPh sb="102" eb="104">
      <t>ジュウジツ</t>
    </rPh>
    <rPh sb="116" eb="118">
      <t>レイワ</t>
    </rPh>
    <rPh sb="120" eb="121">
      <t xml:space="preserve">オコナウ </t>
    </rPh>
    <rPh sb="125" eb="126">
      <t xml:space="preserve">トトノエ </t>
    </rPh>
    <rPh sb="184" eb="186">
      <t xml:space="preserve">カイテイ </t>
    </rPh>
    <rPh sb="215" eb="216">
      <t xml:space="preserve">カク </t>
    </rPh>
    <rPh sb="219" eb="221">
      <t xml:space="preserve">トクセイ </t>
    </rPh>
    <rPh sb="226" eb="227">
      <t>タ</t>
    </rPh>
    <rPh sb="286" eb="287">
      <t>オコナ</t>
    </rPh>
    <rPh sb="288" eb="290">
      <t>カイゼン</t>
    </rPh>
    <rPh sb="291" eb="293">
      <t>シンカ</t>
    </rPh>
    <rPh sb="294" eb="295">
      <t xml:space="preserve">ジ </t>
    </rPh>
    <rPh sb="300" eb="302">
      <t xml:space="preserve">イケン </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</si>
  <si>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</si>
  <si>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</si>
  <si>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r>
      <t>・就職課および就職委員会において、全学生の</t>
    </r>
    <r>
      <rPr>
        <sz val="12"/>
        <rFont val="ＭＳ Ｐゴシック"/>
        <family val="3"/>
        <charset val="128"/>
      </rPr>
      <t>就職状況</t>
    </r>
    <r>
      <rPr>
        <sz val="12"/>
        <rFont val="ＭＳ Ｐゴシック"/>
        <family val="3"/>
        <charset val="128"/>
        <scheme val="minor"/>
      </rPr>
      <t xml:space="preserve">調査を毎年度行っており、卒業生の進路先、活躍状況（就職先企業の職種等）の把握が可能である。
・クラス担任制により、毎年、全学生の進路、活躍状況（就職先企業の職種等）の把握が可能である。
</t>
    </r>
    <rPh sb="1" eb="4">
      <t>シュウショクカ</t>
    </rPh>
    <rPh sb="7" eb="12">
      <t>シュウショクイインカイ</t>
    </rPh>
    <rPh sb="17" eb="20">
      <t>ゼンガクセイ</t>
    </rPh>
    <rPh sb="21" eb="23">
      <t xml:space="preserve">シュウショク </t>
    </rPh>
    <rPh sb="23" eb="25">
      <t xml:space="preserve">ジョウキョウ </t>
    </rPh>
    <rPh sb="25" eb="27">
      <t>チョウサ</t>
    </rPh>
    <rPh sb="28" eb="31">
      <t>マイネンド</t>
    </rPh>
    <rPh sb="31" eb="32">
      <t>オコナ</t>
    </rPh>
    <rPh sb="37" eb="40">
      <t>ソツギョウセイ</t>
    </rPh>
    <rPh sb="41" eb="43">
      <t>シンロ</t>
    </rPh>
    <rPh sb="43" eb="44">
      <t>サキ</t>
    </rPh>
    <rPh sb="45" eb="47">
      <t>カツヤク</t>
    </rPh>
    <rPh sb="47" eb="49">
      <t>ジョウキョウ</t>
    </rPh>
    <rPh sb="50" eb="52">
      <t>シュウショク</t>
    </rPh>
    <rPh sb="52" eb="53">
      <t>サキ</t>
    </rPh>
    <rPh sb="53" eb="55">
      <t>キギョウ</t>
    </rPh>
    <rPh sb="56" eb="58">
      <t>ショクシュ</t>
    </rPh>
    <rPh sb="58" eb="59">
      <t>ナド</t>
    </rPh>
    <rPh sb="61" eb="63">
      <t>ハアク</t>
    </rPh>
    <rPh sb="64" eb="66">
      <t>カノウ</t>
    </rPh>
    <rPh sb="75" eb="78">
      <t>タンニンセイ</t>
    </rPh>
    <rPh sb="82" eb="84">
      <t>マイネン</t>
    </rPh>
    <rPh sb="85" eb="88">
      <t>ゼンガクセイ</t>
    </rPh>
    <rPh sb="89" eb="91">
      <t>シンロ</t>
    </rPh>
    <rPh sb="92" eb="96">
      <t>カツヤクジョウキョウ</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</si>
  <si>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</si>
  <si>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r>
      <t>次の取り組みにより産業界からの視点を含めた意見を集約する体制を</t>
    </r>
    <r>
      <rPr>
        <sz val="12"/>
        <rFont val="ＭＳ Ｐゴシック"/>
        <family val="3"/>
        <charset val="128"/>
      </rPr>
      <t>整えて</t>
    </r>
    <r>
      <rPr>
        <sz val="12"/>
        <rFont val="ＭＳ Ｐゴシック"/>
        <family val="3"/>
        <charset val="128"/>
        <scheme val="minor"/>
      </rPr>
      <t>いる。
・本教育プログラムを大学 WEB ページで周知することにより、企業等</t>
    </r>
    <r>
      <rPr>
        <sz val="12"/>
        <rFont val="ＭＳ Ｐゴシック"/>
        <family val="3"/>
        <charset val="128"/>
      </rPr>
      <t>へ</t>
    </r>
    <r>
      <rPr>
        <sz val="12"/>
        <rFont val="ＭＳ Ｐゴシック"/>
        <family val="3"/>
        <charset val="128"/>
        <scheme val="minor"/>
      </rPr>
      <t>の幅広い認知を促進している。
・本教育プログラムを統括する大学教育センターは、自己点検評価、学外の有識者による点検、第三者評価を受審する体制をとっている。
・大学教育センター運営委員会には</t>
    </r>
    <r>
      <rPr>
        <sz val="12"/>
        <rFont val="ＭＳ Ｐゴシック"/>
        <family val="3"/>
        <charset val="128"/>
      </rPr>
      <t>数理、データサイエンス、AI教育部門を置き、同分野の</t>
    </r>
    <r>
      <rPr>
        <sz val="12"/>
        <rFont val="ＭＳ Ｐゴシック"/>
        <family val="3"/>
        <charset val="128"/>
        <scheme val="minor"/>
      </rPr>
      <t>学内実務家教員からの意見を集約できる体制としている。
・大学教育センター運営委員会には、令和３年３月まで、学外できわめて顕著な学術面、教育面での業績をあげた教員を、令和３年４月から幹部構成員（副センター長）として加えた。</t>
    </r>
    <rPh sb="0" eb="1">
      <t>ツギ</t>
    </rPh>
    <rPh sb="2" eb="3">
      <t>ト</t>
    </rPh>
    <rPh sb="4" eb="5">
      <t>ク</t>
    </rPh>
    <rPh sb="9" eb="12">
      <t>サンギョウカイ</t>
    </rPh>
    <rPh sb="15" eb="17">
      <t>シテン</t>
    </rPh>
    <rPh sb="18" eb="19">
      <t>フク</t>
    </rPh>
    <rPh sb="21" eb="23">
      <t>イケン</t>
    </rPh>
    <rPh sb="24" eb="26">
      <t>シュウヤク</t>
    </rPh>
    <rPh sb="28" eb="30">
      <t>タイセイ</t>
    </rPh>
    <rPh sb="31" eb="32">
      <t xml:space="preserve">トトノエテ </t>
    </rPh>
    <rPh sb="59" eb="61">
      <t>シュウチ</t>
    </rPh>
    <rPh sb="89" eb="92">
      <t>ホンキョウイク</t>
    </rPh>
    <rPh sb="98" eb="100">
      <t>トウカツ</t>
    </rPh>
    <rPh sb="102" eb="106">
      <t>ダイガクキョウイク</t>
    </rPh>
    <rPh sb="152" eb="156">
      <t>ダイガクキョウイク</t>
    </rPh>
    <rPh sb="160" eb="165">
      <t>ウンエイイインカイ</t>
    </rPh>
    <rPh sb="167" eb="169">
      <t>スウリ</t>
    </rPh>
    <rPh sb="181" eb="183">
      <t xml:space="preserve">キョウイク </t>
    </rPh>
    <rPh sb="183" eb="185">
      <t xml:space="preserve">ブモン </t>
    </rPh>
    <rPh sb="186" eb="187">
      <t xml:space="preserve">オキ </t>
    </rPh>
    <rPh sb="189" eb="190">
      <t xml:space="preserve">ドウ </t>
    </rPh>
    <rPh sb="190" eb="192">
      <t>ブンヤ</t>
    </rPh>
    <rPh sb="193" eb="195">
      <t>ガクナイ</t>
    </rPh>
    <rPh sb="195" eb="200">
      <t>ジツムカキョウイン</t>
    </rPh>
    <rPh sb="203" eb="205">
      <t>イケン</t>
    </rPh>
    <rPh sb="206" eb="208">
      <t>シュウヤク</t>
    </rPh>
    <rPh sb="211" eb="213">
      <t>タイセイ</t>
    </rPh>
    <rPh sb="294" eb="295">
      <t>チョウ</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</si>
  <si>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</si>
  <si>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・モデルカリキュラムに準じた内容を展開している。
・次の内容の e ラーニング教材を整備している．
（１）政府統計データ e Stat などのオープンデータを使いながら、「プリンへの支出が多いのがどこか」といった具体的な社会での実例をもとに、数理、データサイエンスがどのような活用をされているかを演習形式で学び、学ぶことの意義を示す講義内容としている。
（２）人工知能の実例、最新の人工知能を用いた応用を紹介し、好奇心を刺激する内容としている。</t>
    <rPh sb="39" eb="41">
      <t>キョウザイ</t>
    </rPh>
    <rPh sb="42" eb="44">
      <t>セイビ</t>
    </rPh>
    <rPh sb="156" eb="157">
      <t>マナ</t>
    </rPh>
    <rPh sb="161" eb="163">
      <t>イギ</t>
    </rPh>
    <rPh sb="164" eb="165">
      <t>シメ</t>
    </rPh>
    <rPh sb="180" eb="184">
      <t>ジンコウチノウ</t>
    </rPh>
    <rPh sb="185" eb="187">
      <t>ジツレイ</t>
    </rPh>
    <rPh sb="188" eb="190">
      <t>サイシン</t>
    </rPh>
    <rPh sb="191" eb="195">
      <t>ジンコウチノウ</t>
    </rPh>
    <rPh sb="196" eb="197">
      <t>モチ</t>
    </rPh>
    <rPh sb="199" eb="201">
      <t>オウヨウ</t>
    </rPh>
    <rPh sb="202" eb="204">
      <t>ショウカイ</t>
    </rPh>
    <rPh sb="206" eb="209">
      <t>コウキシン</t>
    </rPh>
    <rPh sb="210" eb="212">
      <t>シゲキ</t>
    </rPh>
    <rPh sb="214" eb="216">
      <t>ナイヨウ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</si>
  <si>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</si>
  <si>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・学生の分かりやすさの観点から、表計算ソフトウエア Excel を使用し、試し、演習しながら学ぶことができる内容としている。
・基礎となる ICT のリテラシー（ＩＣＴの重要性、ＩＣＴの操作、情報セキュリティやプライバシ）を丁寧に演習することにより、数理、データサイエンス、AIの学びが円滑に開始でき、つまづかないように工夫している。
</t>
    <rPh sb="1" eb="3">
      <t>ガクセイ</t>
    </rPh>
    <rPh sb="4" eb="5">
      <t>ワ</t>
    </rPh>
    <rPh sb="11" eb="13">
      <t>カンテン</t>
    </rPh>
    <rPh sb="16" eb="19">
      <t>ヒョウケイサン</t>
    </rPh>
    <rPh sb="33" eb="35">
      <t>シヨウ</t>
    </rPh>
    <rPh sb="37" eb="38">
      <t>タメ</t>
    </rPh>
    <rPh sb="40" eb="42">
      <t>エンシュウ</t>
    </rPh>
    <rPh sb="46" eb="47">
      <t>マナ</t>
    </rPh>
    <rPh sb="54" eb="56">
      <t>ナイヨウ</t>
    </rPh>
    <rPh sb="64" eb="66">
      <t>キソ</t>
    </rPh>
    <rPh sb="85" eb="88">
      <t>ジュウヨウセイ</t>
    </rPh>
    <rPh sb="93" eb="95">
      <t>ソウサ</t>
    </rPh>
    <rPh sb="96" eb="98">
      <t>ジョウホウ</t>
    </rPh>
    <rPh sb="112" eb="114">
      <t>テイネイ</t>
    </rPh>
    <rPh sb="115" eb="117">
      <t>エンシュウ</t>
    </rPh>
    <rPh sb="125" eb="127">
      <t>スウリ</t>
    </rPh>
    <rPh sb="140" eb="141">
      <t>マナ</t>
    </rPh>
    <rPh sb="143" eb="145">
      <t>エンカツ</t>
    </rPh>
    <rPh sb="146" eb="148">
      <t>カイシ</t>
    </rPh>
    <rPh sb="160" eb="162">
      <t>クフウ</t>
    </rPh>
    <phoneticPr fontId="1"/>
  </si>
  <si>
    <t>②自己点検・評価体制における意見等を公表しているアドレス</t>
    <phoneticPr fontId="1"/>
  </si>
  <si>
    <t>広島県福山市東村町字三蔵985番地の1</t>
    <phoneticPr fontId="1"/>
  </si>
  <si>
    <t>「数理・データサイエンス・ＡＩ教育プログラム（リテラシーレベル）」は、次の（１）もしくは（２）のいずれかに該当することを修了条件とする。修了条件を満足した者を「数理・データサイエンス・ＡＩ教育プログラム（リテラシーレベル）」の修了者であるとして大学が認定する。
（１）「情報処理基礎」もしくは「情報処理応用」の単位を取得していること。それに加えて「人工知能」の単位を取得していること。
（２）「情報処理技法」の単位を取得していること。それに加えて次の (a)、(b)のいずれかであること。
　(a) 「金融論特講」の単位を取得していること。
　(b) 「人工知能」の単位を取得していること。</t>
    <phoneticPr fontId="1"/>
  </si>
  <si>
    <t>・人工知能とは何か　「人工知能」（１回目）
・AI技術の基礎学習（Ｅｘｃｅｌを活用した将来予測）（９回目）</t>
    <rPh sb="1" eb="5">
      <t>ジンコウチノウ</t>
    </rPh>
    <rPh sb="7" eb="8">
      <t>ナニ</t>
    </rPh>
    <rPh sb="11" eb="15">
      <t>ジンコウチノウ</t>
    </rPh>
    <rPh sb="18" eb="20">
      <t>カイメ</t>
    </rPh>
    <phoneticPr fontId="1"/>
  </si>
  <si>
    <t>・人工知能による社会の変革　「人工知能」（１回目）
・AI技術の基礎学習（Ｅｘｃｅｌを活用した将来予測）（９回目）</t>
    <rPh sb="15" eb="19">
      <t>ジンコウチノウ</t>
    </rPh>
    <rPh sb="22" eb="24">
      <t>カイメ</t>
    </rPh>
    <rPh sb="29" eb="31">
      <t>ギジュツ</t>
    </rPh>
    <rPh sb="32" eb="36">
      <t>キソガクシュウ</t>
    </rPh>
    <rPh sb="43" eb="45">
      <t>カツヨウ</t>
    </rPh>
    <rPh sb="47" eb="51">
      <t>ショウライヨソク</t>
    </rPh>
    <rPh sb="54" eb="56">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</si>
</sst>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
      <sz val="12"/>
      <name val="ＭＳ Ｐゴシック"/>
      <family val="3"/>
      <charset val="128"/>
    </font>
  </fonts>
  <fills count="2">
    <fill>
      <patternFill patternType="none"/>
    </fill>
    <fill>
      <patternFill patternType="gray125"/>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diagonalUp="1">
      <left style="thin">
        <color auto="1"/>
      </left>
      <right/>
      <top style="thin">
        <color auto="1"/>
      </top>
      <bottom/>
      <diagonal style="hair">
        <color auto="1"/>
      </diagonal>
    </border>
    <border diagonalUp="1">
      <left style="hair">
        <color auto="1"/>
      </left>
      <right style="thin">
        <color auto="1"/>
      </right>
      <top style="thin">
        <color auto="1"/>
      </top>
      <bottom/>
      <diagonal style="hair">
        <color auto="1"/>
      </diagonal>
    </border>
    <border diagonalUp="1">
      <left style="thin">
        <color auto="1"/>
      </left>
      <right style="hair">
        <color auto="1"/>
      </right>
      <top style="thin">
        <color auto="1"/>
      </top>
      <bottom/>
      <diagonal style="hair">
        <color auto="1"/>
      </diagonal>
    </border>
    <border diagonalUp="1">
      <left/>
      <right style="thin">
        <color auto="1"/>
      </right>
      <top style="thin">
        <color auto="1"/>
      </top>
      <bottom/>
      <diagonal style="hair">
        <color auto="1"/>
      </diagonal>
    </border>
    <border diagonalUp="1">
      <left style="thin">
        <color auto="1"/>
      </left>
      <right/>
      <top style="hair">
        <color auto="1"/>
      </top>
      <bottom style="hair">
        <color auto="1"/>
      </bottom>
      <diagonal style="hair">
        <color auto="1"/>
      </diagonal>
    </border>
    <border diagonalUp="1">
      <left style="hair">
        <color auto="1"/>
      </left>
      <right style="thin">
        <color auto="1"/>
      </right>
      <top style="hair">
        <color auto="1"/>
      </top>
      <bottom style="hair">
        <color auto="1"/>
      </bottom>
      <diagonal style="hair">
        <color auto="1"/>
      </diagonal>
    </border>
    <border diagonalUp="1">
      <left style="thin">
        <color auto="1"/>
      </left>
      <right style="hair">
        <color auto="1"/>
      </right>
      <top style="hair">
        <color auto="1"/>
      </top>
      <bottom style="hair">
        <color auto="1"/>
      </bottom>
      <diagonal style="hair">
        <color auto="1"/>
      </diagonal>
    </border>
    <border diagonalUp="1">
      <left/>
      <right style="thin">
        <color auto="1"/>
      </right>
      <top style="hair">
        <color auto="1"/>
      </top>
      <bottom style="hair">
        <color auto="1"/>
      </bottom>
      <diagonal style="hair">
        <color auto="1"/>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293">
    <xf numFmtId="0" fontId="0" fillId="0" borderId="0" xfId="0">
      <alignment vertical="center"/>
    </xf>
    <xf numFmtId="0" fontId="2" fillId="0" borderId="0" xfId="0" applyFont="1">
      <alignment vertical="center"/>
    </xf>
    <xf numFmtId="0" fontId="3" fillId="0" borderId="0" xfId="0" applyFont="1">
      <alignment vertical="center"/>
    </xf>
    <xf numFmtId="0" fontId="6" fillId="0" borderId="0" xfId="0" applyFont="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horizontal="left" vertical="center"/>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1" xfId="0" applyFont="1" applyBorder="1">
      <alignment vertical="center"/>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9" fillId="0" borderId="0" xfId="0" applyFont="1">
      <alignment vertical="center"/>
    </xf>
    <xf numFmtId="0" fontId="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6" fillId="0" borderId="0" xfId="0" applyFont="1" applyAlignment="1">
      <alignment vertical="center" shrinkToFit="1"/>
    </xf>
    <xf numFmtId="0" fontId="6" fillId="0" borderId="10" xfId="0" applyFont="1" applyBorder="1" applyAlignment="1">
      <alignment vertical="center" shrinkToFit="1"/>
    </xf>
    <xf numFmtId="49" fontId="15" fillId="0" borderId="1" xfId="0" applyNumberFormat="1" applyFont="1" applyBorder="1" applyAlignment="1">
      <alignment horizontal="center" vertical="center"/>
    </xf>
    <xf numFmtId="0" fontId="6" fillId="0" borderId="0" xfId="0" applyFont="1" applyAlignment="1">
      <alignment vertical="top" wrapText="1"/>
    </xf>
    <xf numFmtId="0" fontId="7" fillId="0" borderId="2" xfId="0" applyFont="1" applyBorder="1">
      <alignment vertical="center"/>
    </xf>
    <xf numFmtId="0" fontId="7" fillId="0" borderId="4" xfId="0" applyFont="1" applyBorder="1">
      <alignment vertical="center"/>
    </xf>
    <xf numFmtId="49" fontId="15" fillId="0" borderId="47" xfId="0" applyNumberFormat="1" applyFont="1" applyBorder="1" applyAlignment="1">
      <alignment horizontal="center" vertical="center"/>
    </xf>
    <xf numFmtId="49" fontId="15" fillId="0" borderId="33" xfId="0" applyNumberFormat="1" applyFont="1" applyBorder="1" applyAlignment="1">
      <alignment horizontal="center" vertical="center"/>
    </xf>
    <xf numFmtId="49" fontId="15" fillId="0" borderId="50" xfId="0" applyNumberFormat="1" applyFont="1" applyBorder="1" applyAlignment="1">
      <alignment horizontal="center" vertical="center"/>
    </xf>
    <xf numFmtId="49" fontId="15"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6" fillId="0" borderId="3" xfId="0" applyFont="1" applyBorder="1">
      <alignment vertical="center"/>
    </xf>
    <xf numFmtId="49" fontId="15" fillId="0" borderId="52" xfId="0" applyNumberFormat="1" applyFont="1" applyBorder="1" applyAlignment="1">
      <alignment horizontal="center" vertical="center"/>
    </xf>
    <xf numFmtId="49" fontId="15" fillId="0" borderId="29" xfId="0" applyNumberFormat="1" applyFont="1" applyBorder="1" applyAlignment="1">
      <alignment horizontal="center" vertical="center"/>
    </xf>
    <xf numFmtId="0" fontId="18"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43" xfId="0" applyFont="1" applyBorder="1" applyAlignment="1">
      <alignment horizontal="center" vertical="center" shrinkToFit="1"/>
    </xf>
    <xf numFmtId="176" fontId="6" fillId="0" borderId="0" xfId="0" applyNumberFormat="1" applyFont="1" applyAlignment="1">
      <alignment vertical="center" wrapText="1"/>
    </xf>
    <xf numFmtId="0" fontId="6" fillId="0" borderId="18" xfId="0" applyFont="1" applyBorder="1" applyAlignment="1">
      <alignment horizontal="center" vertical="center"/>
    </xf>
    <xf numFmtId="0" fontId="6" fillId="0" borderId="42" xfId="0" applyFont="1" applyBorder="1" applyAlignment="1">
      <alignment horizontal="center" vertical="center"/>
    </xf>
    <xf numFmtId="0" fontId="6" fillId="0" borderId="38" xfId="0" applyFont="1" applyBorder="1" applyAlignment="1">
      <alignment horizontal="center" vertical="center"/>
    </xf>
    <xf numFmtId="0" fontId="6" fillId="0" borderId="5" xfId="0" applyFont="1" applyBorder="1">
      <alignment vertical="center"/>
    </xf>
    <xf numFmtId="176" fontId="6" fillId="0" borderId="5" xfId="0" applyNumberFormat="1" applyFont="1" applyBorder="1">
      <alignment vertical="center"/>
    </xf>
    <xf numFmtId="176" fontId="6" fillId="0" borderId="0" xfId="0" applyNumberFormat="1" applyFont="1">
      <alignment vertical="center"/>
    </xf>
    <xf numFmtId="176" fontId="6" fillId="0" borderId="3" xfId="0" applyNumberFormat="1" applyFont="1" applyBorder="1" applyAlignment="1">
      <alignment vertical="center" shrinkToFit="1"/>
    </xf>
    <xf numFmtId="0" fontId="3" fillId="0" borderId="14" xfId="0" applyFont="1" applyBorder="1" applyAlignment="1">
      <alignment horizontal="left" vertical="center" shrinkToFit="1"/>
    </xf>
    <xf numFmtId="38" fontId="6" fillId="0" borderId="5" xfId="1" applyFont="1" applyFill="1" applyBorder="1" applyAlignment="1">
      <alignment vertical="center" shrinkToFit="1"/>
    </xf>
    <xf numFmtId="176" fontId="3" fillId="0" borderId="53" xfId="0" applyNumberFormat="1" applyFont="1" applyBorder="1" applyAlignment="1">
      <alignment vertical="center" shrinkToFit="1"/>
    </xf>
    <xf numFmtId="176" fontId="3" fillId="0" borderId="54" xfId="0" applyNumberFormat="1" applyFont="1" applyBorder="1" applyAlignment="1">
      <alignment vertical="center" shrinkToFit="1"/>
    </xf>
    <xf numFmtId="176" fontId="3" fillId="0" borderId="55" xfId="0" applyNumberFormat="1" applyFont="1" applyBorder="1" applyAlignment="1">
      <alignment vertical="center" shrinkToFit="1"/>
    </xf>
    <xf numFmtId="176" fontId="3" fillId="0" borderId="56" xfId="0" applyNumberFormat="1" applyFont="1" applyBorder="1" applyAlignment="1">
      <alignment vertical="center" shrinkToFit="1"/>
    </xf>
    <xf numFmtId="176" fontId="3" fillId="0" borderId="14" xfId="0" applyNumberFormat="1" applyFont="1" applyBorder="1" applyAlignment="1">
      <alignment vertical="center" shrinkToFit="1"/>
    </xf>
    <xf numFmtId="38" fontId="6" fillId="0" borderId="19" xfId="1" applyFont="1" applyFill="1" applyBorder="1" applyAlignment="1">
      <alignment vertical="center" shrinkToFit="1"/>
    </xf>
    <xf numFmtId="176" fontId="3" fillId="0" borderId="57" xfId="0" applyNumberFormat="1" applyFont="1" applyBorder="1" applyAlignment="1">
      <alignment vertical="center" shrinkToFit="1"/>
    </xf>
    <xf numFmtId="176" fontId="3" fillId="0" borderId="58" xfId="0" applyNumberFormat="1" applyFont="1" applyBorder="1" applyAlignment="1">
      <alignment vertical="center" shrinkToFit="1"/>
    </xf>
    <xf numFmtId="176" fontId="3" fillId="0" borderId="59" xfId="0" applyNumberFormat="1" applyFont="1" applyBorder="1" applyAlignment="1">
      <alignment vertical="center" shrinkToFit="1"/>
    </xf>
    <xf numFmtId="176" fontId="3" fillId="0" borderId="60" xfId="0" applyNumberFormat="1" applyFont="1" applyBorder="1" applyAlignment="1">
      <alignment vertical="center" shrinkToFit="1"/>
    </xf>
    <xf numFmtId="0" fontId="6" fillId="0" borderId="7" xfId="0" applyFont="1" applyBorder="1" applyAlignment="1">
      <alignment horizontal="center" vertical="center" wrapText="1" shrinkToFit="1"/>
    </xf>
    <xf numFmtId="9" fontId="6" fillId="0" borderId="8" xfId="0" applyNumberFormat="1" applyFont="1" applyBorder="1" applyAlignment="1">
      <alignment horizontal="center" vertical="center" wrapText="1" shrinkToFit="1"/>
    </xf>
    <xf numFmtId="0" fontId="6" fillId="0" borderId="8" xfId="0"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0" fontId="6" fillId="0" borderId="9" xfId="0" applyFont="1" applyBorder="1" applyAlignment="1">
      <alignment horizontal="center" vertical="center" shrinkToFit="1"/>
    </xf>
    <xf numFmtId="0" fontId="6" fillId="0" borderId="44" xfId="0" applyFont="1" applyBorder="1" applyAlignment="1">
      <alignment horizontal="center" vertical="center" shrinkToFit="1"/>
    </xf>
    <xf numFmtId="9" fontId="6" fillId="0" borderId="45" xfId="0" applyNumberFormat="1" applyFont="1" applyBorder="1" applyAlignment="1">
      <alignment horizontal="center" vertical="center" shrinkToFit="1"/>
    </xf>
    <xf numFmtId="0" fontId="6" fillId="0" borderId="45" xfId="0"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6" fillId="0" borderId="46" xfId="0" applyFont="1" applyBorder="1" applyAlignment="1">
      <alignment horizontal="center" vertical="center" shrinkToFit="1"/>
    </xf>
    <xf numFmtId="0" fontId="15" fillId="0" borderId="0" xfId="0" applyFont="1">
      <alignment vertical="center"/>
    </xf>
    <xf numFmtId="0" fontId="6" fillId="0" borderId="0" xfId="0" applyFont="1" applyAlignment="1">
      <alignment horizontal="right" vertical="center"/>
    </xf>
    <xf numFmtId="0" fontId="6" fillId="0" borderId="0" xfId="0" applyFont="1" applyAlignment="1">
      <alignment vertical="center" wrapText="1"/>
    </xf>
    <xf numFmtId="0" fontId="15" fillId="0" borderId="0" xfId="0" applyFont="1" applyAlignment="1">
      <alignment vertical="top" wrapText="1"/>
    </xf>
    <xf numFmtId="0" fontId="15" fillId="0" borderId="0" xfId="0" applyFont="1" applyAlignment="1">
      <alignment vertical="top" shrinkToFit="1"/>
    </xf>
    <xf numFmtId="0" fontId="15" fillId="0" borderId="0" xfId="0" applyFont="1" applyAlignment="1">
      <alignment vertical="center" wrapText="1"/>
    </xf>
    <xf numFmtId="0" fontId="14" fillId="0" borderId="0" xfId="0" applyFont="1" applyAlignment="1">
      <alignment horizontal="center" vertical="center"/>
    </xf>
    <xf numFmtId="0" fontId="15" fillId="0" borderId="10" xfId="0" applyFont="1" applyBorder="1" applyAlignment="1">
      <alignment vertical="top" wrapText="1"/>
    </xf>
    <xf numFmtId="0" fontId="15" fillId="0" borderId="5" xfId="0" applyFont="1" applyBorder="1" applyAlignment="1">
      <alignment vertical="top" wrapText="1"/>
    </xf>
    <xf numFmtId="0" fontId="6" fillId="0" borderId="16" xfId="0" applyFont="1" applyBorder="1">
      <alignment vertical="center"/>
    </xf>
    <xf numFmtId="0" fontId="15" fillId="0" borderId="20" xfId="0" applyFont="1" applyBorder="1" applyAlignment="1">
      <alignment vertical="top" wrapText="1"/>
    </xf>
    <xf numFmtId="0" fontId="15" fillId="0" borderId="18" xfId="0" applyFont="1" applyBorder="1" applyAlignment="1">
      <alignment vertical="top" wrapText="1"/>
    </xf>
    <xf numFmtId="0" fontId="15" fillId="0" borderId="20" xfId="0" applyFont="1" applyBorder="1" applyAlignment="1">
      <alignment vertical="top" shrinkToFit="1"/>
    </xf>
    <xf numFmtId="0" fontId="15" fillId="0" borderId="18" xfId="0" applyFont="1" applyBorder="1" applyAlignment="1">
      <alignment vertical="top" shrinkToFi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right"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0" xfId="0" applyFont="1" applyAlignment="1">
      <alignment vertical="center" shrinkToFit="1"/>
    </xf>
    <xf numFmtId="0" fontId="6" fillId="0" borderId="4" xfId="0" applyFont="1" applyBorder="1" applyAlignment="1">
      <alignment horizontal="center" vertical="center" shrinkToFit="1"/>
    </xf>
    <xf numFmtId="0" fontId="6" fillId="0" borderId="0" xfId="0" applyFont="1" applyAlignment="1">
      <alignment horizontal="right" vertical="center"/>
    </xf>
    <xf numFmtId="0" fontId="6" fillId="0" borderId="10" xfId="0" applyFont="1" applyBorder="1" applyAlignment="1">
      <alignment horizontal="right" vertical="center"/>
    </xf>
    <xf numFmtId="176" fontId="6" fillId="0" borderId="3" xfId="0" applyNumberFormat="1" applyFont="1" applyBorder="1" applyAlignment="1">
      <alignment horizontal="center" vertical="center" shrinkToFit="1"/>
    </xf>
    <xf numFmtId="0" fontId="10" fillId="0" borderId="0" xfId="0" applyFont="1" applyAlignment="1">
      <alignment horizontal="center" vertical="center"/>
    </xf>
    <xf numFmtId="49" fontId="19" fillId="0" borderId="2" xfId="2" applyNumberFormat="1" applyFon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7" fillId="0" borderId="7" xfId="0" applyFont="1" applyBorder="1" applyAlignment="1">
      <alignment vertical="center" wrapText="1" shrinkToFit="1"/>
    </xf>
    <xf numFmtId="0" fontId="7" fillId="0" borderId="8" xfId="0" applyFont="1" applyBorder="1" applyAlignment="1">
      <alignment vertical="center" shrinkToFit="1"/>
    </xf>
    <xf numFmtId="0" fontId="7" fillId="0" borderId="9" xfId="0" applyFont="1" applyBorder="1" applyAlignment="1">
      <alignment vertical="center" shrinkToFit="1"/>
    </xf>
    <xf numFmtId="0" fontId="7" fillId="0" borderId="5" xfId="0" applyFont="1" applyBorder="1" applyAlignment="1">
      <alignment vertical="center" shrinkToFit="1"/>
    </xf>
    <xf numFmtId="0" fontId="7" fillId="0" borderId="0" xfId="0" applyFont="1" applyAlignment="1">
      <alignment vertical="center" shrinkToFit="1"/>
    </xf>
    <xf numFmtId="0" fontId="7" fillId="0" borderId="10" xfId="0" applyFont="1" applyBorder="1" applyAlignment="1">
      <alignment vertical="center" shrinkToFit="1"/>
    </xf>
    <xf numFmtId="0" fontId="7" fillId="0" borderId="11" xfId="0" applyFont="1" applyBorder="1" applyAlignment="1">
      <alignment vertical="center" shrinkToFit="1"/>
    </xf>
    <xf numFmtId="0" fontId="7" fillId="0" borderId="6" xfId="0" applyFont="1" applyBorder="1" applyAlignment="1">
      <alignment vertical="center" shrinkToFit="1"/>
    </xf>
    <xf numFmtId="0" fontId="7" fillId="0" borderId="12" xfId="0" applyFont="1" applyBorder="1" applyAlignment="1">
      <alignment vertical="center" shrinkToFit="1"/>
    </xf>
    <xf numFmtId="0" fontId="5" fillId="0" borderId="2" xfId="2" applyBorder="1" applyAlignment="1">
      <alignment vertical="center" shrinkToFit="1"/>
    </xf>
    <xf numFmtId="0" fontId="7" fillId="0" borderId="3" xfId="0" applyFont="1" applyBorder="1" applyAlignment="1">
      <alignment vertical="center" shrinkToFit="1"/>
    </xf>
    <xf numFmtId="0" fontId="7" fillId="0" borderId="4" xfId="0" applyFont="1" applyBorder="1" applyAlignment="1">
      <alignment vertical="center" shrinkToFit="1"/>
    </xf>
    <xf numFmtId="0" fontId="16" fillId="0" borderId="48" xfId="0" applyFont="1" applyBorder="1" applyAlignment="1">
      <alignment vertical="center" wrapText="1"/>
    </xf>
    <xf numFmtId="0" fontId="17" fillId="0" borderId="32" xfId="0" applyFont="1" applyBorder="1" applyAlignment="1">
      <alignment vertical="center" wrapTex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20" xfId="0" applyFont="1" applyBorder="1" applyAlignment="1">
      <alignment horizontal="left" vertical="center" wrapText="1"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16" fillId="0" borderId="32" xfId="0" applyFont="1" applyBorder="1" applyAlignment="1">
      <alignment vertical="center" wrapText="1"/>
    </xf>
    <xf numFmtId="0" fontId="17" fillId="0" borderId="49" xfId="0" applyFont="1" applyBorder="1" applyAlignment="1">
      <alignment vertical="center" wrapText="1"/>
    </xf>
    <xf numFmtId="0" fontId="7" fillId="0" borderId="39" xfId="0" applyFont="1" applyBorder="1" applyAlignment="1">
      <alignment vertical="center" wrapText="1"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19" xfId="0" applyFont="1" applyBorder="1" applyAlignment="1">
      <alignment vertical="center" wrapText="1"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6" xfId="0" applyFont="1" applyBorder="1" applyAlignment="1">
      <alignment vertical="center" wrapText="1" shrinkToFit="1"/>
    </xf>
    <xf numFmtId="0" fontId="17" fillId="0" borderId="48" xfId="0" applyFont="1" applyBorder="1" applyAlignment="1">
      <alignment vertical="center" wrapText="1"/>
    </xf>
    <xf numFmtId="0" fontId="7" fillId="0" borderId="39" xfId="0" applyFont="1" applyBorder="1" applyAlignment="1">
      <alignment horizontal="left" vertical="center" wrapText="1"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41" xfId="0" applyFont="1" applyBorder="1" applyAlignment="1">
      <alignment horizontal="left" vertical="center" wrapText="1"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6" xfId="0" applyFont="1" applyBorder="1" applyAlignment="1">
      <alignment horizontal="left" vertical="center" shrinkToFit="1"/>
    </xf>
    <xf numFmtId="0" fontId="7" fillId="0" borderId="12" xfId="0" applyFont="1" applyBorder="1" applyAlignment="1">
      <alignment horizontal="left" vertical="center"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16" fillId="0" borderId="8" xfId="0" applyFont="1" applyBorder="1" applyAlignment="1">
      <alignment horizontal="left" vertical="center" wrapText="1" shrinkToFit="1"/>
    </xf>
    <xf numFmtId="0" fontId="17" fillId="0" borderId="8" xfId="0" applyFont="1" applyBorder="1" applyAlignment="1">
      <alignment horizontal="left" vertical="center" shrinkToFit="1"/>
    </xf>
    <xf numFmtId="0" fontId="17" fillId="0" borderId="9" xfId="0" applyFont="1" applyBorder="1" applyAlignment="1">
      <alignment horizontal="left" vertical="center" shrinkToFit="1"/>
    </xf>
    <xf numFmtId="0" fontId="16" fillId="0" borderId="22" xfId="0" applyFont="1" applyBorder="1" applyAlignment="1">
      <alignment horizontal="left" vertical="center" wrapText="1" shrinkToFit="1"/>
    </xf>
    <xf numFmtId="0" fontId="17" fillId="0" borderId="22" xfId="0" applyFont="1" applyBorder="1" applyAlignment="1">
      <alignment horizontal="left" vertical="center" shrinkToFit="1"/>
    </xf>
    <xf numFmtId="0" fontId="17" fillId="0" borderId="21" xfId="0" applyFont="1" applyBorder="1" applyAlignment="1">
      <alignment horizontal="left" vertical="center"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6" fillId="0" borderId="0" xfId="0" applyFont="1" applyAlignment="1">
      <alignment vertical="center" wrapText="1"/>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37"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7" fillId="0" borderId="0" xfId="0" applyFont="1" applyAlignment="1">
      <alignment horizontal="center" vertical="center"/>
    </xf>
    <xf numFmtId="0" fontId="14" fillId="0" borderId="0" xfId="0" applyFont="1" applyAlignment="1">
      <alignment horizontal="center" vertical="center"/>
    </xf>
    <xf numFmtId="0" fontId="6"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2" fillId="0" borderId="0" xfId="0" applyFont="1" applyAlignment="1">
      <alignment horizontal="right" vertical="center"/>
    </xf>
    <xf numFmtId="0" fontId="11"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6" xfId="0" applyFont="1" applyBorder="1" applyAlignment="1">
      <alignment vertical="center"/>
    </xf>
    <xf numFmtId="0" fontId="6" fillId="0" borderId="16" xfId="0" applyFont="1" applyBorder="1" applyAlignment="1">
      <alignment vertical="top" wrapText="1" shrinkToFit="1"/>
    </xf>
    <xf numFmtId="0" fontId="6" fillId="0" borderId="22" xfId="0" applyFont="1" applyBorder="1" applyAlignment="1">
      <alignment vertical="top" shrinkToFit="1"/>
    </xf>
    <xf numFmtId="0" fontId="6" fillId="0" borderId="21" xfId="0" applyFont="1" applyBorder="1" applyAlignment="1">
      <alignment vertical="top" shrinkToFit="1"/>
    </xf>
    <xf numFmtId="0" fontId="6" fillId="0" borderId="4" xfId="0" applyFont="1" applyBorder="1" applyAlignment="1">
      <alignment vertical="center" shrinkToFi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19" fillId="0" borderId="2" xfId="2" applyFont="1" applyFill="1" applyBorder="1" applyAlignment="1">
      <alignment horizontal="center" vertical="center" shrinkToFit="1"/>
    </xf>
    <xf numFmtId="0" fontId="19" fillId="0" borderId="3" xfId="2" applyFont="1" applyFill="1" applyBorder="1" applyAlignment="1">
      <alignment horizontal="center" vertical="center" shrinkToFit="1"/>
    </xf>
    <xf numFmtId="0" fontId="19" fillId="0" borderId="4" xfId="2" applyFont="1" applyFill="1" applyBorder="1" applyAlignment="1">
      <alignment horizontal="center" vertical="center" shrinkToFi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9" xfId="0" applyFont="1" applyBorder="1" applyAlignment="1">
      <alignment vertical="center" wrapText="1"/>
    </xf>
    <xf numFmtId="0" fontId="6" fillId="0" borderId="20" xfId="0" applyFont="1" applyBorder="1" applyAlignment="1">
      <alignment vertical="center" wrapText="1"/>
    </xf>
    <xf numFmtId="0" fontId="6" fillId="0" borderId="19" xfId="0" applyFont="1" applyBorder="1" applyAlignment="1">
      <alignment vertical="top" wrapText="1" shrinkToFit="1"/>
    </xf>
    <xf numFmtId="0" fontId="6" fillId="0" borderId="17" xfId="0" applyFont="1" applyBorder="1" applyAlignment="1">
      <alignment vertical="center"/>
    </xf>
    <xf numFmtId="0" fontId="17" fillId="0" borderId="18" xfId="0" applyFont="1"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ka@fukuyama-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ukuyama-u.ac.jp/edu-center/literacy-leve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ukuyama-u.ac.jp/edu-center/literacy-lev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zoomScaleNormal="100" zoomScaleSheetLayoutView="100" workbookViewId="0"/>
  </sheetViews>
  <sheetFormatPr defaultColWidth="9" defaultRowHeight="18.75" customHeight="1"/>
  <cols>
    <col min="1" max="1" width="3.375" style="5" customWidth="1"/>
    <col min="2" max="2" width="11.125" style="5" customWidth="1"/>
    <col min="3" max="8" width="6.625" style="5" customWidth="1"/>
    <col min="9" max="9" width="3.375" style="5" customWidth="1"/>
    <col min="10" max="10" width="10" style="5" customWidth="1"/>
    <col min="11" max="11" width="3.375" style="5" customWidth="1"/>
    <col min="12" max="12" width="7.625" style="5" customWidth="1"/>
    <col min="13" max="13" width="3.375" style="5" customWidth="1"/>
    <col min="14" max="14" width="4.5" style="5" customWidth="1"/>
    <col min="15" max="16384" width="9" style="5"/>
  </cols>
  <sheetData>
    <row r="1" spans="1:15" ht="24" customHeight="1">
      <c r="M1" s="129" t="s">
        <v>0</v>
      </c>
      <c r="N1" s="129"/>
    </row>
    <row r="2" spans="1:15" ht="24" customHeight="1">
      <c r="A2" s="132" t="s">
        <v>1</v>
      </c>
      <c r="B2" s="132"/>
      <c r="C2" s="132"/>
      <c r="D2" s="132"/>
      <c r="E2" s="132"/>
      <c r="F2" s="132"/>
      <c r="G2" s="132"/>
      <c r="H2" s="132"/>
      <c r="I2" s="132"/>
      <c r="J2" s="132"/>
      <c r="K2" s="132"/>
      <c r="L2" s="132"/>
      <c r="M2" s="132"/>
      <c r="N2" s="132"/>
    </row>
    <row r="3" spans="1:15" ht="24" customHeight="1"/>
    <row r="4" spans="1:15" ht="24" customHeight="1">
      <c r="A4" s="5" t="s">
        <v>2</v>
      </c>
      <c r="B4" s="5" t="s">
        <v>3</v>
      </c>
      <c r="C4" s="121" t="s">
        <v>4</v>
      </c>
      <c r="D4" s="122"/>
      <c r="E4" s="122"/>
      <c r="F4" s="122"/>
      <c r="G4" s="122"/>
      <c r="H4" s="122"/>
      <c r="I4" s="122"/>
      <c r="J4" s="122"/>
      <c r="K4" s="122"/>
      <c r="L4" s="122"/>
      <c r="M4" s="122"/>
      <c r="N4" s="128"/>
      <c r="O4" s="5" t="str">
        <f>IF(C4="","入力してください","")</f>
        <v/>
      </c>
    </row>
    <row r="5" spans="1:15" ht="7.5" customHeight="1">
      <c r="E5" s="6"/>
      <c r="F5" s="44"/>
      <c r="G5" s="44"/>
      <c r="H5" s="44"/>
      <c r="I5" s="44"/>
      <c r="J5" s="44"/>
      <c r="K5" s="44"/>
      <c r="L5" s="44"/>
      <c r="M5" s="44"/>
      <c r="N5" s="44"/>
    </row>
    <row r="6" spans="1:15" ht="24" customHeight="1">
      <c r="A6" s="5" t="s">
        <v>5</v>
      </c>
      <c r="B6" s="5" t="s">
        <v>6</v>
      </c>
      <c r="D6" s="121" t="s">
        <v>7</v>
      </c>
      <c r="E6" s="122"/>
      <c r="F6" s="122"/>
      <c r="G6" s="122"/>
      <c r="H6" s="128"/>
      <c r="I6" s="5" t="s">
        <v>8</v>
      </c>
      <c r="J6" s="44" t="s">
        <v>9</v>
      </c>
      <c r="K6" s="121" t="s">
        <v>10</v>
      </c>
      <c r="L6" s="122"/>
      <c r="M6" s="122"/>
      <c r="N6" s="128"/>
      <c r="O6" s="5" t="str">
        <f>IF(D6="","入力してください","")</f>
        <v/>
      </c>
    </row>
    <row r="7" spans="1:15" ht="7.5" customHeight="1">
      <c r="E7" s="6"/>
      <c r="F7" s="44"/>
      <c r="G7" s="44"/>
      <c r="H7" s="44"/>
      <c r="I7" s="44"/>
      <c r="J7" s="44"/>
      <c r="K7" s="44"/>
      <c r="L7" s="44"/>
      <c r="M7" s="44"/>
      <c r="N7" s="44"/>
    </row>
    <row r="8" spans="1:15" ht="24" customHeight="1">
      <c r="A8" s="5" t="s">
        <v>11</v>
      </c>
      <c r="B8" s="5" t="s">
        <v>12</v>
      </c>
      <c r="C8" s="121" t="s">
        <v>206</v>
      </c>
      <c r="D8" s="122"/>
      <c r="E8" s="122"/>
      <c r="F8" s="122"/>
      <c r="G8" s="122"/>
      <c r="H8" s="122"/>
      <c r="I8" s="122"/>
      <c r="J8" s="122"/>
      <c r="K8" s="122"/>
      <c r="L8" s="122"/>
      <c r="M8" s="122"/>
      <c r="N8" s="128"/>
      <c r="O8" s="5" t="str">
        <f>IF(C8="","入力してください","")</f>
        <v/>
      </c>
    </row>
    <row r="9" spans="1:15" ht="7.5" customHeight="1">
      <c r="E9" s="6"/>
      <c r="F9" s="44"/>
      <c r="G9" s="44"/>
      <c r="H9" s="44"/>
      <c r="I9" s="44"/>
      <c r="J9" s="44"/>
      <c r="K9" s="44"/>
      <c r="L9" s="44"/>
      <c r="M9" s="44"/>
      <c r="N9" s="44"/>
    </row>
    <row r="10" spans="1:15" ht="24" customHeight="1">
      <c r="A10" s="5" t="s">
        <v>13</v>
      </c>
      <c r="B10" s="5" t="s">
        <v>14</v>
      </c>
      <c r="E10" s="121" t="s">
        <v>15</v>
      </c>
      <c r="F10" s="122"/>
      <c r="G10" s="122"/>
      <c r="H10" s="122"/>
      <c r="I10" s="122"/>
      <c r="J10" s="122"/>
      <c r="K10" s="122"/>
      <c r="L10" s="122"/>
      <c r="M10" s="122"/>
      <c r="N10" s="128"/>
      <c r="O10" s="5" t="str">
        <f>IF(E10="","入力してください","")</f>
        <v/>
      </c>
    </row>
    <row r="11" spans="1:15" ht="7.5" customHeight="1">
      <c r="B11" s="6"/>
      <c r="C11" s="6"/>
      <c r="D11" s="6"/>
      <c r="E11" s="6"/>
      <c r="F11" s="44"/>
      <c r="G11" s="44"/>
      <c r="H11" s="44"/>
      <c r="I11" s="44"/>
      <c r="J11" s="44"/>
      <c r="K11" s="44"/>
      <c r="L11" s="44"/>
      <c r="M11" s="44"/>
      <c r="N11" s="44"/>
    </row>
    <row r="12" spans="1:15" ht="24" customHeight="1">
      <c r="A12" s="5" t="s">
        <v>16</v>
      </c>
      <c r="B12" s="6" t="s">
        <v>17</v>
      </c>
      <c r="C12" s="6"/>
      <c r="D12" s="6"/>
      <c r="E12" s="113" t="s">
        <v>18</v>
      </c>
      <c r="F12" s="115"/>
      <c r="G12" s="5" t="s">
        <v>19</v>
      </c>
      <c r="H12" s="5" t="s">
        <v>20</v>
      </c>
      <c r="N12" s="67" t="s">
        <v>21</v>
      </c>
      <c r="O12" s="5" t="str">
        <f>IF(E12="","入力してください","")</f>
        <v/>
      </c>
    </row>
    <row r="13" spans="1:15" ht="7.5" customHeight="1">
      <c r="B13" s="6"/>
      <c r="C13" s="6"/>
      <c r="D13" s="6"/>
      <c r="E13" s="6"/>
      <c r="F13" s="44"/>
      <c r="G13" s="44"/>
      <c r="H13" s="44"/>
      <c r="I13" s="44"/>
      <c r="J13" s="44"/>
      <c r="K13" s="44"/>
      <c r="L13" s="44"/>
      <c r="M13" s="44"/>
      <c r="N13" s="44"/>
    </row>
    <row r="14" spans="1:15" ht="24" customHeight="1">
      <c r="A14" s="5" t="s">
        <v>22</v>
      </c>
      <c r="B14" s="5" t="s">
        <v>23</v>
      </c>
      <c r="C14" s="129" t="s">
        <v>24</v>
      </c>
      <c r="D14" s="130"/>
      <c r="E14" s="125">
        <v>220</v>
      </c>
      <c r="F14" s="126"/>
      <c r="G14" s="73" t="s">
        <v>25</v>
      </c>
      <c r="I14" s="129" t="s">
        <v>26</v>
      </c>
      <c r="J14" s="130"/>
      <c r="K14" s="125">
        <v>143</v>
      </c>
      <c r="L14" s="131"/>
      <c r="M14" s="126"/>
      <c r="N14" s="69" t="s">
        <v>25</v>
      </c>
      <c r="O14" s="5" t="str">
        <f>IF(OR(E14="",K14=""),"入力してください","")</f>
        <v/>
      </c>
    </row>
    <row r="15" spans="1:15" ht="7.5" customHeight="1">
      <c r="M15" s="69"/>
      <c r="N15" s="69"/>
    </row>
    <row r="16" spans="1:15" ht="24" customHeight="1">
      <c r="A16" s="5" t="s">
        <v>27</v>
      </c>
      <c r="B16" s="5" t="s">
        <v>28</v>
      </c>
      <c r="K16" s="113">
        <v>12</v>
      </c>
      <c r="L16" s="114"/>
      <c r="M16" s="115"/>
      <c r="N16" s="69" t="s">
        <v>25</v>
      </c>
      <c r="O16" s="5" t="str">
        <f>IF(K16="","入力してください","")</f>
        <v/>
      </c>
    </row>
    <row r="17" spans="1:15" ht="7.5" customHeight="1">
      <c r="M17" s="69"/>
      <c r="N17" s="69"/>
    </row>
    <row r="18" spans="1:15" ht="24" customHeight="1">
      <c r="A18" s="5" t="s">
        <v>29</v>
      </c>
      <c r="B18" s="5" t="s">
        <v>30</v>
      </c>
      <c r="E18" s="125">
        <v>970</v>
      </c>
      <c r="F18" s="126"/>
      <c r="G18" s="74" t="s">
        <v>31</v>
      </c>
      <c r="K18" s="127"/>
      <c r="L18" s="127"/>
      <c r="M18" s="127"/>
      <c r="N18" s="127"/>
      <c r="O18" s="5" t="str">
        <f>IF(E18="","入力してください","")</f>
        <v/>
      </c>
    </row>
    <row r="19" spans="1:15" ht="7.5" customHeight="1">
      <c r="E19" s="75"/>
      <c r="L19" s="12"/>
      <c r="M19" s="12"/>
      <c r="N19" s="69"/>
    </row>
    <row r="20" spans="1:15" ht="24" customHeight="1">
      <c r="A20" s="5" t="s">
        <v>32</v>
      </c>
      <c r="B20" s="5" t="s">
        <v>33</v>
      </c>
      <c r="E20" s="75"/>
      <c r="H20" s="5" t="s">
        <v>34</v>
      </c>
      <c r="J20" s="116">
        <v>3785</v>
      </c>
      <c r="K20" s="117"/>
      <c r="L20" s="118"/>
      <c r="M20" s="12" t="s">
        <v>25</v>
      </c>
      <c r="N20" s="69"/>
      <c r="O20" s="5" t="str">
        <f>IF(J20="","入力してください","")</f>
        <v/>
      </c>
    </row>
    <row r="21" spans="1:15" ht="7.5" customHeight="1">
      <c r="E21" s="75"/>
      <c r="L21" s="12"/>
      <c r="M21" s="12"/>
      <c r="N21" s="69"/>
    </row>
    <row r="22" spans="1:15" ht="24" customHeight="1">
      <c r="B22" s="12" t="s">
        <v>35</v>
      </c>
      <c r="C22" s="125">
        <v>809</v>
      </c>
      <c r="D22" s="126"/>
      <c r="E22" s="75" t="s">
        <v>25</v>
      </c>
      <c r="G22" s="119" t="s">
        <v>36</v>
      </c>
      <c r="H22" s="119"/>
      <c r="I22" s="125">
        <v>946</v>
      </c>
      <c r="J22" s="126"/>
      <c r="K22" s="5" t="s">
        <v>25</v>
      </c>
      <c r="M22" s="12"/>
      <c r="N22" s="69"/>
    </row>
    <row r="23" spans="1:15" ht="7.5" customHeight="1">
      <c r="B23" s="12"/>
      <c r="C23" s="76"/>
      <c r="D23" s="76"/>
      <c r="E23" s="75"/>
      <c r="G23" s="12"/>
      <c r="H23" s="12"/>
      <c r="I23" s="76"/>
      <c r="J23" s="76"/>
      <c r="M23" s="12"/>
      <c r="N23" s="69"/>
    </row>
    <row r="24" spans="1:15" ht="24" customHeight="1">
      <c r="B24" s="12" t="s">
        <v>37</v>
      </c>
      <c r="C24" s="125">
        <v>895</v>
      </c>
      <c r="D24" s="126"/>
      <c r="E24" s="75" t="s">
        <v>25</v>
      </c>
      <c r="G24" s="119" t="s">
        <v>38</v>
      </c>
      <c r="H24" s="119"/>
      <c r="I24" s="125">
        <v>849</v>
      </c>
      <c r="J24" s="126"/>
      <c r="K24" s="5" t="s">
        <v>25</v>
      </c>
      <c r="M24" s="12"/>
      <c r="N24" s="69"/>
    </row>
    <row r="25" spans="1:15" ht="7.5" customHeight="1">
      <c r="B25" s="12"/>
      <c r="C25" s="76"/>
      <c r="D25" s="76"/>
      <c r="E25" s="75"/>
      <c r="G25" s="12"/>
      <c r="H25" s="12"/>
      <c r="I25" s="76"/>
      <c r="J25" s="76"/>
      <c r="M25" s="12"/>
      <c r="N25" s="69"/>
    </row>
    <row r="26" spans="1:15" ht="24" customHeight="1">
      <c r="B26" s="12" t="s">
        <v>39</v>
      </c>
      <c r="C26" s="125">
        <v>134</v>
      </c>
      <c r="D26" s="126"/>
      <c r="E26" s="75" t="s">
        <v>25</v>
      </c>
      <c r="G26" s="119" t="s">
        <v>40</v>
      </c>
      <c r="H26" s="119"/>
      <c r="I26" s="125">
        <v>152</v>
      </c>
      <c r="J26" s="126"/>
      <c r="K26" s="5" t="s">
        <v>25</v>
      </c>
      <c r="M26" s="12"/>
      <c r="N26" s="69"/>
    </row>
    <row r="27" spans="1:15" ht="7.5" customHeight="1">
      <c r="M27" s="7"/>
      <c r="N27" s="7"/>
    </row>
    <row r="28" spans="1:15" ht="24" customHeight="1">
      <c r="A28" s="5" t="s">
        <v>41</v>
      </c>
      <c r="B28" s="5" t="s">
        <v>42</v>
      </c>
      <c r="G28" s="44"/>
      <c r="H28" s="44"/>
      <c r="I28" s="44"/>
      <c r="J28" s="8"/>
      <c r="K28" s="8"/>
      <c r="L28" s="8"/>
      <c r="M28" s="8"/>
      <c r="N28" s="8"/>
    </row>
    <row r="29" spans="1:15" ht="24" customHeight="1">
      <c r="B29" s="120" t="s">
        <v>43</v>
      </c>
      <c r="C29" s="120"/>
      <c r="D29" s="121" t="s">
        <v>44</v>
      </c>
      <c r="E29" s="122"/>
      <c r="F29" s="122"/>
      <c r="G29" s="123" t="s">
        <v>45</v>
      </c>
      <c r="H29" s="120"/>
      <c r="I29" s="124"/>
      <c r="J29" s="121" t="s">
        <v>46</v>
      </c>
      <c r="K29" s="122"/>
      <c r="L29" s="122"/>
      <c r="M29" s="122"/>
      <c r="N29" s="128"/>
      <c r="O29" s="5" t="str">
        <f>IF(OR(D29="",J29=""),"入力してください","")</f>
        <v/>
      </c>
    </row>
    <row r="30" spans="1:15" ht="7.5" customHeight="1">
      <c r="M30" s="7"/>
      <c r="N30" s="7"/>
    </row>
    <row r="31" spans="1:15" ht="24" customHeight="1">
      <c r="A31" s="5" t="s">
        <v>47</v>
      </c>
      <c r="B31" s="5" t="s">
        <v>48</v>
      </c>
      <c r="G31" s="8"/>
      <c r="H31" s="8"/>
      <c r="I31" s="8"/>
      <c r="J31" s="8"/>
      <c r="K31" s="8"/>
      <c r="L31" s="8"/>
      <c r="M31" s="8"/>
      <c r="N31" s="8"/>
    </row>
    <row r="32" spans="1:15" ht="24" customHeight="1">
      <c r="B32" s="121" t="s">
        <v>49</v>
      </c>
      <c r="C32" s="122"/>
      <c r="D32" s="122"/>
      <c r="E32" s="122"/>
      <c r="F32" s="122"/>
      <c r="G32" s="122"/>
      <c r="H32" s="122"/>
      <c r="I32" s="122"/>
      <c r="J32" s="122"/>
      <c r="K32" s="122"/>
      <c r="L32" s="122"/>
      <c r="M32" s="122"/>
      <c r="N32" s="128"/>
      <c r="O32" s="5" t="str">
        <f>IF(B32="","入力してください","")</f>
        <v/>
      </c>
    </row>
    <row r="33" spans="1:15" ht="7.5" customHeight="1">
      <c r="B33" s="3"/>
      <c r="C33" s="3"/>
      <c r="D33" s="3"/>
      <c r="E33" s="3"/>
      <c r="F33" s="3"/>
      <c r="G33" s="3"/>
      <c r="H33" s="3"/>
      <c r="I33" s="3"/>
      <c r="J33" s="3"/>
      <c r="K33" s="3"/>
      <c r="L33" s="3"/>
      <c r="M33" s="3"/>
      <c r="N33" s="3"/>
    </row>
    <row r="34" spans="1:15" ht="24" customHeight="1">
      <c r="B34" s="120" t="s">
        <v>43</v>
      </c>
      <c r="C34" s="120"/>
      <c r="D34" s="121" t="s">
        <v>50</v>
      </c>
      <c r="E34" s="122"/>
      <c r="F34" s="122"/>
      <c r="G34" s="123" t="s">
        <v>45</v>
      </c>
      <c r="H34" s="120"/>
      <c r="I34" s="124"/>
      <c r="J34" s="121" t="s">
        <v>51</v>
      </c>
      <c r="K34" s="122"/>
      <c r="L34" s="122"/>
      <c r="M34" s="122"/>
      <c r="N34" s="128"/>
      <c r="O34" s="5" t="str">
        <f>IF(OR(D34="",J34=""),"入力してください","")</f>
        <v/>
      </c>
    </row>
    <row r="35" spans="1:15" ht="7.5" customHeight="1">
      <c r="F35" s="44"/>
      <c r="G35" s="44"/>
      <c r="H35" s="44"/>
      <c r="I35" s="44"/>
      <c r="J35" s="44"/>
      <c r="K35" s="44"/>
      <c r="L35" s="44"/>
      <c r="M35" s="44"/>
      <c r="N35" s="44"/>
    </row>
    <row r="36" spans="1:15" ht="24" customHeight="1">
      <c r="A36" s="5" t="s">
        <v>52</v>
      </c>
      <c r="B36" s="5" t="s">
        <v>53</v>
      </c>
      <c r="M36" s="7"/>
      <c r="N36" s="7"/>
    </row>
    <row r="37" spans="1:15" ht="24" customHeight="1">
      <c r="B37" s="121" t="s">
        <v>54</v>
      </c>
      <c r="C37" s="122"/>
      <c r="D37" s="122"/>
      <c r="E37" s="122"/>
      <c r="F37" s="122"/>
      <c r="G37" s="122"/>
      <c r="H37" s="122"/>
      <c r="I37" s="122"/>
      <c r="J37" s="122"/>
      <c r="K37" s="122"/>
      <c r="L37" s="122"/>
      <c r="M37" s="122"/>
      <c r="N37" s="128"/>
      <c r="O37" s="5" t="str">
        <f>IF(B37="","入力してください","")</f>
        <v/>
      </c>
    </row>
    <row r="38" spans="1:15" ht="7.5" customHeight="1">
      <c r="F38" s="44"/>
      <c r="G38" s="44"/>
      <c r="H38" s="44"/>
      <c r="I38" s="44"/>
      <c r="J38" s="44"/>
      <c r="K38" s="44"/>
      <c r="L38" s="44"/>
      <c r="M38" s="44"/>
      <c r="N38" s="44"/>
    </row>
    <row r="39" spans="1:15" ht="24" customHeight="1">
      <c r="B39" s="120" t="s">
        <v>43</v>
      </c>
      <c r="C39" s="120"/>
      <c r="D39" s="121" t="s">
        <v>55</v>
      </c>
      <c r="E39" s="122"/>
      <c r="F39" s="122"/>
      <c r="G39" s="123" t="s">
        <v>45</v>
      </c>
      <c r="H39" s="120"/>
      <c r="I39" s="124"/>
      <c r="J39" s="121" t="s">
        <v>46</v>
      </c>
      <c r="K39" s="122"/>
      <c r="L39" s="122"/>
      <c r="M39" s="122"/>
      <c r="N39" s="128"/>
      <c r="O39" s="5" t="str">
        <f>IF(OR(D39="",J39=""),"入力してください","")</f>
        <v/>
      </c>
    </row>
    <row r="40" spans="1:15" ht="7.5" customHeight="1">
      <c r="F40" s="44"/>
      <c r="G40" s="44"/>
      <c r="H40" s="44"/>
      <c r="I40" s="44"/>
      <c r="J40" s="44"/>
      <c r="K40" s="44"/>
      <c r="L40" s="44"/>
      <c r="M40" s="44"/>
      <c r="N40" s="44"/>
    </row>
    <row r="41" spans="1:15" ht="24" customHeight="1">
      <c r="A41" s="5" t="s">
        <v>56</v>
      </c>
      <c r="B41" s="5" t="s">
        <v>57</v>
      </c>
      <c r="E41" s="45"/>
      <c r="F41" s="121" t="s">
        <v>58</v>
      </c>
      <c r="G41" s="122"/>
      <c r="H41" s="122"/>
      <c r="I41" s="122"/>
      <c r="J41" s="122"/>
      <c r="K41" s="122"/>
      <c r="L41" s="122"/>
      <c r="M41" s="122"/>
      <c r="N41" s="128"/>
      <c r="O41" s="5" t="str">
        <f>IF(F41="","入力してください","")</f>
        <v/>
      </c>
    </row>
    <row r="42" spans="1:15" ht="7.5" customHeight="1">
      <c r="F42" s="44"/>
      <c r="G42" s="44"/>
      <c r="H42" s="44"/>
      <c r="I42" s="44"/>
      <c r="J42" s="44"/>
      <c r="K42" s="44"/>
      <c r="L42" s="44"/>
      <c r="M42" s="44"/>
      <c r="N42" s="44"/>
    </row>
    <row r="43" spans="1:15" ht="24" customHeight="1">
      <c r="A43" s="5" t="s">
        <v>59</v>
      </c>
    </row>
    <row r="44" spans="1:15" ht="24" customHeight="1">
      <c r="B44" s="13" t="s">
        <v>60</v>
      </c>
      <c r="C44" s="139" t="s">
        <v>61</v>
      </c>
      <c r="D44" s="140"/>
      <c r="E44" s="140"/>
      <c r="F44" s="140"/>
      <c r="G44" s="140"/>
      <c r="H44" s="140"/>
      <c r="I44" s="10" t="s">
        <v>62</v>
      </c>
      <c r="J44" s="11"/>
      <c r="K44" s="121" t="s">
        <v>63</v>
      </c>
      <c r="L44" s="122"/>
      <c r="M44" s="122"/>
      <c r="N44" s="128"/>
      <c r="O44" s="5" t="str">
        <f>IF(OR(C44="",K44=""),"入力してください","")</f>
        <v/>
      </c>
    </row>
    <row r="45" spans="1:15" ht="24" customHeight="1">
      <c r="B45" s="9" t="s">
        <v>64</v>
      </c>
      <c r="C45" s="133" t="s">
        <v>65</v>
      </c>
      <c r="D45" s="134"/>
      <c r="E45" s="134"/>
      <c r="F45" s="134"/>
      <c r="G45" s="134"/>
      <c r="H45" s="135"/>
      <c r="I45" s="10" t="s">
        <v>66</v>
      </c>
      <c r="J45" s="11"/>
      <c r="K45" s="136" t="s">
        <v>67</v>
      </c>
      <c r="L45" s="137"/>
      <c r="M45" s="137"/>
      <c r="N45" s="138"/>
      <c r="O45" s="5"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57239004-E14A-4784-A8FE-6B9B83A2F22E}"/>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C7C8A-0598-479E-A631-093D4743B865}">
  <dimension ref="A1:Z98"/>
  <sheetViews>
    <sheetView showZeros="0" zoomScaleNormal="100" zoomScaleSheetLayoutView="100" workbookViewId="0"/>
  </sheetViews>
  <sheetFormatPr defaultColWidth="9" defaultRowHeight="18.75" customHeight="1"/>
  <cols>
    <col min="1" max="1" width="2.5" style="4" customWidth="1"/>
    <col min="2" max="2" width="27.62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228" t="s">
        <v>68</v>
      </c>
      <c r="X1" s="228"/>
      <c r="Y1" s="228"/>
      <c r="Z1" s="228"/>
    </row>
    <row r="2" spans="1:26" ht="18" customHeight="1">
      <c r="A2" s="229" t="s">
        <v>69</v>
      </c>
      <c r="B2" s="229"/>
      <c r="C2" s="229"/>
      <c r="D2" s="229"/>
      <c r="E2" s="229"/>
      <c r="F2" s="229"/>
      <c r="G2" s="229"/>
      <c r="H2" s="229"/>
      <c r="I2" s="229"/>
      <c r="J2" s="229"/>
      <c r="K2" s="229"/>
      <c r="L2" s="229"/>
      <c r="M2" s="229"/>
      <c r="N2" s="229"/>
      <c r="O2" s="229"/>
      <c r="P2" s="229"/>
      <c r="Q2" s="229"/>
      <c r="R2" s="229"/>
      <c r="S2" s="229"/>
      <c r="T2" s="229"/>
      <c r="U2" s="229"/>
      <c r="V2" s="229"/>
      <c r="W2" s="229"/>
      <c r="X2" s="229"/>
      <c r="Y2" s="229"/>
      <c r="Z2" s="229"/>
    </row>
    <row r="3" spans="1:26" ht="15" customHeight="1">
      <c r="B3" s="12"/>
      <c r="C3" s="12"/>
      <c r="D3" s="12"/>
      <c r="E3" s="12"/>
      <c r="F3" s="12"/>
      <c r="G3" s="12"/>
      <c r="H3" s="12"/>
      <c r="I3" s="12"/>
      <c r="J3" s="12"/>
      <c r="K3" s="12"/>
      <c r="L3" s="12"/>
      <c r="M3" s="12"/>
      <c r="N3" s="12"/>
      <c r="O3" s="12"/>
      <c r="P3" s="12"/>
      <c r="Q3" s="12"/>
      <c r="R3" s="12"/>
      <c r="S3" s="12"/>
      <c r="T3" s="12"/>
      <c r="U3" s="12"/>
      <c r="V3" s="12"/>
      <c r="W3" s="12"/>
      <c r="X3" s="12"/>
      <c r="Y3" s="12"/>
      <c r="Z3" s="12"/>
    </row>
    <row r="4" spans="1:26" ht="18" customHeight="1">
      <c r="A4" s="4" t="s">
        <v>70</v>
      </c>
      <c r="B4" s="12"/>
      <c r="C4" s="12"/>
      <c r="D4" s="12"/>
      <c r="E4" s="12"/>
      <c r="F4" s="12"/>
      <c r="G4" s="12"/>
      <c r="H4" s="5" t="s">
        <v>71</v>
      </c>
      <c r="I4" s="12"/>
      <c r="J4" s="12"/>
      <c r="K4" s="12"/>
      <c r="L4" s="12"/>
      <c r="M4" s="12"/>
      <c r="N4" s="12"/>
      <c r="O4" s="113" t="s">
        <v>72</v>
      </c>
      <c r="P4" s="114"/>
      <c r="Q4" s="114"/>
      <c r="R4" s="114"/>
      <c r="S4" s="114"/>
      <c r="T4" s="114"/>
      <c r="U4" s="114"/>
      <c r="V4" s="114"/>
      <c r="W4" s="114"/>
      <c r="X4" s="114"/>
      <c r="Y4" s="114"/>
      <c r="Z4" s="115"/>
    </row>
    <row r="5" spans="1:26" ht="6" customHeight="1">
      <c r="B5" s="12"/>
      <c r="C5" s="12"/>
      <c r="D5" s="12"/>
      <c r="E5" s="12"/>
      <c r="F5" s="12"/>
      <c r="G5" s="12"/>
      <c r="H5" s="12"/>
      <c r="I5" s="12"/>
      <c r="J5" s="12"/>
      <c r="K5" s="12"/>
      <c r="L5" s="12"/>
      <c r="M5" s="12"/>
      <c r="N5" s="12"/>
      <c r="O5" s="6"/>
      <c r="P5" s="12"/>
      <c r="Q5" s="12"/>
      <c r="R5" s="12"/>
      <c r="S5" s="12"/>
      <c r="T5" s="12"/>
      <c r="U5" s="12"/>
      <c r="V5" s="12"/>
      <c r="W5" s="12"/>
      <c r="X5" s="12"/>
      <c r="Y5" s="12"/>
      <c r="Z5" s="12"/>
    </row>
    <row r="6" spans="1:26" ht="18" customHeight="1">
      <c r="B6" s="230" t="s">
        <v>207</v>
      </c>
      <c r="C6" s="231"/>
      <c r="D6" s="231"/>
      <c r="E6" s="231"/>
      <c r="F6" s="231"/>
      <c r="G6" s="231"/>
      <c r="H6" s="231"/>
      <c r="I6" s="231"/>
      <c r="J6" s="231"/>
      <c r="K6" s="231"/>
      <c r="L6" s="231"/>
      <c r="M6" s="231"/>
      <c r="N6" s="231"/>
      <c r="O6" s="231"/>
      <c r="P6" s="231"/>
      <c r="Q6" s="231"/>
      <c r="R6" s="231"/>
      <c r="S6" s="231"/>
      <c r="T6" s="231"/>
      <c r="U6" s="231"/>
      <c r="V6" s="231"/>
      <c r="W6" s="231"/>
      <c r="X6" s="231"/>
      <c r="Y6" s="231"/>
      <c r="Z6" s="232"/>
    </row>
    <row r="7" spans="1:26" ht="18" customHeight="1">
      <c r="B7" s="233"/>
      <c r="C7" s="234"/>
      <c r="D7" s="234"/>
      <c r="E7" s="234"/>
      <c r="F7" s="234"/>
      <c r="G7" s="234"/>
      <c r="H7" s="234"/>
      <c r="I7" s="234"/>
      <c r="J7" s="234"/>
      <c r="K7" s="234"/>
      <c r="L7" s="234"/>
      <c r="M7" s="234"/>
      <c r="N7" s="234"/>
      <c r="O7" s="234"/>
      <c r="P7" s="234"/>
      <c r="Q7" s="234"/>
      <c r="R7" s="234"/>
      <c r="S7" s="234"/>
      <c r="T7" s="234"/>
      <c r="U7" s="234"/>
      <c r="V7" s="234"/>
      <c r="W7" s="234"/>
      <c r="X7" s="234"/>
      <c r="Y7" s="234"/>
      <c r="Z7" s="235"/>
    </row>
    <row r="8" spans="1:26" ht="18" customHeight="1">
      <c r="B8" s="233"/>
      <c r="C8" s="234"/>
      <c r="D8" s="234"/>
      <c r="E8" s="234"/>
      <c r="F8" s="234"/>
      <c r="G8" s="234"/>
      <c r="H8" s="234"/>
      <c r="I8" s="234"/>
      <c r="J8" s="234"/>
      <c r="K8" s="234"/>
      <c r="L8" s="234"/>
      <c r="M8" s="234"/>
      <c r="N8" s="234"/>
      <c r="O8" s="234"/>
      <c r="P8" s="234"/>
      <c r="Q8" s="234"/>
      <c r="R8" s="234"/>
      <c r="S8" s="234"/>
      <c r="T8" s="234"/>
      <c r="U8" s="234"/>
      <c r="V8" s="234"/>
      <c r="W8" s="234"/>
      <c r="X8" s="234"/>
      <c r="Y8" s="234"/>
      <c r="Z8" s="235"/>
    </row>
    <row r="9" spans="1:26" ht="18" customHeight="1">
      <c r="B9" s="233"/>
      <c r="C9" s="234"/>
      <c r="D9" s="234"/>
      <c r="E9" s="234"/>
      <c r="F9" s="234"/>
      <c r="G9" s="234"/>
      <c r="H9" s="234"/>
      <c r="I9" s="234"/>
      <c r="J9" s="234"/>
      <c r="K9" s="234"/>
      <c r="L9" s="234"/>
      <c r="M9" s="234"/>
      <c r="N9" s="234"/>
      <c r="O9" s="234"/>
      <c r="P9" s="234"/>
      <c r="Q9" s="234"/>
      <c r="R9" s="234"/>
      <c r="S9" s="234"/>
      <c r="T9" s="234"/>
      <c r="U9" s="234"/>
      <c r="V9" s="234"/>
      <c r="W9" s="234"/>
      <c r="X9" s="234"/>
      <c r="Y9" s="234"/>
      <c r="Z9" s="235"/>
    </row>
    <row r="10" spans="1:26" ht="18" customHeight="1">
      <c r="B10" s="233"/>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5"/>
    </row>
    <row r="11" spans="1:26" ht="41.25" customHeight="1">
      <c r="B11" s="236"/>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8"/>
    </row>
    <row r="12" spans="1:26" ht="7.5" customHeight="1">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ht="18" customHeight="1">
      <c r="A13" s="221" t="s">
        <v>73</v>
      </c>
      <c r="B13" s="221"/>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row>
    <row r="14" spans="1:26" ht="18" customHeight="1">
      <c r="A14" s="221"/>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row>
    <row r="15" spans="1:26" ht="18" customHeight="1">
      <c r="A15" s="5"/>
      <c r="B15" s="113" t="s">
        <v>74</v>
      </c>
      <c r="C15" s="114"/>
      <c r="D15" s="114"/>
      <c r="E15" s="114"/>
      <c r="F15" s="115"/>
      <c r="G15" s="13" t="s">
        <v>75</v>
      </c>
      <c r="H15" s="63" t="s">
        <v>76</v>
      </c>
      <c r="I15" s="114" t="s">
        <v>77</v>
      </c>
      <c r="J15" s="114"/>
      <c r="K15" s="114"/>
      <c r="L15" s="46" t="s">
        <v>78</v>
      </c>
      <c r="M15" s="46" t="s">
        <v>79</v>
      </c>
      <c r="N15" s="113" t="s">
        <v>74</v>
      </c>
      <c r="O15" s="114"/>
      <c r="P15" s="114"/>
      <c r="Q15" s="114"/>
      <c r="R15" s="114"/>
      <c r="S15" s="115"/>
      <c r="T15" s="13" t="s">
        <v>75</v>
      </c>
      <c r="U15" s="63" t="s">
        <v>76</v>
      </c>
      <c r="V15" s="114" t="s">
        <v>77</v>
      </c>
      <c r="W15" s="114"/>
      <c r="X15" s="114"/>
      <c r="Y15" s="46" t="s">
        <v>78</v>
      </c>
      <c r="Z15" s="46" t="s">
        <v>79</v>
      </c>
    </row>
    <row r="16" spans="1:26" ht="18" customHeight="1">
      <c r="A16" s="5"/>
      <c r="B16" s="225" t="s">
        <v>80</v>
      </c>
      <c r="C16" s="226"/>
      <c r="D16" s="226"/>
      <c r="E16" s="226"/>
      <c r="F16" s="227"/>
      <c r="G16" s="64">
        <v>2</v>
      </c>
      <c r="H16" s="64"/>
      <c r="I16" s="215" t="s">
        <v>81</v>
      </c>
      <c r="J16" s="216"/>
      <c r="K16" s="217"/>
      <c r="L16" s="64" t="s">
        <v>82</v>
      </c>
      <c r="M16" s="64" t="s">
        <v>82</v>
      </c>
      <c r="N16" s="200"/>
      <c r="O16" s="201"/>
      <c r="P16" s="201"/>
      <c r="Q16" s="201"/>
      <c r="R16" s="201"/>
      <c r="S16" s="202"/>
      <c r="T16" s="64"/>
      <c r="U16" s="64"/>
      <c r="V16" s="215"/>
      <c r="W16" s="216"/>
      <c r="X16" s="217"/>
      <c r="Y16" s="64"/>
      <c r="Z16" s="64"/>
    </row>
    <row r="17" spans="1:26" ht="18" customHeight="1">
      <c r="A17" s="5"/>
      <c r="B17" s="222" t="s">
        <v>88</v>
      </c>
      <c r="C17" s="223"/>
      <c r="D17" s="223"/>
      <c r="E17" s="223"/>
      <c r="F17" s="224"/>
      <c r="G17" s="65">
        <v>2</v>
      </c>
      <c r="H17" s="65"/>
      <c r="I17" s="212" t="s">
        <v>89</v>
      </c>
      <c r="J17" s="213"/>
      <c r="K17" s="214"/>
      <c r="L17" s="65" t="s">
        <v>82</v>
      </c>
      <c r="M17" s="65" t="s">
        <v>82</v>
      </c>
      <c r="N17" s="194"/>
      <c r="O17" s="195"/>
      <c r="P17" s="195"/>
      <c r="Q17" s="195"/>
      <c r="R17" s="195"/>
      <c r="S17" s="196"/>
      <c r="T17" s="65"/>
      <c r="U17" s="65"/>
      <c r="V17" s="212"/>
      <c r="W17" s="213"/>
      <c r="X17" s="214"/>
      <c r="Y17" s="65"/>
      <c r="Z17" s="65"/>
    </row>
    <row r="18" spans="1:26" ht="18" customHeight="1">
      <c r="A18" s="5"/>
      <c r="B18" s="222"/>
      <c r="C18" s="223"/>
      <c r="D18" s="223"/>
      <c r="E18" s="223"/>
      <c r="F18" s="224"/>
      <c r="G18" s="65"/>
      <c r="H18" s="65"/>
      <c r="I18" s="212"/>
      <c r="J18" s="213"/>
      <c r="K18" s="214"/>
      <c r="L18" s="65"/>
      <c r="M18" s="65"/>
      <c r="N18" s="194"/>
      <c r="O18" s="195"/>
      <c r="P18" s="195"/>
      <c r="Q18" s="195"/>
      <c r="R18" s="195"/>
      <c r="S18" s="196"/>
      <c r="T18" s="65"/>
      <c r="U18" s="65"/>
      <c r="V18" s="212"/>
      <c r="W18" s="213"/>
      <c r="X18" s="214"/>
      <c r="Y18" s="65"/>
      <c r="Z18" s="65"/>
    </row>
    <row r="19" spans="1:26" ht="18" customHeight="1">
      <c r="A19" s="5"/>
      <c r="B19" s="222"/>
      <c r="C19" s="223"/>
      <c r="D19" s="223"/>
      <c r="E19" s="223"/>
      <c r="F19" s="224"/>
      <c r="G19" s="65"/>
      <c r="H19" s="65"/>
      <c r="I19" s="212"/>
      <c r="J19" s="213"/>
      <c r="K19" s="214"/>
      <c r="L19" s="65"/>
      <c r="M19" s="65"/>
      <c r="N19" s="194"/>
      <c r="O19" s="195"/>
      <c r="P19" s="195"/>
      <c r="Q19" s="195"/>
      <c r="R19" s="195"/>
      <c r="S19" s="196"/>
      <c r="T19" s="65"/>
      <c r="U19" s="65"/>
      <c r="V19" s="212"/>
      <c r="W19" s="213"/>
      <c r="X19" s="214"/>
      <c r="Y19" s="65"/>
      <c r="Z19" s="65"/>
    </row>
    <row r="20" spans="1:26" ht="18" customHeight="1">
      <c r="A20" s="5"/>
      <c r="B20" s="222"/>
      <c r="C20" s="223"/>
      <c r="D20" s="223"/>
      <c r="E20" s="223"/>
      <c r="F20" s="224"/>
      <c r="G20" s="65"/>
      <c r="H20" s="65"/>
      <c r="I20" s="212"/>
      <c r="J20" s="213"/>
      <c r="K20" s="214"/>
      <c r="L20" s="65"/>
      <c r="M20" s="65"/>
      <c r="N20" s="194"/>
      <c r="O20" s="195"/>
      <c r="P20" s="195"/>
      <c r="Q20" s="195"/>
      <c r="R20" s="195"/>
      <c r="S20" s="196"/>
      <c r="T20" s="65"/>
      <c r="U20" s="65"/>
      <c r="V20" s="212"/>
      <c r="W20" s="213"/>
      <c r="X20" s="214"/>
      <c r="Y20" s="65"/>
      <c r="Z20" s="65"/>
    </row>
    <row r="21" spans="1:26" ht="18" customHeight="1">
      <c r="A21" s="12"/>
      <c r="B21" s="222"/>
      <c r="C21" s="223"/>
      <c r="D21" s="223"/>
      <c r="E21" s="223"/>
      <c r="F21" s="224"/>
      <c r="G21" s="65"/>
      <c r="H21" s="65"/>
      <c r="I21" s="212"/>
      <c r="J21" s="213"/>
      <c r="K21" s="214"/>
      <c r="L21" s="65"/>
      <c r="M21" s="65"/>
      <c r="N21" s="194"/>
      <c r="O21" s="195"/>
      <c r="P21" s="195"/>
      <c r="Q21" s="195"/>
      <c r="R21" s="195"/>
      <c r="S21" s="196"/>
      <c r="T21" s="65"/>
      <c r="U21" s="65"/>
      <c r="V21" s="212"/>
      <c r="W21" s="213"/>
      <c r="X21" s="214"/>
      <c r="Y21" s="65"/>
      <c r="Z21" s="65"/>
    </row>
    <row r="22" spans="1:26" ht="18" customHeight="1">
      <c r="A22" s="12"/>
      <c r="B22" s="218"/>
      <c r="C22" s="219"/>
      <c r="D22" s="219"/>
      <c r="E22" s="219"/>
      <c r="F22" s="220"/>
      <c r="G22" s="66"/>
      <c r="H22" s="66"/>
      <c r="I22" s="206"/>
      <c r="J22" s="207"/>
      <c r="K22" s="208"/>
      <c r="L22" s="68"/>
      <c r="M22" s="68"/>
      <c r="N22" s="180"/>
      <c r="O22" s="181"/>
      <c r="P22" s="181"/>
      <c r="Q22" s="181"/>
      <c r="R22" s="181"/>
      <c r="S22" s="182"/>
      <c r="T22" s="66"/>
      <c r="U22" s="66"/>
      <c r="V22" s="206"/>
      <c r="W22" s="207"/>
      <c r="X22" s="208"/>
      <c r="Y22" s="68"/>
      <c r="Z22" s="68"/>
    </row>
    <row r="23" spans="1:26" ht="7.5" customHeight="1">
      <c r="A23" s="12"/>
      <c r="B23" s="44"/>
      <c r="C23" s="44"/>
      <c r="D23" s="12"/>
      <c r="E23" s="12"/>
      <c r="F23" s="12"/>
      <c r="G23" s="12"/>
      <c r="H23" s="12"/>
      <c r="I23" s="12"/>
      <c r="J23" s="12"/>
      <c r="K23" s="12"/>
      <c r="L23" s="44"/>
      <c r="M23" s="44"/>
      <c r="N23" s="44"/>
      <c r="O23" s="44"/>
      <c r="P23" s="44"/>
      <c r="Q23" s="44"/>
      <c r="R23" s="44"/>
      <c r="S23" s="44"/>
      <c r="T23" s="44"/>
      <c r="U23" s="44"/>
      <c r="V23" s="44"/>
      <c r="W23" s="44"/>
      <c r="X23" s="44"/>
      <c r="Y23" s="44"/>
      <c r="Z23" s="12"/>
    </row>
    <row r="24" spans="1:26" ht="18" customHeight="1">
      <c r="A24" s="221" t="s">
        <v>83</v>
      </c>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row>
    <row r="25" spans="1:26" ht="18" customHeight="1">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row>
    <row r="26" spans="1:26" ht="18" customHeight="1">
      <c r="A26" s="5"/>
      <c r="B26" s="113" t="s">
        <v>74</v>
      </c>
      <c r="C26" s="114"/>
      <c r="D26" s="114"/>
      <c r="E26" s="114"/>
      <c r="F26" s="115"/>
      <c r="G26" s="13" t="s">
        <v>75</v>
      </c>
      <c r="H26" s="63" t="s">
        <v>76</v>
      </c>
      <c r="I26" s="114" t="s">
        <v>77</v>
      </c>
      <c r="J26" s="114"/>
      <c r="K26" s="114"/>
      <c r="L26" s="46" t="s">
        <v>84</v>
      </c>
      <c r="M26" s="46" t="s">
        <v>85</v>
      </c>
      <c r="N26" s="113" t="s">
        <v>74</v>
      </c>
      <c r="O26" s="114"/>
      <c r="P26" s="114"/>
      <c r="Q26" s="114"/>
      <c r="R26" s="114"/>
      <c r="S26" s="115"/>
      <c r="T26" s="13" t="s">
        <v>75</v>
      </c>
      <c r="U26" s="63" t="s">
        <v>76</v>
      </c>
      <c r="V26" s="114" t="s">
        <v>77</v>
      </c>
      <c r="W26" s="114"/>
      <c r="X26" s="114"/>
      <c r="Y26" s="46" t="s">
        <v>84</v>
      </c>
      <c r="Z26" s="46" t="s">
        <v>85</v>
      </c>
    </row>
    <row r="27" spans="1:26" ht="18" customHeight="1">
      <c r="A27" s="5"/>
      <c r="B27" s="225" t="s">
        <v>86</v>
      </c>
      <c r="C27" s="226"/>
      <c r="D27" s="226"/>
      <c r="E27" s="226"/>
      <c r="F27" s="227"/>
      <c r="G27" s="64">
        <v>2</v>
      </c>
      <c r="H27" s="64"/>
      <c r="I27" s="215" t="s">
        <v>81</v>
      </c>
      <c r="J27" s="216"/>
      <c r="K27" s="217"/>
      <c r="L27" s="64" t="s">
        <v>82</v>
      </c>
      <c r="M27" s="64" t="s">
        <v>82</v>
      </c>
      <c r="N27" s="200"/>
      <c r="O27" s="201"/>
      <c r="P27" s="201"/>
      <c r="Q27" s="201"/>
      <c r="R27" s="201"/>
      <c r="S27" s="202"/>
      <c r="T27" s="64"/>
      <c r="U27" s="64"/>
      <c r="V27" s="215"/>
      <c r="W27" s="216"/>
      <c r="X27" s="217"/>
      <c r="Y27" s="64"/>
      <c r="Z27" s="64"/>
    </row>
    <row r="28" spans="1:26" ht="18" customHeight="1">
      <c r="A28" s="5"/>
      <c r="B28" s="222" t="s">
        <v>87</v>
      </c>
      <c r="C28" s="223"/>
      <c r="D28" s="223"/>
      <c r="E28" s="223"/>
      <c r="F28" s="224"/>
      <c r="G28" s="65">
        <v>2</v>
      </c>
      <c r="H28" s="65"/>
      <c r="I28" s="212" t="s">
        <v>81</v>
      </c>
      <c r="J28" s="213"/>
      <c r="K28" s="214"/>
      <c r="L28" s="65" t="s">
        <v>82</v>
      </c>
      <c r="M28" s="65" t="s">
        <v>82</v>
      </c>
      <c r="N28" s="194"/>
      <c r="O28" s="195"/>
      <c r="P28" s="195"/>
      <c r="Q28" s="195"/>
      <c r="R28" s="195"/>
      <c r="S28" s="196"/>
      <c r="T28" s="65"/>
      <c r="U28" s="65"/>
      <c r="V28" s="212"/>
      <c r="W28" s="213"/>
      <c r="X28" s="214"/>
      <c r="Y28" s="65"/>
      <c r="Z28" s="65"/>
    </row>
    <row r="29" spans="1:26" ht="18" customHeight="1">
      <c r="A29" s="5"/>
      <c r="B29" s="222" t="s">
        <v>88</v>
      </c>
      <c r="C29" s="223"/>
      <c r="D29" s="223"/>
      <c r="E29" s="223"/>
      <c r="F29" s="224"/>
      <c r="G29" s="65">
        <v>2</v>
      </c>
      <c r="H29" s="65"/>
      <c r="I29" s="212" t="s">
        <v>89</v>
      </c>
      <c r="J29" s="213"/>
      <c r="K29" s="214"/>
      <c r="L29" s="65" t="s">
        <v>82</v>
      </c>
      <c r="M29" s="65" t="s">
        <v>82</v>
      </c>
      <c r="N29" s="194"/>
      <c r="O29" s="195"/>
      <c r="P29" s="195"/>
      <c r="Q29" s="195"/>
      <c r="R29" s="195"/>
      <c r="S29" s="196"/>
      <c r="T29" s="65"/>
      <c r="U29" s="65"/>
      <c r="V29" s="212"/>
      <c r="W29" s="213"/>
      <c r="X29" s="214"/>
      <c r="Y29" s="65"/>
      <c r="Z29" s="65"/>
    </row>
    <row r="30" spans="1:26" ht="18" customHeight="1">
      <c r="A30" s="5"/>
      <c r="B30" s="222"/>
      <c r="C30" s="223"/>
      <c r="D30" s="223"/>
      <c r="E30" s="223"/>
      <c r="F30" s="224"/>
      <c r="G30" s="65"/>
      <c r="H30" s="65"/>
      <c r="I30" s="212"/>
      <c r="J30" s="213"/>
      <c r="K30" s="214"/>
      <c r="L30" s="65"/>
      <c r="M30" s="65"/>
      <c r="N30" s="194"/>
      <c r="O30" s="195"/>
      <c r="P30" s="195"/>
      <c r="Q30" s="195"/>
      <c r="R30" s="195"/>
      <c r="S30" s="196"/>
      <c r="T30" s="65"/>
      <c r="U30" s="65"/>
      <c r="V30" s="212"/>
      <c r="W30" s="213"/>
      <c r="X30" s="214"/>
      <c r="Y30" s="65"/>
      <c r="Z30" s="65"/>
    </row>
    <row r="31" spans="1:26" ht="18" customHeight="1">
      <c r="A31" s="5"/>
      <c r="B31" s="222"/>
      <c r="C31" s="223"/>
      <c r="D31" s="223"/>
      <c r="E31" s="223"/>
      <c r="F31" s="224"/>
      <c r="G31" s="65"/>
      <c r="H31" s="65"/>
      <c r="I31" s="212"/>
      <c r="J31" s="213"/>
      <c r="K31" s="214"/>
      <c r="L31" s="65"/>
      <c r="M31" s="65"/>
      <c r="N31" s="194"/>
      <c r="O31" s="195"/>
      <c r="P31" s="195"/>
      <c r="Q31" s="195"/>
      <c r="R31" s="195"/>
      <c r="S31" s="196"/>
      <c r="T31" s="65"/>
      <c r="U31" s="65"/>
      <c r="V31" s="212"/>
      <c r="W31" s="213"/>
      <c r="X31" s="214"/>
      <c r="Y31" s="65"/>
      <c r="Z31" s="65"/>
    </row>
    <row r="32" spans="1:26" ht="18" customHeight="1">
      <c r="A32" s="5"/>
      <c r="B32" s="222"/>
      <c r="C32" s="223"/>
      <c r="D32" s="223"/>
      <c r="E32" s="223"/>
      <c r="F32" s="224"/>
      <c r="G32" s="65"/>
      <c r="H32" s="65"/>
      <c r="I32" s="212"/>
      <c r="J32" s="213"/>
      <c r="K32" s="214"/>
      <c r="L32" s="65"/>
      <c r="M32" s="65"/>
      <c r="N32" s="194"/>
      <c r="O32" s="195"/>
      <c r="P32" s="195"/>
      <c r="Q32" s="195"/>
      <c r="R32" s="195"/>
      <c r="S32" s="196"/>
      <c r="T32" s="65"/>
      <c r="U32" s="65"/>
      <c r="V32" s="212"/>
      <c r="W32" s="213"/>
      <c r="X32" s="214"/>
      <c r="Y32" s="65"/>
      <c r="Z32" s="65"/>
    </row>
    <row r="33" spans="1:26" ht="18" customHeight="1">
      <c r="A33" s="5"/>
      <c r="B33" s="218"/>
      <c r="C33" s="219"/>
      <c r="D33" s="219"/>
      <c r="E33" s="219"/>
      <c r="F33" s="220"/>
      <c r="G33" s="66"/>
      <c r="H33" s="66"/>
      <c r="I33" s="206"/>
      <c r="J33" s="207"/>
      <c r="K33" s="208"/>
      <c r="L33" s="68"/>
      <c r="M33" s="68"/>
      <c r="N33" s="180"/>
      <c r="O33" s="181"/>
      <c r="P33" s="181"/>
      <c r="Q33" s="181"/>
      <c r="R33" s="181"/>
      <c r="S33" s="182"/>
      <c r="T33" s="66"/>
      <c r="U33" s="66"/>
      <c r="V33" s="206"/>
      <c r="W33" s="207"/>
      <c r="X33" s="208"/>
      <c r="Y33" s="68"/>
      <c r="Z33" s="68"/>
    </row>
    <row r="34" spans="1:26" ht="7.5" customHeight="1">
      <c r="A34" s="12"/>
      <c r="B34" s="44"/>
      <c r="C34" s="44"/>
      <c r="D34" s="12"/>
      <c r="E34" s="12"/>
      <c r="F34" s="12"/>
      <c r="G34" s="12"/>
      <c r="H34" s="12"/>
      <c r="I34" s="12"/>
      <c r="J34" s="12"/>
      <c r="K34" s="12"/>
      <c r="L34" s="44"/>
      <c r="M34" s="44"/>
      <c r="N34" s="44"/>
      <c r="O34" s="44"/>
      <c r="P34" s="44"/>
      <c r="Q34" s="44"/>
      <c r="R34" s="44"/>
      <c r="S34" s="44"/>
      <c r="T34" s="44"/>
      <c r="U34" s="44"/>
      <c r="V34" s="44"/>
      <c r="W34" s="44"/>
      <c r="X34" s="44"/>
      <c r="Y34" s="44"/>
      <c r="Z34" s="12"/>
    </row>
    <row r="35" spans="1:26" ht="18" customHeight="1">
      <c r="A35" s="221" t="s">
        <v>90</v>
      </c>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row>
    <row r="36" spans="1:26" ht="18" customHeight="1">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row>
    <row r="37" spans="1:26" ht="18" customHeight="1">
      <c r="A37" s="5"/>
      <c r="B37" s="113" t="s">
        <v>74</v>
      </c>
      <c r="C37" s="114"/>
      <c r="D37" s="114"/>
      <c r="E37" s="114"/>
      <c r="F37" s="115"/>
      <c r="G37" s="13" t="s">
        <v>75</v>
      </c>
      <c r="H37" s="63" t="s">
        <v>76</v>
      </c>
      <c r="I37" s="113" t="s">
        <v>77</v>
      </c>
      <c r="J37" s="114"/>
      <c r="K37" s="115"/>
      <c r="L37" s="46" t="s">
        <v>91</v>
      </c>
      <c r="M37" s="46" t="s">
        <v>92</v>
      </c>
      <c r="N37" s="113" t="s">
        <v>74</v>
      </c>
      <c r="O37" s="114"/>
      <c r="P37" s="114"/>
      <c r="Q37" s="114"/>
      <c r="R37" s="114"/>
      <c r="S37" s="115"/>
      <c r="T37" s="13" t="s">
        <v>75</v>
      </c>
      <c r="U37" s="63" t="s">
        <v>76</v>
      </c>
      <c r="V37" s="113" t="s">
        <v>77</v>
      </c>
      <c r="W37" s="114"/>
      <c r="X37" s="115"/>
      <c r="Y37" s="46" t="s">
        <v>91</v>
      </c>
      <c r="Z37" s="46" t="s">
        <v>92</v>
      </c>
    </row>
    <row r="38" spans="1:26" ht="18" customHeight="1">
      <c r="A38" s="12"/>
      <c r="B38" s="225" t="s">
        <v>93</v>
      </c>
      <c r="C38" s="226"/>
      <c r="D38" s="226"/>
      <c r="E38" s="226"/>
      <c r="F38" s="227"/>
      <c r="G38" s="64">
        <v>2</v>
      </c>
      <c r="H38" s="64"/>
      <c r="I38" s="215" t="s">
        <v>81</v>
      </c>
      <c r="J38" s="216"/>
      <c r="K38" s="217"/>
      <c r="L38" s="64" t="s">
        <v>82</v>
      </c>
      <c r="M38" s="64" t="s">
        <v>82</v>
      </c>
      <c r="N38" s="200"/>
      <c r="O38" s="201"/>
      <c r="P38" s="201"/>
      <c r="Q38" s="201"/>
      <c r="R38" s="201"/>
      <c r="S38" s="202"/>
      <c r="T38" s="64"/>
      <c r="U38" s="64"/>
      <c r="V38" s="215"/>
      <c r="W38" s="216"/>
      <c r="X38" s="217"/>
      <c r="Y38" s="64"/>
      <c r="Z38" s="64"/>
    </row>
    <row r="39" spans="1:26" ht="18" customHeight="1">
      <c r="A39" s="12"/>
      <c r="B39" s="222" t="s">
        <v>94</v>
      </c>
      <c r="C39" s="223"/>
      <c r="D39" s="223"/>
      <c r="E39" s="223"/>
      <c r="F39" s="224"/>
      <c r="G39" s="65">
        <v>2</v>
      </c>
      <c r="H39" s="65"/>
      <c r="I39" s="212" t="s">
        <v>81</v>
      </c>
      <c r="J39" s="213"/>
      <c r="K39" s="214"/>
      <c r="L39" s="65" t="s">
        <v>82</v>
      </c>
      <c r="M39" s="65" t="s">
        <v>82</v>
      </c>
      <c r="N39" s="194"/>
      <c r="O39" s="195"/>
      <c r="P39" s="195"/>
      <c r="Q39" s="195"/>
      <c r="R39" s="195"/>
      <c r="S39" s="196"/>
      <c r="T39" s="65"/>
      <c r="U39" s="65"/>
      <c r="V39" s="212"/>
      <c r="W39" s="213"/>
      <c r="X39" s="214"/>
      <c r="Y39" s="65"/>
      <c r="Z39" s="65"/>
    </row>
    <row r="40" spans="1:26" ht="18" customHeight="1">
      <c r="A40" s="12"/>
      <c r="B40" s="222" t="s">
        <v>80</v>
      </c>
      <c r="C40" s="223"/>
      <c r="D40" s="223"/>
      <c r="E40" s="223"/>
      <c r="F40" s="224"/>
      <c r="G40" s="65">
        <v>2</v>
      </c>
      <c r="H40" s="65"/>
      <c r="I40" s="212" t="s">
        <v>81</v>
      </c>
      <c r="J40" s="213"/>
      <c r="K40" s="214"/>
      <c r="L40" s="65" t="s">
        <v>82</v>
      </c>
      <c r="M40" s="65" t="s">
        <v>82</v>
      </c>
      <c r="N40" s="194"/>
      <c r="O40" s="195"/>
      <c r="P40" s="195"/>
      <c r="Q40" s="195"/>
      <c r="R40" s="195"/>
      <c r="S40" s="196"/>
      <c r="T40" s="65"/>
      <c r="U40" s="65"/>
      <c r="V40" s="212"/>
      <c r="W40" s="213"/>
      <c r="X40" s="214"/>
      <c r="Y40" s="65"/>
      <c r="Z40" s="65"/>
    </row>
    <row r="41" spans="1:26" ht="18" customHeight="1">
      <c r="A41" s="12"/>
      <c r="B41" s="222" t="s">
        <v>95</v>
      </c>
      <c r="C41" s="223"/>
      <c r="D41" s="223"/>
      <c r="E41" s="223"/>
      <c r="F41" s="224"/>
      <c r="G41" s="65">
        <v>2</v>
      </c>
      <c r="H41" s="65"/>
      <c r="I41" s="212" t="s">
        <v>89</v>
      </c>
      <c r="J41" s="213"/>
      <c r="K41" s="214"/>
      <c r="L41" s="65" t="s">
        <v>82</v>
      </c>
      <c r="M41" s="65" t="s">
        <v>82</v>
      </c>
      <c r="N41" s="194"/>
      <c r="O41" s="195"/>
      <c r="P41" s="195"/>
      <c r="Q41" s="195"/>
      <c r="R41" s="195"/>
      <c r="S41" s="196"/>
      <c r="T41" s="65"/>
      <c r="U41" s="65"/>
      <c r="V41" s="212"/>
      <c r="W41" s="213"/>
      <c r="X41" s="214"/>
      <c r="Y41" s="65"/>
      <c r="Z41" s="65"/>
    </row>
    <row r="42" spans="1:26" ht="18" customHeight="1">
      <c r="A42" s="12"/>
      <c r="B42" s="222"/>
      <c r="C42" s="223"/>
      <c r="D42" s="223"/>
      <c r="E42" s="223"/>
      <c r="F42" s="224"/>
      <c r="G42" s="65"/>
      <c r="H42" s="65"/>
      <c r="I42" s="212"/>
      <c r="J42" s="213"/>
      <c r="K42" s="214"/>
      <c r="L42" s="65"/>
      <c r="M42" s="65"/>
      <c r="N42" s="194"/>
      <c r="O42" s="195"/>
      <c r="P42" s="195"/>
      <c r="Q42" s="195"/>
      <c r="R42" s="195"/>
      <c r="S42" s="196"/>
      <c r="T42" s="65"/>
      <c r="U42" s="65"/>
      <c r="V42" s="212"/>
      <c r="W42" s="213"/>
      <c r="X42" s="214"/>
      <c r="Y42" s="65"/>
      <c r="Z42" s="65"/>
    </row>
    <row r="43" spans="1:26" ht="18" customHeight="1">
      <c r="A43" s="12"/>
      <c r="B43" s="222"/>
      <c r="C43" s="223"/>
      <c r="D43" s="223"/>
      <c r="E43" s="223"/>
      <c r="F43" s="224"/>
      <c r="G43" s="65"/>
      <c r="H43" s="65"/>
      <c r="I43" s="212"/>
      <c r="J43" s="213"/>
      <c r="K43" s="214"/>
      <c r="L43" s="65"/>
      <c r="M43" s="65"/>
      <c r="N43" s="194"/>
      <c r="O43" s="195"/>
      <c r="P43" s="195"/>
      <c r="Q43" s="195"/>
      <c r="R43" s="195"/>
      <c r="S43" s="196"/>
      <c r="T43" s="65"/>
      <c r="U43" s="65"/>
      <c r="V43" s="212"/>
      <c r="W43" s="213"/>
      <c r="X43" s="214"/>
      <c r="Y43" s="65"/>
      <c r="Z43" s="65"/>
    </row>
    <row r="44" spans="1:26" ht="18" customHeight="1">
      <c r="A44" s="12"/>
      <c r="B44" s="218"/>
      <c r="C44" s="219"/>
      <c r="D44" s="219"/>
      <c r="E44" s="219"/>
      <c r="F44" s="220"/>
      <c r="G44" s="66"/>
      <c r="H44" s="66"/>
      <c r="I44" s="206"/>
      <c r="J44" s="207"/>
      <c r="K44" s="208"/>
      <c r="L44" s="68"/>
      <c r="M44" s="68"/>
      <c r="N44" s="180"/>
      <c r="O44" s="181"/>
      <c r="P44" s="181"/>
      <c r="Q44" s="181"/>
      <c r="R44" s="181"/>
      <c r="S44" s="182"/>
      <c r="T44" s="66"/>
      <c r="U44" s="66"/>
      <c r="V44" s="206"/>
      <c r="W44" s="207"/>
      <c r="X44" s="208"/>
      <c r="Y44" s="68"/>
      <c r="Z44" s="68"/>
    </row>
    <row r="45" spans="1:26" ht="7.5" customHeight="1">
      <c r="B45" s="47"/>
      <c r="C45" s="47"/>
      <c r="D45" s="47"/>
      <c r="E45" s="47"/>
      <c r="F45" s="47"/>
      <c r="G45" s="47"/>
      <c r="H45" s="47"/>
      <c r="I45" s="47"/>
      <c r="J45" s="47"/>
      <c r="K45" s="47"/>
      <c r="L45" s="47"/>
      <c r="M45" s="47"/>
      <c r="N45" s="47"/>
      <c r="O45" s="47"/>
      <c r="P45" s="47"/>
      <c r="Q45" s="47"/>
      <c r="R45" s="47"/>
      <c r="S45" s="47"/>
      <c r="T45" s="47"/>
      <c r="U45" s="47"/>
      <c r="V45" s="47"/>
      <c r="W45" s="47"/>
      <c r="X45" s="47"/>
      <c r="Y45" s="47"/>
    </row>
    <row r="46" spans="1:26" ht="18" customHeight="1">
      <c r="A46" s="221" t="s">
        <v>96</v>
      </c>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spans="1:26" ht="18" customHeight="1">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spans="1:26" ht="18" customHeight="1">
      <c r="A48" s="5"/>
      <c r="B48" s="113" t="s">
        <v>74</v>
      </c>
      <c r="C48" s="114"/>
      <c r="D48" s="114"/>
      <c r="E48" s="114"/>
      <c r="F48" s="115"/>
      <c r="G48" s="13" t="s">
        <v>75</v>
      </c>
      <c r="H48" s="63" t="s">
        <v>76</v>
      </c>
      <c r="I48" s="113" t="s">
        <v>77</v>
      </c>
      <c r="J48" s="114"/>
      <c r="K48" s="115"/>
      <c r="L48" s="46" t="s">
        <v>97</v>
      </c>
      <c r="M48" s="46" t="s">
        <v>98</v>
      </c>
      <c r="N48" s="113" t="s">
        <v>74</v>
      </c>
      <c r="O48" s="114"/>
      <c r="P48" s="114"/>
      <c r="Q48" s="114"/>
      <c r="R48" s="114"/>
      <c r="S48" s="115"/>
      <c r="T48" s="13" t="s">
        <v>75</v>
      </c>
      <c r="U48" s="63" t="s">
        <v>76</v>
      </c>
      <c r="V48" s="113" t="s">
        <v>77</v>
      </c>
      <c r="W48" s="114"/>
      <c r="X48" s="115"/>
      <c r="Y48" s="46" t="s">
        <v>97</v>
      </c>
      <c r="Z48" s="46" t="s">
        <v>98</v>
      </c>
    </row>
    <row r="49" spans="1:26" ht="18" customHeight="1">
      <c r="A49" s="12"/>
      <c r="B49" s="225" t="s">
        <v>86</v>
      </c>
      <c r="C49" s="226"/>
      <c r="D49" s="226"/>
      <c r="E49" s="226"/>
      <c r="F49" s="227"/>
      <c r="G49" s="64">
        <v>2</v>
      </c>
      <c r="H49" s="64"/>
      <c r="I49" s="215" t="s">
        <v>81</v>
      </c>
      <c r="J49" s="216"/>
      <c r="K49" s="217"/>
      <c r="L49" s="64" t="s">
        <v>82</v>
      </c>
      <c r="M49" s="64" t="s">
        <v>82</v>
      </c>
      <c r="N49" s="200"/>
      <c r="O49" s="201"/>
      <c r="P49" s="201"/>
      <c r="Q49" s="201"/>
      <c r="R49" s="201"/>
      <c r="S49" s="202"/>
      <c r="T49" s="64"/>
      <c r="U49" s="64"/>
      <c r="V49" s="215"/>
      <c r="W49" s="216"/>
      <c r="X49" s="217"/>
      <c r="Y49" s="64"/>
      <c r="Z49" s="64"/>
    </row>
    <row r="50" spans="1:26" ht="18" customHeight="1">
      <c r="A50" s="12"/>
      <c r="B50" s="222" t="s">
        <v>87</v>
      </c>
      <c r="C50" s="223"/>
      <c r="D50" s="223"/>
      <c r="E50" s="223"/>
      <c r="F50" s="224"/>
      <c r="G50" s="65">
        <v>2</v>
      </c>
      <c r="H50" s="65"/>
      <c r="I50" s="212" t="s">
        <v>81</v>
      </c>
      <c r="J50" s="213"/>
      <c r="K50" s="214"/>
      <c r="L50" s="65" t="s">
        <v>82</v>
      </c>
      <c r="M50" s="65" t="s">
        <v>82</v>
      </c>
      <c r="N50" s="194"/>
      <c r="O50" s="195"/>
      <c r="P50" s="195"/>
      <c r="Q50" s="195"/>
      <c r="R50" s="195"/>
      <c r="S50" s="196"/>
      <c r="T50" s="65"/>
      <c r="U50" s="65"/>
      <c r="V50" s="212"/>
      <c r="W50" s="213"/>
      <c r="X50" s="214"/>
      <c r="Y50" s="65"/>
      <c r="Z50" s="65"/>
    </row>
    <row r="51" spans="1:26" ht="18" customHeight="1">
      <c r="A51" s="12"/>
      <c r="B51" s="222" t="s">
        <v>88</v>
      </c>
      <c r="C51" s="223"/>
      <c r="D51" s="223"/>
      <c r="E51" s="223"/>
      <c r="F51" s="224"/>
      <c r="G51" s="65">
        <v>2</v>
      </c>
      <c r="H51" s="65"/>
      <c r="I51" s="212" t="s">
        <v>89</v>
      </c>
      <c r="J51" s="213"/>
      <c r="K51" s="214"/>
      <c r="L51" s="65" t="s">
        <v>82</v>
      </c>
      <c r="M51" s="65" t="s">
        <v>82</v>
      </c>
      <c r="N51" s="194"/>
      <c r="O51" s="195"/>
      <c r="P51" s="195"/>
      <c r="Q51" s="195"/>
      <c r="R51" s="195"/>
      <c r="S51" s="196"/>
      <c r="T51" s="65"/>
      <c r="U51" s="65"/>
      <c r="V51" s="212"/>
      <c r="W51" s="213"/>
      <c r="X51" s="214"/>
      <c r="Y51" s="65"/>
      <c r="Z51" s="65"/>
    </row>
    <row r="52" spans="1:26" ht="18" customHeight="1">
      <c r="A52" s="12"/>
      <c r="B52" s="222"/>
      <c r="C52" s="223"/>
      <c r="D52" s="223"/>
      <c r="E52" s="223"/>
      <c r="F52" s="224"/>
      <c r="G52" s="65"/>
      <c r="H52" s="65"/>
      <c r="I52" s="212"/>
      <c r="J52" s="213"/>
      <c r="K52" s="214"/>
      <c r="L52" s="65"/>
      <c r="M52" s="65"/>
      <c r="N52" s="194"/>
      <c r="O52" s="195"/>
      <c r="P52" s="195"/>
      <c r="Q52" s="195"/>
      <c r="R52" s="195"/>
      <c r="S52" s="196"/>
      <c r="T52" s="65"/>
      <c r="U52" s="65"/>
      <c r="V52" s="212"/>
      <c r="W52" s="213"/>
      <c r="X52" s="214"/>
      <c r="Y52" s="65"/>
      <c r="Z52" s="65"/>
    </row>
    <row r="53" spans="1:26" ht="18" customHeight="1">
      <c r="A53" s="12"/>
      <c r="B53" s="222"/>
      <c r="C53" s="223"/>
      <c r="D53" s="223"/>
      <c r="E53" s="223"/>
      <c r="F53" s="224"/>
      <c r="G53" s="65"/>
      <c r="H53" s="65"/>
      <c r="I53" s="212"/>
      <c r="J53" s="213"/>
      <c r="K53" s="214"/>
      <c r="L53" s="65"/>
      <c r="M53" s="65"/>
      <c r="N53" s="194"/>
      <c r="O53" s="195"/>
      <c r="P53" s="195"/>
      <c r="Q53" s="195"/>
      <c r="R53" s="195"/>
      <c r="S53" s="196"/>
      <c r="T53" s="65"/>
      <c r="U53" s="65"/>
      <c r="V53" s="212"/>
      <c r="W53" s="213"/>
      <c r="X53" s="214"/>
      <c r="Y53" s="65"/>
      <c r="Z53" s="65"/>
    </row>
    <row r="54" spans="1:26" ht="18" customHeight="1">
      <c r="A54" s="12"/>
      <c r="B54" s="222"/>
      <c r="C54" s="223"/>
      <c r="D54" s="223"/>
      <c r="E54" s="223"/>
      <c r="F54" s="224"/>
      <c r="G54" s="65"/>
      <c r="H54" s="65"/>
      <c r="I54" s="212"/>
      <c r="J54" s="213"/>
      <c r="K54" s="214"/>
      <c r="L54" s="65"/>
      <c r="M54" s="65"/>
      <c r="N54" s="194"/>
      <c r="O54" s="195"/>
      <c r="P54" s="195"/>
      <c r="Q54" s="195"/>
      <c r="R54" s="195"/>
      <c r="S54" s="196"/>
      <c r="T54" s="65"/>
      <c r="U54" s="65"/>
      <c r="V54" s="212"/>
      <c r="W54" s="213"/>
      <c r="X54" s="214"/>
      <c r="Y54" s="65"/>
      <c r="Z54" s="65"/>
    </row>
    <row r="55" spans="1:26" ht="18" customHeight="1">
      <c r="A55" s="12"/>
      <c r="B55" s="218"/>
      <c r="C55" s="219"/>
      <c r="D55" s="219"/>
      <c r="E55" s="219"/>
      <c r="F55" s="220"/>
      <c r="G55" s="66"/>
      <c r="H55" s="66"/>
      <c r="I55" s="206"/>
      <c r="J55" s="207"/>
      <c r="K55" s="208"/>
      <c r="L55" s="68"/>
      <c r="M55" s="68"/>
      <c r="N55" s="180"/>
      <c r="O55" s="181"/>
      <c r="P55" s="181"/>
      <c r="Q55" s="181"/>
      <c r="R55" s="181"/>
      <c r="S55" s="182"/>
      <c r="T55" s="66"/>
      <c r="U55" s="66"/>
      <c r="V55" s="206"/>
      <c r="W55" s="207"/>
      <c r="X55" s="208"/>
      <c r="Y55" s="68"/>
      <c r="Z55" s="68"/>
    </row>
    <row r="56" spans="1:26" ht="7.5" customHeight="1">
      <c r="B56" s="47"/>
      <c r="C56" s="47"/>
      <c r="D56" s="47"/>
      <c r="E56" s="47"/>
      <c r="F56" s="47"/>
      <c r="G56" s="47"/>
      <c r="H56" s="47"/>
      <c r="I56" s="47"/>
      <c r="J56" s="47"/>
      <c r="K56" s="47"/>
      <c r="L56" s="47"/>
      <c r="M56" s="47"/>
      <c r="N56" s="47"/>
      <c r="O56" s="47"/>
      <c r="P56" s="47"/>
      <c r="Q56" s="47"/>
      <c r="R56" s="47"/>
      <c r="S56" s="47"/>
      <c r="T56" s="47"/>
      <c r="U56" s="47"/>
      <c r="V56" s="47"/>
      <c r="W56" s="47"/>
      <c r="X56" s="47"/>
      <c r="Y56" s="47"/>
    </row>
    <row r="57" spans="1:26" ht="18" customHeight="1">
      <c r="A57" s="221" t="s">
        <v>99</v>
      </c>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spans="1:26" ht="18" customHeight="1">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spans="1:26" ht="18" customHeight="1">
      <c r="A59" s="5"/>
      <c r="B59" s="113" t="s">
        <v>74</v>
      </c>
      <c r="C59" s="114"/>
      <c r="D59" s="114"/>
      <c r="E59" s="115"/>
      <c r="F59" s="13" t="s">
        <v>75</v>
      </c>
      <c r="G59" s="63" t="s">
        <v>76</v>
      </c>
      <c r="H59" s="10" t="s">
        <v>77</v>
      </c>
      <c r="I59" s="60"/>
      <c r="J59" s="11"/>
      <c r="K59" s="46" t="s">
        <v>100</v>
      </c>
      <c r="L59" s="46" t="s">
        <v>101</v>
      </c>
      <c r="M59" s="46" t="s">
        <v>102</v>
      </c>
      <c r="N59" s="113" t="s">
        <v>74</v>
      </c>
      <c r="O59" s="114"/>
      <c r="P59" s="114"/>
      <c r="Q59" s="114"/>
      <c r="R59" s="115"/>
      <c r="S59" s="13" t="s">
        <v>75</v>
      </c>
      <c r="T59" s="63" t="s">
        <v>76</v>
      </c>
      <c r="U59" s="10" t="s">
        <v>77</v>
      </c>
      <c r="V59" s="60"/>
      <c r="W59" s="11"/>
      <c r="X59" s="46" t="s">
        <v>100</v>
      </c>
      <c r="Y59" s="46" t="s">
        <v>101</v>
      </c>
      <c r="Z59" s="46" t="s">
        <v>102</v>
      </c>
    </row>
    <row r="60" spans="1:26" ht="18" customHeight="1">
      <c r="A60" s="12"/>
      <c r="B60" s="200" t="s">
        <v>80</v>
      </c>
      <c r="C60" s="201"/>
      <c r="D60" s="201"/>
      <c r="E60" s="202"/>
      <c r="F60" s="64">
        <v>2</v>
      </c>
      <c r="G60" s="64"/>
      <c r="H60" s="215" t="s">
        <v>81</v>
      </c>
      <c r="I60" s="216"/>
      <c r="J60" s="217"/>
      <c r="K60" s="72" t="s">
        <v>103</v>
      </c>
      <c r="L60" s="64" t="s">
        <v>82</v>
      </c>
      <c r="M60" s="64" t="s">
        <v>82</v>
      </c>
      <c r="N60" s="200"/>
      <c r="O60" s="201"/>
      <c r="P60" s="201"/>
      <c r="Q60" s="201"/>
      <c r="R60" s="202"/>
      <c r="S60" s="64"/>
      <c r="T60" s="64"/>
      <c r="U60" s="215"/>
      <c r="V60" s="216"/>
      <c r="W60" s="217"/>
      <c r="X60" s="72"/>
      <c r="Y60" s="64"/>
      <c r="Z60" s="64"/>
    </row>
    <row r="61" spans="1:26" ht="18" customHeight="1">
      <c r="A61" s="12"/>
      <c r="B61" s="194" t="s">
        <v>95</v>
      </c>
      <c r="C61" s="195"/>
      <c r="D61" s="195"/>
      <c r="E61" s="196"/>
      <c r="F61" s="65">
        <v>2</v>
      </c>
      <c r="G61" s="65"/>
      <c r="H61" s="212" t="s">
        <v>89</v>
      </c>
      <c r="I61" s="213"/>
      <c r="J61" s="214"/>
      <c r="K61" s="70" t="s">
        <v>103</v>
      </c>
      <c r="L61" s="65" t="s">
        <v>82</v>
      </c>
      <c r="M61" s="65" t="s">
        <v>82</v>
      </c>
      <c r="N61" s="194"/>
      <c r="O61" s="195"/>
      <c r="P61" s="195"/>
      <c r="Q61" s="195"/>
      <c r="R61" s="196"/>
      <c r="S61" s="65"/>
      <c r="T61" s="65"/>
      <c r="U61" s="212"/>
      <c r="V61" s="213"/>
      <c r="W61" s="214"/>
      <c r="X61" s="70"/>
      <c r="Y61" s="65"/>
      <c r="Z61" s="65"/>
    </row>
    <row r="62" spans="1:26" ht="18" customHeight="1">
      <c r="A62" s="12"/>
      <c r="B62" s="194"/>
      <c r="C62" s="195"/>
      <c r="D62" s="195"/>
      <c r="E62" s="196"/>
      <c r="F62" s="65"/>
      <c r="G62" s="65"/>
      <c r="H62" s="212"/>
      <c r="I62" s="213"/>
      <c r="J62" s="214"/>
      <c r="K62" s="70"/>
      <c r="L62" s="65"/>
      <c r="M62" s="65"/>
      <c r="N62" s="194"/>
      <c r="O62" s="195"/>
      <c r="P62" s="195"/>
      <c r="Q62" s="195"/>
      <c r="R62" s="196"/>
      <c r="S62" s="65"/>
      <c r="T62" s="65"/>
      <c r="U62" s="212"/>
      <c r="V62" s="213"/>
      <c r="W62" s="214"/>
      <c r="X62" s="70"/>
      <c r="Y62" s="65"/>
      <c r="Z62" s="65"/>
    </row>
    <row r="63" spans="1:26" ht="18" customHeight="1">
      <c r="A63" s="12"/>
      <c r="B63" s="194"/>
      <c r="C63" s="195"/>
      <c r="D63" s="195"/>
      <c r="E63" s="196"/>
      <c r="F63" s="65"/>
      <c r="G63" s="65"/>
      <c r="H63" s="212"/>
      <c r="I63" s="213"/>
      <c r="J63" s="214"/>
      <c r="K63" s="70"/>
      <c r="L63" s="65"/>
      <c r="M63" s="65"/>
      <c r="N63" s="194"/>
      <c r="O63" s="195"/>
      <c r="P63" s="195"/>
      <c r="Q63" s="195"/>
      <c r="R63" s="196"/>
      <c r="S63" s="65"/>
      <c r="T63" s="65"/>
      <c r="U63" s="212"/>
      <c r="V63" s="213"/>
      <c r="W63" s="214"/>
      <c r="X63" s="70"/>
      <c r="Y63" s="65"/>
      <c r="Z63" s="65"/>
    </row>
    <row r="64" spans="1:26" ht="18" customHeight="1">
      <c r="A64" s="12"/>
      <c r="B64" s="194"/>
      <c r="C64" s="195"/>
      <c r="D64" s="195"/>
      <c r="E64" s="196"/>
      <c r="F64" s="65"/>
      <c r="G64" s="65"/>
      <c r="H64" s="212"/>
      <c r="I64" s="213"/>
      <c r="J64" s="214"/>
      <c r="K64" s="70"/>
      <c r="L64" s="65"/>
      <c r="M64" s="65"/>
      <c r="N64" s="194"/>
      <c r="O64" s="195"/>
      <c r="P64" s="195"/>
      <c r="Q64" s="195"/>
      <c r="R64" s="196"/>
      <c r="S64" s="65"/>
      <c r="T64" s="65"/>
      <c r="U64" s="212"/>
      <c r="V64" s="213"/>
      <c r="W64" s="214"/>
      <c r="X64" s="70"/>
      <c r="Y64" s="65"/>
      <c r="Z64" s="65"/>
    </row>
    <row r="65" spans="1:26" ht="18" customHeight="1">
      <c r="A65" s="12"/>
      <c r="B65" s="194"/>
      <c r="C65" s="195"/>
      <c r="D65" s="195"/>
      <c r="E65" s="196"/>
      <c r="F65" s="65"/>
      <c r="G65" s="65"/>
      <c r="H65" s="212"/>
      <c r="I65" s="213"/>
      <c r="J65" s="214"/>
      <c r="K65" s="70"/>
      <c r="L65" s="65"/>
      <c r="M65" s="65"/>
      <c r="N65" s="194"/>
      <c r="O65" s="195"/>
      <c r="P65" s="195"/>
      <c r="Q65" s="195"/>
      <c r="R65" s="196"/>
      <c r="S65" s="65"/>
      <c r="T65" s="65"/>
      <c r="U65" s="212"/>
      <c r="V65" s="213"/>
      <c r="W65" s="214"/>
      <c r="X65" s="70"/>
      <c r="Y65" s="65"/>
      <c r="Z65" s="65"/>
    </row>
    <row r="66" spans="1:26" ht="18" customHeight="1">
      <c r="A66" s="12"/>
      <c r="B66" s="180"/>
      <c r="C66" s="181"/>
      <c r="D66" s="181"/>
      <c r="E66" s="182"/>
      <c r="F66" s="66"/>
      <c r="G66" s="66"/>
      <c r="H66" s="206"/>
      <c r="I66" s="207"/>
      <c r="J66" s="208"/>
      <c r="K66" s="71"/>
      <c r="L66" s="68"/>
      <c r="M66" s="68"/>
      <c r="N66" s="180"/>
      <c r="O66" s="181"/>
      <c r="P66" s="181"/>
      <c r="Q66" s="181"/>
      <c r="R66" s="182"/>
      <c r="S66" s="66"/>
      <c r="T66" s="66"/>
      <c r="U66" s="206"/>
      <c r="V66" s="207"/>
      <c r="W66" s="208"/>
      <c r="X66" s="71"/>
      <c r="Y66" s="68"/>
      <c r="Z66" s="68"/>
    </row>
    <row r="67" spans="1:26" ht="7.5" customHeight="1">
      <c r="B67" s="47"/>
      <c r="C67" s="47"/>
      <c r="D67" s="47"/>
      <c r="E67" s="47"/>
      <c r="F67" s="47"/>
      <c r="G67" s="47"/>
      <c r="H67" s="47"/>
      <c r="I67" s="47"/>
      <c r="J67" s="47"/>
      <c r="K67" s="47"/>
      <c r="L67" s="47"/>
      <c r="M67" s="47"/>
      <c r="N67" s="47"/>
      <c r="O67" s="47"/>
      <c r="P67" s="47"/>
      <c r="Q67" s="47"/>
      <c r="R67" s="47"/>
      <c r="S67" s="47"/>
      <c r="T67" s="47"/>
      <c r="U67" s="47"/>
      <c r="V67" s="47"/>
      <c r="W67" s="47"/>
      <c r="X67" s="47"/>
      <c r="Y67" s="47"/>
    </row>
    <row r="68" spans="1:26" ht="18" customHeight="1">
      <c r="A68" s="5" t="s">
        <v>104</v>
      </c>
      <c r="B68" s="5"/>
      <c r="C68" s="5"/>
      <c r="D68" s="5"/>
      <c r="E68" s="5"/>
      <c r="F68" s="5"/>
      <c r="G68" s="5"/>
      <c r="H68" s="5"/>
      <c r="I68" s="5"/>
      <c r="J68" s="5"/>
      <c r="K68" s="5"/>
      <c r="L68" s="12"/>
      <c r="M68" s="12"/>
      <c r="N68" s="12"/>
      <c r="O68" s="12"/>
      <c r="P68" s="12"/>
      <c r="Q68" s="12"/>
      <c r="R68" s="12"/>
      <c r="S68" s="12"/>
      <c r="T68" s="12"/>
      <c r="U68" s="12"/>
      <c r="V68" s="12"/>
      <c r="W68" s="12"/>
      <c r="X68" s="12"/>
      <c r="Y68" s="12"/>
      <c r="Z68" s="12"/>
    </row>
    <row r="69" spans="1:26" ht="18" customHeight="1">
      <c r="A69" s="5"/>
      <c r="B69" s="113" t="s">
        <v>74</v>
      </c>
      <c r="C69" s="114"/>
      <c r="D69" s="114"/>
      <c r="E69" s="114"/>
      <c r="F69" s="115"/>
      <c r="G69" s="113" t="s">
        <v>105</v>
      </c>
      <c r="H69" s="114"/>
      <c r="I69" s="114"/>
      <c r="J69" s="114"/>
      <c r="K69" s="114"/>
      <c r="L69" s="114"/>
      <c r="M69" s="115"/>
      <c r="N69" s="209" t="s">
        <v>74</v>
      </c>
      <c r="O69" s="210"/>
      <c r="P69" s="210"/>
      <c r="Q69" s="210"/>
      <c r="R69" s="210"/>
      <c r="S69" s="211"/>
      <c r="T69" s="113" t="s">
        <v>105</v>
      </c>
      <c r="U69" s="114"/>
      <c r="V69" s="114"/>
      <c r="W69" s="114"/>
      <c r="X69" s="114"/>
      <c r="Y69" s="114"/>
      <c r="Z69" s="115"/>
    </row>
    <row r="70" spans="1:26" ht="18" customHeight="1">
      <c r="A70" s="12"/>
      <c r="B70" s="200"/>
      <c r="C70" s="201"/>
      <c r="D70" s="201"/>
      <c r="E70" s="201"/>
      <c r="F70" s="202"/>
      <c r="G70" s="203"/>
      <c r="H70" s="204"/>
      <c r="I70" s="204"/>
      <c r="J70" s="204"/>
      <c r="K70" s="204"/>
      <c r="L70" s="204"/>
      <c r="M70" s="205"/>
      <c r="N70" s="200"/>
      <c r="O70" s="201"/>
      <c r="P70" s="201"/>
      <c r="Q70" s="201"/>
      <c r="R70" s="201"/>
      <c r="S70" s="202"/>
      <c r="T70" s="203"/>
      <c r="U70" s="204"/>
      <c r="V70" s="204"/>
      <c r="W70" s="204"/>
      <c r="X70" s="204"/>
      <c r="Y70" s="204"/>
      <c r="Z70" s="205"/>
    </row>
    <row r="71" spans="1:26" ht="18" customHeight="1">
      <c r="A71" s="12"/>
      <c r="B71" s="194"/>
      <c r="C71" s="195"/>
      <c r="D71" s="195"/>
      <c r="E71" s="195"/>
      <c r="F71" s="196"/>
      <c r="G71" s="197"/>
      <c r="H71" s="198"/>
      <c r="I71" s="198"/>
      <c r="J71" s="198"/>
      <c r="K71" s="198"/>
      <c r="L71" s="198"/>
      <c r="M71" s="199"/>
      <c r="N71" s="194"/>
      <c r="O71" s="195"/>
      <c r="P71" s="195"/>
      <c r="Q71" s="195"/>
      <c r="R71" s="195"/>
      <c r="S71" s="196"/>
      <c r="T71" s="197"/>
      <c r="U71" s="198"/>
      <c r="V71" s="198"/>
      <c r="W71" s="198"/>
      <c r="X71" s="198"/>
      <c r="Y71" s="198"/>
      <c r="Z71" s="199"/>
    </row>
    <row r="72" spans="1:26" ht="18" customHeight="1">
      <c r="A72" s="12"/>
      <c r="B72" s="194"/>
      <c r="C72" s="195"/>
      <c r="D72" s="195"/>
      <c r="E72" s="195"/>
      <c r="F72" s="196"/>
      <c r="G72" s="197"/>
      <c r="H72" s="198"/>
      <c r="I72" s="198"/>
      <c r="J72" s="198"/>
      <c r="K72" s="198"/>
      <c r="L72" s="198"/>
      <c r="M72" s="199"/>
      <c r="N72" s="194"/>
      <c r="O72" s="195"/>
      <c r="P72" s="195"/>
      <c r="Q72" s="195"/>
      <c r="R72" s="195"/>
      <c r="S72" s="196"/>
      <c r="T72" s="197"/>
      <c r="U72" s="198"/>
      <c r="V72" s="198"/>
      <c r="W72" s="198"/>
      <c r="X72" s="198"/>
      <c r="Y72" s="198"/>
      <c r="Z72" s="199"/>
    </row>
    <row r="73" spans="1:26" ht="18" customHeight="1">
      <c r="A73" s="12"/>
      <c r="B73" s="194"/>
      <c r="C73" s="195"/>
      <c r="D73" s="195"/>
      <c r="E73" s="195"/>
      <c r="F73" s="196"/>
      <c r="G73" s="197"/>
      <c r="H73" s="198"/>
      <c r="I73" s="198"/>
      <c r="J73" s="198"/>
      <c r="K73" s="198"/>
      <c r="L73" s="198"/>
      <c r="M73" s="199"/>
      <c r="N73" s="194"/>
      <c r="O73" s="195"/>
      <c r="P73" s="195"/>
      <c r="Q73" s="195"/>
      <c r="R73" s="195"/>
      <c r="S73" s="196"/>
      <c r="T73" s="197"/>
      <c r="U73" s="198"/>
      <c r="V73" s="198"/>
      <c r="W73" s="198"/>
      <c r="X73" s="198"/>
      <c r="Y73" s="198"/>
      <c r="Z73" s="199"/>
    </row>
    <row r="74" spans="1:26" ht="18" customHeight="1">
      <c r="A74" s="12"/>
      <c r="B74" s="194"/>
      <c r="C74" s="195"/>
      <c r="D74" s="195"/>
      <c r="E74" s="195"/>
      <c r="F74" s="196"/>
      <c r="G74" s="197"/>
      <c r="H74" s="198"/>
      <c r="I74" s="198"/>
      <c r="J74" s="198"/>
      <c r="K74" s="198"/>
      <c r="L74" s="198"/>
      <c r="M74" s="199"/>
      <c r="N74" s="194"/>
      <c r="O74" s="195"/>
      <c r="P74" s="195"/>
      <c r="Q74" s="195"/>
      <c r="R74" s="195"/>
      <c r="S74" s="196"/>
      <c r="T74" s="197"/>
      <c r="U74" s="198"/>
      <c r="V74" s="198"/>
      <c r="W74" s="198"/>
      <c r="X74" s="198"/>
      <c r="Y74" s="198"/>
      <c r="Z74" s="199"/>
    </row>
    <row r="75" spans="1:26" ht="18" customHeight="1">
      <c r="A75" s="12"/>
      <c r="B75" s="194"/>
      <c r="C75" s="195"/>
      <c r="D75" s="195"/>
      <c r="E75" s="195"/>
      <c r="F75" s="196"/>
      <c r="G75" s="197"/>
      <c r="H75" s="198"/>
      <c r="I75" s="198"/>
      <c r="J75" s="198"/>
      <c r="K75" s="198"/>
      <c r="L75" s="198"/>
      <c r="M75" s="199"/>
      <c r="N75" s="194"/>
      <c r="O75" s="195"/>
      <c r="P75" s="195"/>
      <c r="Q75" s="195"/>
      <c r="R75" s="195"/>
      <c r="S75" s="196"/>
      <c r="T75" s="197"/>
      <c r="U75" s="198"/>
      <c r="V75" s="198"/>
      <c r="W75" s="198"/>
      <c r="X75" s="198"/>
      <c r="Y75" s="198"/>
      <c r="Z75" s="199"/>
    </row>
    <row r="76" spans="1:26" ht="18" customHeight="1">
      <c r="A76" s="12"/>
      <c r="B76" s="180"/>
      <c r="C76" s="181"/>
      <c r="D76" s="181"/>
      <c r="E76" s="181"/>
      <c r="F76" s="182"/>
      <c r="G76" s="183"/>
      <c r="H76" s="184"/>
      <c r="I76" s="184"/>
      <c r="J76" s="184"/>
      <c r="K76" s="184"/>
      <c r="L76" s="184"/>
      <c r="M76" s="185"/>
      <c r="N76" s="180"/>
      <c r="O76" s="181"/>
      <c r="P76" s="181"/>
      <c r="Q76" s="181"/>
      <c r="R76" s="181"/>
      <c r="S76" s="182"/>
      <c r="T76" s="183"/>
      <c r="U76" s="184"/>
      <c r="V76" s="184"/>
      <c r="W76" s="184"/>
      <c r="X76" s="184"/>
      <c r="Y76" s="184"/>
      <c r="Z76" s="185"/>
    </row>
    <row r="77" spans="1:26" ht="18" customHeight="1">
      <c r="A77" s="12"/>
      <c r="B77" s="44"/>
      <c r="C77" s="44"/>
      <c r="D77" s="44"/>
      <c r="E77" s="44"/>
      <c r="F77" s="44"/>
      <c r="G77" s="3"/>
      <c r="H77" s="3"/>
      <c r="I77" s="3"/>
      <c r="J77" s="3"/>
      <c r="K77" s="3"/>
      <c r="L77" s="3"/>
      <c r="M77" s="3"/>
      <c r="N77" s="44"/>
      <c r="O77" s="44"/>
      <c r="P77" s="44"/>
      <c r="Q77" s="44"/>
      <c r="R77" s="44"/>
      <c r="S77" s="44"/>
      <c r="T77" s="3"/>
      <c r="U77" s="3"/>
      <c r="V77" s="3"/>
      <c r="W77" s="3"/>
      <c r="X77" s="3"/>
      <c r="Y77" s="3"/>
      <c r="Z77" s="3"/>
    </row>
    <row r="78" spans="1:26" ht="18.75" customHeight="1">
      <c r="A78" s="4" t="s">
        <v>106</v>
      </c>
    </row>
    <row r="79" spans="1:26" ht="18.75" customHeight="1">
      <c r="B79" s="48" t="s">
        <v>107</v>
      </c>
      <c r="C79" s="49"/>
      <c r="D79" s="186" t="s">
        <v>108</v>
      </c>
      <c r="E79" s="186"/>
      <c r="F79" s="186"/>
      <c r="G79" s="186"/>
      <c r="H79" s="186"/>
      <c r="I79" s="186"/>
      <c r="J79" s="186"/>
      <c r="K79" s="186"/>
      <c r="L79" s="186"/>
      <c r="M79" s="186"/>
      <c r="N79" s="186"/>
      <c r="O79" s="186"/>
      <c r="P79" s="186"/>
      <c r="Q79" s="186"/>
      <c r="R79" s="186"/>
      <c r="S79" s="186"/>
      <c r="T79" s="186"/>
      <c r="U79" s="186"/>
      <c r="V79" s="186"/>
      <c r="W79" s="186"/>
      <c r="X79" s="186"/>
      <c r="Y79" s="186"/>
      <c r="Z79" s="187"/>
    </row>
    <row r="80" spans="1:26" ht="78" customHeight="1">
      <c r="B80" s="153" t="s">
        <v>109</v>
      </c>
      <c r="C80" s="53" t="s">
        <v>78</v>
      </c>
      <c r="D80" s="188" t="s">
        <v>209</v>
      </c>
      <c r="E80" s="189"/>
      <c r="F80" s="189"/>
      <c r="G80" s="189"/>
      <c r="H80" s="189"/>
      <c r="I80" s="189"/>
      <c r="J80" s="189"/>
      <c r="K80" s="189"/>
      <c r="L80" s="189"/>
      <c r="M80" s="189"/>
      <c r="N80" s="189"/>
      <c r="O80" s="189"/>
      <c r="P80" s="189"/>
      <c r="Q80" s="189"/>
      <c r="R80" s="189"/>
      <c r="S80" s="189"/>
      <c r="T80" s="189"/>
      <c r="U80" s="189"/>
      <c r="V80" s="189"/>
      <c r="W80" s="189"/>
      <c r="X80" s="189"/>
      <c r="Y80" s="189"/>
      <c r="Z80" s="190"/>
    </row>
    <row r="81" spans="1:26" ht="78" customHeight="1">
      <c r="B81" s="161"/>
      <c r="C81" s="61" t="s">
        <v>110</v>
      </c>
      <c r="D81" s="191" t="s">
        <v>208</v>
      </c>
      <c r="E81" s="192"/>
      <c r="F81" s="192"/>
      <c r="G81" s="192"/>
      <c r="H81" s="192"/>
      <c r="I81" s="192"/>
      <c r="J81" s="192"/>
      <c r="K81" s="192"/>
      <c r="L81" s="192"/>
      <c r="M81" s="192"/>
      <c r="N81" s="192"/>
      <c r="O81" s="192"/>
      <c r="P81" s="192"/>
      <c r="Q81" s="192"/>
      <c r="R81" s="192"/>
      <c r="S81" s="192"/>
      <c r="T81" s="192"/>
      <c r="U81" s="192"/>
      <c r="V81" s="192"/>
      <c r="W81" s="192"/>
      <c r="X81" s="192"/>
      <c r="Y81" s="192"/>
      <c r="Z81" s="193"/>
    </row>
    <row r="82" spans="1:26" ht="185.25" customHeight="1">
      <c r="B82" s="170" t="s">
        <v>111</v>
      </c>
      <c r="C82" s="50" t="s">
        <v>84</v>
      </c>
      <c r="D82" s="171" t="s">
        <v>112</v>
      </c>
      <c r="E82" s="172"/>
      <c r="F82" s="172"/>
      <c r="G82" s="172"/>
      <c r="H82" s="172"/>
      <c r="I82" s="172"/>
      <c r="J82" s="172"/>
      <c r="K82" s="172"/>
      <c r="L82" s="172"/>
      <c r="M82" s="172"/>
      <c r="N82" s="172"/>
      <c r="O82" s="172"/>
      <c r="P82" s="172"/>
      <c r="Q82" s="172"/>
      <c r="R82" s="172"/>
      <c r="S82" s="172"/>
      <c r="T82" s="172"/>
      <c r="U82" s="172"/>
      <c r="V82" s="172"/>
      <c r="W82" s="172"/>
      <c r="X82" s="172"/>
      <c r="Y82" s="172"/>
      <c r="Z82" s="173"/>
    </row>
    <row r="83" spans="1:26" ht="185.25" customHeight="1">
      <c r="B83" s="162"/>
      <c r="C83" s="62" t="s">
        <v>85</v>
      </c>
      <c r="D83" s="174" t="s">
        <v>113</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38" customHeight="1">
      <c r="B84" s="170" t="s">
        <v>114</v>
      </c>
      <c r="C84" s="50" t="s">
        <v>91</v>
      </c>
      <c r="D84" s="171" t="s">
        <v>115</v>
      </c>
      <c r="E84" s="172"/>
      <c r="F84" s="172"/>
      <c r="G84" s="172"/>
      <c r="H84" s="172"/>
      <c r="I84" s="172"/>
      <c r="J84" s="172"/>
      <c r="K84" s="172"/>
      <c r="L84" s="172"/>
      <c r="M84" s="172"/>
      <c r="N84" s="172"/>
      <c r="O84" s="172"/>
      <c r="P84" s="172"/>
      <c r="Q84" s="172"/>
      <c r="R84" s="172"/>
      <c r="S84" s="172"/>
      <c r="T84" s="172"/>
      <c r="U84" s="172"/>
      <c r="V84" s="172"/>
      <c r="W84" s="172"/>
      <c r="X84" s="172"/>
      <c r="Y84" s="172"/>
      <c r="Z84" s="173"/>
    </row>
    <row r="85" spans="1:26" ht="121.5" customHeight="1">
      <c r="B85" s="162"/>
      <c r="C85" s="52" t="s">
        <v>92</v>
      </c>
      <c r="D85" s="177" t="s">
        <v>116</v>
      </c>
      <c r="E85" s="178"/>
      <c r="F85" s="178"/>
      <c r="G85" s="178"/>
      <c r="H85" s="178"/>
      <c r="I85" s="178"/>
      <c r="J85" s="178"/>
      <c r="K85" s="178"/>
      <c r="L85" s="178"/>
      <c r="M85" s="178"/>
      <c r="N85" s="178"/>
      <c r="O85" s="178"/>
      <c r="P85" s="178"/>
      <c r="Q85" s="178"/>
      <c r="R85" s="178"/>
      <c r="S85" s="178"/>
      <c r="T85" s="178"/>
      <c r="U85" s="178"/>
      <c r="V85" s="178"/>
      <c r="W85" s="178"/>
      <c r="X85" s="178"/>
      <c r="Y85" s="178"/>
      <c r="Z85" s="179"/>
    </row>
    <row r="86" spans="1:26" ht="185.25" customHeight="1">
      <c r="B86" s="153" t="s">
        <v>117</v>
      </c>
      <c r="C86" s="53" t="s">
        <v>97</v>
      </c>
      <c r="D86" s="155" t="s">
        <v>118</v>
      </c>
      <c r="E86" s="156"/>
      <c r="F86" s="156"/>
      <c r="G86" s="156"/>
      <c r="H86" s="156"/>
      <c r="I86" s="156"/>
      <c r="J86" s="156"/>
      <c r="K86" s="156"/>
      <c r="L86" s="156"/>
      <c r="M86" s="156"/>
      <c r="N86" s="156"/>
      <c r="O86" s="156"/>
      <c r="P86" s="156"/>
      <c r="Q86" s="156"/>
      <c r="R86" s="156"/>
      <c r="S86" s="156"/>
      <c r="T86" s="156"/>
      <c r="U86" s="156"/>
      <c r="V86" s="156"/>
      <c r="W86" s="156"/>
      <c r="X86" s="156"/>
      <c r="Y86" s="156"/>
      <c r="Z86" s="157"/>
    </row>
    <row r="87" spans="1:26" ht="185.25" customHeight="1">
      <c r="B87" s="154"/>
      <c r="C87" s="51" t="s">
        <v>98</v>
      </c>
      <c r="D87" s="158" t="s">
        <v>119</v>
      </c>
      <c r="E87" s="159"/>
      <c r="F87" s="159"/>
      <c r="G87" s="159"/>
      <c r="H87" s="159"/>
      <c r="I87" s="159"/>
      <c r="J87" s="159"/>
      <c r="K87" s="159"/>
      <c r="L87" s="159"/>
      <c r="M87" s="159"/>
      <c r="N87" s="159"/>
      <c r="O87" s="159"/>
      <c r="P87" s="159"/>
      <c r="Q87" s="159"/>
      <c r="R87" s="159"/>
      <c r="S87" s="159"/>
      <c r="T87" s="159"/>
      <c r="U87" s="159"/>
      <c r="V87" s="159"/>
      <c r="W87" s="159"/>
      <c r="X87" s="159"/>
      <c r="Y87" s="159"/>
      <c r="Z87" s="160"/>
    </row>
    <row r="88" spans="1:26" ht="65.25" customHeight="1">
      <c r="B88" s="153" t="s">
        <v>120</v>
      </c>
      <c r="C88" s="50" t="s">
        <v>100</v>
      </c>
      <c r="D88" s="163" t="s">
        <v>121</v>
      </c>
      <c r="E88" s="164"/>
      <c r="F88" s="164"/>
      <c r="G88" s="164"/>
      <c r="H88" s="164"/>
      <c r="I88" s="164"/>
      <c r="J88" s="164"/>
      <c r="K88" s="164"/>
      <c r="L88" s="164"/>
      <c r="M88" s="164"/>
      <c r="N88" s="164"/>
      <c r="O88" s="164"/>
      <c r="P88" s="164"/>
      <c r="Q88" s="164"/>
      <c r="R88" s="164"/>
      <c r="S88" s="164"/>
      <c r="T88" s="164"/>
      <c r="U88" s="164"/>
      <c r="V88" s="164"/>
      <c r="W88" s="164"/>
      <c r="X88" s="164"/>
      <c r="Y88" s="164"/>
      <c r="Z88" s="165"/>
    </row>
    <row r="89" spans="1:26" ht="66" customHeight="1">
      <c r="B89" s="161"/>
      <c r="C89" s="51" t="s">
        <v>101</v>
      </c>
      <c r="D89" s="166" t="s">
        <v>122</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66" customHeight="1">
      <c r="B90" s="162"/>
      <c r="C90" s="52" t="s">
        <v>102</v>
      </c>
      <c r="D90" s="169" t="s">
        <v>123</v>
      </c>
      <c r="E90" s="148"/>
      <c r="F90" s="148"/>
      <c r="G90" s="148"/>
      <c r="H90" s="148"/>
      <c r="I90" s="148"/>
      <c r="J90" s="148"/>
      <c r="K90" s="148"/>
      <c r="L90" s="148"/>
      <c r="M90" s="148"/>
      <c r="N90" s="148"/>
      <c r="O90" s="148"/>
      <c r="P90" s="148"/>
      <c r="Q90" s="148"/>
      <c r="R90" s="148"/>
      <c r="S90" s="148"/>
      <c r="T90" s="148"/>
      <c r="U90" s="148"/>
      <c r="V90" s="148"/>
      <c r="W90" s="148"/>
      <c r="X90" s="148"/>
      <c r="Y90" s="148"/>
      <c r="Z90" s="149"/>
    </row>
    <row r="91" spans="1:26" ht="6" customHeight="1"/>
    <row r="92" spans="1:26" ht="18.75" customHeight="1">
      <c r="A92" s="4" t="s">
        <v>124</v>
      </c>
    </row>
    <row r="93" spans="1:26" ht="18.75" customHeight="1">
      <c r="B93" s="141" t="s">
        <v>125</v>
      </c>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3"/>
    </row>
    <row r="94" spans="1:26" ht="18.75" customHeight="1">
      <c r="B94" s="144"/>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6"/>
    </row>
    <row r="95" spans="1:26" ht="68.25" customHeight="1">
      <c r="B95" s="147"/>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9"/>
    </row>
    <row r="96" spans="1:26" ht="6" customHeight="1"/>
    <row r="97" spans="1:26" ht="15" customHeight="1">
      <c r="A97" s="4" t="s">
        <v>126</v>
      </c>
    </row>
    <row r="98" spans="1:26" ht="15" customHeight="1">
      <c r="B98" s="150" t="s">
        <v>127</v>
      </c>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2"/>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BAF2054C-9B24-4DF1-B178-D47EACAA213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A34C199-C5A6-4D3B-B7B2-F3C5EAB83A74}">
      <formula1>"学部・学科によって、修了要件は相違する,学部・学科によって、修了要件は相違しない"</formula1>
    </dataValidation>
    <dataValidation type="list" allowBlank="1" showInputMessage="1" showErrorMessage="1" sqref="Z23 Z34 D34:K34 D23:K23 V16:V22 I49:I55 V27:V33 I27:I33 V38:V44 I38:I44 V49:V55 H60:H66 U60:U66 I16:I22" xr:uid="{E4C0DB37-77E1-4403-BB80-11952547CF6D}">
      <formula1>"全学開講,一部開講"</formula1>
    </dataValidation>
    <dataValidation type="list" allowBlank="1" showInputMessage="1" showErrorMessage="1" sqref="Y16:Z22 Y27:Z33 L27:M33 L38:M44 Y38:Z44 L49:M55 Y49:Z55 Y60:Z66 L60:M66 H49:H55 U16:U22 H27:H33 U27:U33 H38:H44 U38:U44 T60:T66 U49:U55 G60:G66 H16:H22 L16:M22" xr:uid="{B8F225D6-C911-47A3-921D-B0A1D385DC60}">
      <formula1>"○"</formula1>
    </dataValidation>
  </dataValidations>
  <hyperlinks>
    <hyperlink ref="B98" r:id="rId1" xr:uid="{DB756FD9-EAAE-4717-AD76-515317424607}"/>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zoomScaleNormal="100" zoomScaleSheetLayoutView="100" workbookViewId="0"/>
  </sheetViews>
  <sheetFormatPr defaultColWidth="9" defaultRowHeight="18.75" customHeight="1"/>
  <cols>
    <col min="1" max="1" width="2.625" style="1" customWidth="1"/>
    <col min="2" max="2" width="30" style="1" customWidth="1"/>
    <col min="3" max="17" width="6.125" style="1" customWidth="1"/>
    <col min="18" max="18" width="6.625" style="1" customWidth="1"/>
    <col min="19" max="16384" width="9" style="1"/>
  </cols>
  <sheetData>
    <row r="1" spans="1:20" ht="18" customHeight="1">
      <c r="F1" s="239" t="s">
        <v>128</v>
      </c>
      <c r="G1" s="239"/>
      <c r="H1" s="239"/>
      <c r="I1" s="239"/>
      <c r="J1" s="239"/>
      <c r="K1" s="239"/>
      <c r="L1" s="239"/>
      <c r="M1" s="239"/>
      <c r="N1" s="239"/>
      <c r="O1" s="239"/>
      <c r="P1" s="239"/>
      <c r="Q1" s="239"/>
      <c r="R1" s="239"/>
    </row>
    <row r="2" spans="1:20" ht="18" customHeight="1">
      <c r="A2" s="240" t="s">
        <v>129</v>
      </c>
      <c r="B2" s="240"/>
      <c r="C2" s="240"/>
      <c r="D2" s="240"/>
      <c r="E2" s="240"/>
      <c r="F2" s="240"/>
      <c r="G2" s="240"/>
      <c r="H2" s="240"/>
      <c r="I2" s="240"/>
      <c r="J2" s="240"/>
      <c r="K2" s="240"/>
      <c r="L2" s="240"/>
      <c r="M2" s="240"/>
      <c r="N2" s="240"/>
      <c r="O2" s="240"/>
      <c r="P2" s="240"/>
      <c r="Q2" s="240"/>
      <c r="R2" s="240"/>
      <c r="S2" s="2"/>
    </row>
    <row r="3" spans="1:20" ht="7.5" customHeight="1">
      <c r="A3" s="15"/>
      <c r="B3" s="15"/>
      <c r="C3" s="15"/>
      <c r="D3" s="15"/>
      <c r="E3" s="15"/>
      <c r="F3" s="15"/>
      <c r="G3" s="15"/>
      <c r="H3" s="15"/>
      <c r="I3" s="15"/>
      <c r="J3" s="15"/>
      <c r="K3" s="15"/>
      <c r="L3" s="15"/>
      <c r="M3" s="15"/>
      <c r="N3" s="15"/>
      <c r="O3" s="15"/>
      <c r="P3" s="15"/>
      <c r="Q3" s="15"/>
      <c r="R3" s="15"/>
    </row>
    <row r="4" spans="1:20" ht="18" customHeight="1">
      <c r="A4" s="2" t="s">
        <v>130</v>
      </c>
      <c r="B4" s="2"/>
      <c r="C4" s="241" t="str">
        <f>'様式１　大学等概要'!E12</f>
        <v>令和２</v>
      </c>
      <c r="D4" s="242"/>
      <c r="E4" s="15" t="s">
        <v>19</v>
      </c>
      <c r="F4" s="15"/>
      <c r="G4" s="15"/>
      <c r="H4" s="15"/>
      <c r="I4" s="15"/>
      <c r="J4" s="54"/>
      <c r="K4" s="15"/>
      <c r="L4" s="15"/>
      <c r="M4" s="20"/>
      <c r="N4" s="20"/>
      <c r="O4" s="20"/>
      <c r="P4" s="20"/>
      <c r="Q4" s="20"/>
      <c r="R4" s="20"/>
    </row>
    <row r="5" spans="1:20" ht="6" customHeight="1">
      <c r="A5" s="15"/>
      <c r="B5" s="15"/>
      <c r="C5" s="15"/>
      <c r="D5" s="15"/>
      <c r="E5" s="15"/>
      <c r="F5" s="15"/>
      <c r="G5" s="15"/>
      <c r="H5" s="15"/>
      <c r="I5" s="15"/>
      <c r="J5" s="15"/>
      <c r="K5" s="15"/>
      <c r="L5" s="15"/>
      <c r="M5" s="15"/>
      <c r="N5" s="15"/>
      <c r="O5" s="15"/>
      <c r="P5" s="15"/>
      <c r="Q5" s="15"/>
      <c r="R5" s="15"/>
    </row>
    <row r="6" spans="1:20" ht="18" customHeight="1">
      <c r="A6" s="2" t="s">
        <v>131</v>
      </c>
      <c r="B6" s="15"/>
      <c r="C6" s="15"/>
      <c r="D6" s="15"/>
      <c r="E6" s="15"/>
      <c r="F6" s="15"/>
      <c r="G6" s="15"/>
      <c r="H6" s="15"/>
      <c r="I6" s="15"/>
      <c r="J6" s="15"/>
      <c r="K6" s="15"/>
      <c r="L6" s="15"/>
      <c r="M6" s="15"/>
      <c r="N6" s="15"/>
      <c r="O6" s="15"/>
      <c r="P6" s="15"/>
      <c r="Q6" s="15"/>
      <c r="R6" s="15"/>
    </row>
    <row r="7" spans="1:20" ht="6" customHeight="1">
      <c r="A7" s="2"/>
      <c r="B7" s="15"/>
      <c r="C7" s="15"/>
      <c r="D7" s="15"/>
      <c r="E7" s="15"/>
      <c r="F7" s="15"/>
      <c r="G7" s="15"/>
      <c r="H7" s="15"/>
      <c r="I7" s="15"/>
      <c r="J7" s="15"/>
      <c r="K7" s="15"/>
      <c r="L7" s="15"/>
      <c r="M7" s="15"/>
      <c r="N7" s="15"/>
      <c r="O7" s="15"/>
      <c r="P7" s="15"/>
      <c r="Q7" s="15"/>
      <c r="R7" s="15"/>
    </row>
    <row r="8" spans="1:20" ht="18" customHeight="1">
      <c r="B8" s="243" t="s">
        <v>132</v>
      </c>
      <c r="C8" s="245" t="s">
        <v>133</v>
      </c>
      <c r="D8" s="247" t="s">
        <v>134</v>
      </c>
      <c r="E8" s="249" t="s">
        <v>135</v>
      </c>
      <c r="F8" s="249"/>
      <c r="G8" s="249" t="s">
        <v>136</v>
      </c>
      <c r="H8" s="249"/>
      <c r="I8" s="249" t="s">
        <v>137</v>
      </c>
      <c r="J8" s="249"/>
      <c r="K8" s="250" t="s">
        <v>138</v>
      </c>
      <c r="L8" s="251"/>
      <c r="M8" s="250" t="s">
        <v>139</v>
      </c>
      <c r="N8" s="251"/>
      <c r="O8" s="250" t="s">
        <v>140</v>
      </c>
      <c r="P8" s="251"/>
      <c r="Q8" s="252" t="s">
        <v>141</v>
      </c>
      <c r="R8" s="254" t="s">
        <v>142</v>
      </c>
      <c r="T8" s="14"/>
    </row>
    <row r="9" spans="1:20" ht="18" customHeight="1">
      <c r="A9" s="2"/>
      <c r="B9" s="244"/>
      <c r="C9" s="246"/>
      <c r="D9" s="248"/>
      <c r="E9" s="16" t="s">
        <v>143</v>
      </c>
      <c r="F9" s="17" t="s">
        <v>144</v>
      </c>
      <c r="G9" s="18" t="s">
        <v>143</v>
      </c>
      <c r="H9" s="19" t="s">
        <v>144</v>
      </c>
      <c r="I9" s="16" t="s">
        <v>143</v>
      </c>
      <c r="J9" s="17" t="s">
        <v>144</v>
      </c>
      <c r="K9" s="18" t="s">
        <v>143</v>
      </c>
      <c r="L9" s="19" t="s">
        <v>144</v>
      </c>
      <c r="M9" s="16" t="s">
        <v>143</v>
      </c>
      <c r="N9" s="17" t="s">
        <v>144</v>
      </c>
      <c r="O9" s="18" t="s">
        <v>143</v>
      </c>
      <c r="P9" s="19" t="s">
        <v>144</v>
      </c>
      <c r="Q9" s="253"/>
      <c r="R9" s="255"/>
      <c r="T9" s="14"/>
    </row>
    <row r="10" spans="1:20" ht="18" customHeight="1">
      <c r="A10" s="20"/>
      <c r="B10" s="77" t="s">
        <v>145</v>
      </c>
      <c r="C10" s="20">
        <v>270</v>
      </c>
      <c r="D10" s="78">
        <v>1040</v>
      </c>
      <c r="E10" s="22">
        <v>27</v>
      </c>
      <c r="F10" s="23">
        <v>24</v>
      </c>
      <c r="G10" s="24"/>
      <c r="H10" s="25"/>
      <c r="I10" s="79"/>
      <c r="J10" s="80"/>
      <c r="K10" s="81"/>
      <c r="L10" s="82"/>
      <c r="M10" s="79"/>
      <c r="N10" s="80"/>
      <c r="O10" s="81"/>
      <c r="P10" s="82"/>
      <c r="Q10" s="83">
        <f>E10+G10+I10+K10+M10+O10</f>
        <v>27</v>
      </c>
      <c r="R10" s="26">
        <f>Q10/D10</f>
        <v>2.5961538461538463E-2</v>
      </c>
    </row>
    <row r="11" spans="1:20" ht="18" customHeight="1">
      <c r="A11" s="20"/>
      <c r="B11" s="55" t="s">
        <v>146</v>
      </c>
      <c r="C11" s="35">
        <v>150</v>
      </c>
      <c r="D11" s="84">
        <v>600</v>
      </c>
      <c r="E11" s="29"/>
      <c r="F11" s="30"/>
      <c r="G11" s="31"/>
      <c r="H11" s="32"/>
      <c r="I11" s="85"/>
      <c r="J11" s="86"/>
      <c r="K11" s="87"/>
      <c r="L11" s="88"/>
      <c r="M11" s="85"/>
      <c r="N11" s="86"/>
      <c r="O11" s="87"/>
      <c r="P11" s="88"/>
      <c r="Q11" s="33">
        <f t="shared" ref="Q11:Q14" si="0">E11+G11+I11+K11+M11+O11</f>
        <v>0</v>
      </c>
      <c r="R11" s="34">
        <f t="shared" ref="R11:R14" si="1">Q11/D11</f>
        <v>0</v>
      </c>
    </row>
    <row r="12" spans="1:20" ht="18" customHeight="1">
      <c r="A12" s="20"/>
      <c r="B12" s="55" t="s">
        <v>147</v>
      </c>
      <c r="C12" s="35">
        <v>200</v>
      </c>
      <c r="D12" s="84">
        <v>840</v>
      </c>
      <c r="E12" s="29">
        <v>78</v>
      </c>
      <c r="F12" s="30">
        <v>75</v>
      </c>
      <c r="G12" s="31">
        <v>4</v>
      </c>
      <c r="H12" s="32">
        <v>3</v>
      </c>
      <c r="I12" s="85"/>
      <c r="J12" s="86"/>
      <c r="K12" s="87"/>
      <c r="L12" s="88"/>
      <c r="M12" s="85"/>
      <c r="N12" s="86"/>
      <c r="O12" s="87"/>
      <c r="P12" s="88"/>
      <c r="Q12" s="33">
        <f t="shared" si="0"/>
        <v>82</v>
      </c>
      <c r="R12" s="34">
        <f t="shared" si="1"/>
        <v>9.7619047619047619E-2</v>
      </c>
    </row>
    <row r="13" spans="1:20" ht="18" customHeight="1">
      <c r="A13" s="20"/>
      <c r="B13" s="55" t="s">
        <v>148</v>
      </c>
      <c r="C13" s="35">
        <v>200</v>
      </c>
      <c r="D13" s="84">
        <v>800</v>
      </c>
      <c r="E13" s="29"/>
      <c r="F13" s="30"/>
      <c r="G13" s="31"/>
      <c r="H13" s="32"/>
      <c r="I13" s="85"/>
      <c r="J13" s="86"/>
      <c r="K13" s="87"/>
      <c r="L13" s="88"/>
      <c r="M13" s="85"/>
      <c r="N13" s="86"/>
      <c r="O13" s="87"/>
      <c r="P13" s="88"/>
      <c r="Q13" s="33">
        <f t="shared" si="0"/>
        <v>0</v>
      </c>
      <c r="R13" s="34">
        <f t="shared" si="1"/>
        <v>0</v>
      </c>
    </row>
    <row r="14" spans="1:20" ht="18" customHeight="1">
      <c r="A14" s="20"/>
      <c r="B14" s="55" t="s">
        <v>149</v>
      </c>
      <c r="C14" s="35">
        <v>150</v>
      </c>
      <c r="D14" s="84">
        <v>900</v>
      </c>
      <c r="E14" s="29"/>
      <c r="F14" s="30"/>
      <c r="G14" s="31"/>
      <c r="H14" s="32"/>
      <c r="I14" s="85"/>
      <c r="J14" s="86"/>
      <c r="K14" s="87"/>
      <c r="L14" s="88"/>
      <c r="M14" s="85"/>
      <c r="N14" s="86"/>
      <c r="O14" s="87"/>
      <c r="P14" s="88"/>
      <c r="Q14" s="33">
        <f t="shared" si="0"/>
        <v>0</v>
      </c>
      <c r="R14" s="34">
        <f t="shared" si="1"/>
        <v>0</v>
      </c>
    </row>
    <row r="15" spans="1:20" ht="18" customHeight="1">
      <c r="A15" s="20"/>
      <c r="B15" s="55"/>
      <c r="C15" s="35"/>
      <c r="D15" s="28"/>
      <c r="E15" s="29"/>
      <c r="F15" s="30"/>
      <c r="G15" s="31"/>
      <c r="H15" s="32"/>
      <c r="I15" s="29"/>
      <c r="J15" s="30"/>
      <c r="K15" s="31"/>
      <c r="L15" s="32"/>
      <c r="M15" s="29"/>
      <c r="N15" s="30"/>
      <c r="O15" s="31"/>
      <c r="P15" s="32"/>
      <c r="Q15" s="33"/>
      <c r="R15" s="34"/>
    </row>
    <row r="16" spans="1:20" ht="18" customHeight="1">
      <c r="A16" s="20"/>
      <c r="B16" s="55"/>
      <c r="C16" s="35"/>
      <c r="D16" s="28"/>
      <c r="E16" s="29"/>
      <c r="F16" s="30"/>
      <c r="G16" s="31"/>
      <c r="H16" s="32"/>
      <c r="I16" s="29"/>
      <c r="J16" s="30"/>
      <c r="K16" s="31"/>
      <c r="L16" s="32"/>
      <c r="M16" s="29"/>
      <c r="N16" s="30"/>
      <c r="O16" s="31"/>
      <c r="P16" s="32"/>
      <c r="Q16" s="33"/>
      <c r="R16" s="34"/>
    </row>
    <row r="17" spans="1:18" ht="18" customHeight="1">
      <c r="A17" s="20"/>
      <c r="B17" s="55"/>
      <c r="C17" s="35"/>
      <c r="D17" s="28"/>
      <c r="E17" s="29"/>
      <c r="F17" s="30"/>
      <c r="G17" s="31"/>
      <c r="H17" s="32"/>
      <c r="I17" s="29"/>
      <c r="J17" s="30"/>
      <c r="K17" s="31"/>
      <c r="L17" s="32"/>
      <c r="M17" s="29"/>
      <c r="N17" s="30"/>
      <c r="O17" s="31"/>
      <c r="P17" s="32"/>
      <c r="Q17" s="33"/>
      <c r="R17" s="34"/>
    </row>
    <row r="18" spans="1:18" ht="18" customHeight="1">
      <c r="A18" s="20"/>
      <c r="B18" s="55"/>
      <c r="C18" s="35"/>
      <c r="D18" s="28"/>
      <c r="E18" s="29"/>
      <c r="F18" s="30"/>
      <c r="G18" s="31"/>
      <c r="H18" s="32"/>
      <c r="I18" s="29"/>
      <c r="J18" s="30"/>
      <c r="K18" s="31"/>
      <c r="L18" s="32"/>
      <c r="M18" s="29"/>
      <c r="N18" s="30"/>
      <c r="O18" s="31"/>
      <c r="P18" s="32"/>
      <c r="Q18" s="33"/>
      <c r="R18" s="34"/>
    </row>
    <row r="19" spans="1:18" ht="18" customHeight="1">
      <c r="A19" s="20"/>
      <c r="B19" s="55"/>
      <c r="C19" s="35"/>
      <c r="D19" s="28"/>
      <c r="E19" s="29"/>
      <c r="F19" s="30"/>
      <c r="G19" s="31"/>
      <c r="H19" s="32"/>
      <c r="I19" s="29"/>
      <c r="J19" s="30"/>
      <c r="K19" s="31"/>
      <c r="L19" s="32"/>
      <c r="M19" s="29"/>
      <c r="N19" s="30"/>
      <c r="O19" s="31"/>
      <c r="P19" s="32"/>
      <c r="Q19" s="33"/>
      <c r="R19" s="34"/>
    </row>
    <row r="20" spans="1:18" ht="18" customHeight="1">
      <c r="A20" s="20"/>
      <c r="B20" s="55"/>
      <c r="C20" s="35"/>
      <c r="D20" s="28"/>
      <c r="E20" s="29"/>
      <c r="F20" s="30"/>
      <c r="G20" s="31"/>
      <c r="H20" s="32"/>
      <c r="I20" s="29"/>
      <c r="J20" s="30"/>
      <c r="K20" s="31"/>
      <c r="L20" s="32"/>
      <c r="M20" s="29"/>
      <c r="N20" s="30"/>
      <c r="O20" s="31"/>
      <c r="P20" s="32"/>
      <c r="Q20" s="33"/>
      <c r="R20" s="34"/>
    </row>
    <row r="21" spans="1:18" ht="18" customHeight="1">
      <c r="A21" s="20"/>
      <c r="B21" s="55"/>
      <c r="C21" s="35"/>
      <c r="D21" s="28"/>
      <c r="E21" s="29"/>
      <c r="F21" s="30"/>
      <c r="G21" s="31"/>
      <c r="H21" s="32"/>
      <c r="I21" s="29"/>
      <c r="J21" s="30"/>
      <c r="K21" s="31"/>
      <c r="L21" s="32"/>
      <c r="M21" s="29"/>
      <c r="N21" s="30"/>
      <c r="O21" s="31"/>
      <c r="P21" s="32"/>
      <c r="Q21" s="33"/>
      <c r="R21" s="34"/>
    </row>
    <row r="22" spans="1:18" ht="18" customHeight="1">
      <c r="A22" s="20"/>
      <c r="B22" s="55"/>
      <c r="C22" s="35"/>
      <c r="D22" s="28"/>
      <c r="E22" s="29"/>
      <c r="F22" s="30"/>
      <c r="G22" s="31"/>
      <c r="H22" s="32"/>
      <c r="I22" s="29"/>
      <c r="J22" s="30"/>
      <c r="K22" s="31"/>
      <c r="L22" s="32"/>
      <c r="M22" s="29"/>
      <c r="N22" s="30"/>
      <c r="O22" s="31"/>
      <c r="P22" s="32"/>
      <c r="Q22" s="33"/>
      <c r="R22" s="34"/>
    </row>
    <row r="23" spans="1:18" ht="18" customHeight="1">
      <c r="A23" s="20"/>
      <c r="B23" s="55"/>
      <c r="C23" s="35"/>
      <c r="D23" s="28"/>
      <c r="E23" s="29"/>
      <c r="F23" s="30"/>
      <c r="G23" s="31"/>
      <c r="H23" s="32"/>
      <c r="I23" s="29"/>
      <c r="J23" s="30"/>
      <c r="K23" s="31"/>
      <c r="L23" s="32"/>
      <c r="M23" s="29"/>
      <c r="N23" s="30"/>
      <c r="O23" s="31"/>
      <c r="P23" s="32"/>
      <c r="Q23" s="33"/>
      <c r="R23" s="34"/>
    </row>
    <row r="24" spans="1:18" ht="18" customHeight="1">
      <c r="A24" s="20"/>
      <c r="B24" s="55"/>
      <c r="C24" s="35"/>
      <c r="D24" s="28"/>
      <c r="E24" s="29"/>
      <c r="F24" s="30"/>
      <c r="G24" s="31"/>
      <c r="H24" s="32"/>
      <c r="I24" s="29"/>
      <c r="J24" s="30"/>
      <c r="K24" s="31"/>
      <c r="L24" s="32"/>
      <c r="M24" s="29"/>
      <c r="N24" s="30"/>
      <c r="O24" s="31"/>
      <c r="P24" s="32"/>
      <c r="Q24" s="33"/>
      <c r="R24" s="34"/>
    </row>
    <row r="25" spans="1:18" ht="18" customHeight="1">
      <c r="A25" s="20"/>
      <c r="B25" s="55"/>
      <c r="C25" s="35"/>
      <c r="D25" s="28"/>
      <c r="E25" s="29"/>
      <c r="F25" s="30"/>
      <c r="G25" s="31"/>
      <c r="H25" s="32"/>
      <c r="I25" s="29"/>
      <c r="J25" s="30"/>
      <c r="K25" s="31"/>
      <c r="L25" s="32"/>
      <c r="M25" s="29"/>
      <c r="N25" s="30"/>
      <c r="O25" s="31"/>
      <c r="P25" s="32"/>
      <c r="Q25" s="33"/>
      <c r="R25" s="34"/>
    </row>
    <row r="26" spans="1:18" ht="18" customHeight="1">
      <c r="A26" s="20"/>
      <c r="B26" s="55"/>
      <c r="C26" s="35"/>
      <c r="D26" s="28"/>
      <c r="E26" s="29"/>
      <c r="F26" s="30"/>
      <c r="G26" s="31"/>
      <c r="H26" s="32"/>
      <c r="I26" s="29"/>
      <c r="J26" s="30"/>
      <c r="K26" s="31"/>
      <c r="L26" s="32"/>
      <c r="M26" s="29"/>
      <c r="N26" s="30"/>
      <c r="O26" s="31"/>
      <c r="P26" s="32"/>
      <c r="Q26" s="33"/>
      <c r="R26" s="34"/>
    </row>
    <row r="27" spans="1:18" ht="18" customHeight="1">
      <c r="A27" s="20"/>
      <c r="B27" s="55"/>
      <c r="C27" s="27"/>
      <c r="D27" s="28"/>
      <c r="E27" s="29"/>
      <c r="F27" s="30"/>
      <c r="G27" s="31"/>
      <c r="H27" s="32"/>
      <c r="I27" s="29"/>
      <c r="J27" s="30"/>
      <c r="K27" s="31"/>
      <c r="L27" s="32"/>
      <c r="M27" s="29"/>
      <c r="N27" s="30"/>
      <c r="O27" s="31"/>
      <c r="P27" s="32"/>
      <c r="Q27" s="33"/>
      <c r="R27" s="34"/>
    </row>
    <row r="28" spans="1:18" ht="18" customHeight="1">
      <c r="A28" s="20"/>
      <c r="B28" s="55"/>
      <c r="C28" s="27"/>
      <c r="D28" s="28"/>
      <c r="E28" s="29"/>
      <c r="F28" s="30"/>
      <c r="G28" s="31"/>
      <c r="H28" s="32"/>
      <c r="I28" s="29"/>
      <c r="J28" s="30"/>
      <c r="K28" s="31"/>
      <c r="L28" s="32"/>
      <c r="M28" s="29"/>
      <c r="N28" s="30"/>
      <c r="O28" s="31"/>
      <c r="P28" s="32"/>
      <c r="Q28" s="33"/>
      <c r="R28" s="34"/>
    </row>
    <row r="29" spans="1:18" ht="18" customHeight="1" thickBot="1">
      <c r="A29" s="20"/>
      <c r="B29" s="56"/>
      <c r="C29" s="57"/>
      <c r="D29" s="21"/>
      <c r="E29" s="22"/>
      <c r="F29" s="23"/>
      <c r="G29" s="24"/>
      <c r="H29" s="25"/>
      <c r="I29" s="22"/>
      <c r="J29" s="23"/>
      <c r="K29" s="24"/>
      <c r="L29" s="25"/>
      <c r="M29" s="22"/>
      <c r="N29" s="23"/>
      <c r="O29" s="24"/>
      <c r="P29" s="25"/>
      <c r="Q29" s="36"/>
      <c r="R29" s="26"/>
    </row>
    <row r="30" spans="1:18" ht="18" customHeight="1" thickTop="1">
      <c r="B30" s="58" t="s">
        <v>150</v>
      </c>
      <c r="C30" s="59">
        <f t="shared" ref="C30:Q30" si="2">SUM(C10:C29)</f>
        <v>970</v>
      </c>
      <c r="D30" s="37">
        <f t="shared" si="2"/>
        <v>4180</v>
      </c>
      <c r="E30" s="38">
        <f t="shared" si="2"/>
        <v>105</v>
      </c>
      <c r="F30" s="39">
        <f t="shared" si="2"/>
        <v>99</v>
      </c>
      <c r="G30" s="40">
        <f t="shared" si="2"/>
        <v>4</v>
      </c>
      <c r="H30" s="41">
        <f t="shared" si="2"/>
        <v>3</v>
      </c>
      <c r="I30" s="38">
        <f t="shared" si="2"/>
        <v>0</v>
      </c>
      <c r="J30" s="39">
        <f t="shared" si="2"/>
        <v>0</v>
      </c>
      <c r="K30" s="40">
        <f t="shared" si="2"/>
        <v>0</v>
      </c>
      <c r="L30" s="41">
        <f t="shared" si="2"/>
        <v>0</v>
      </c>
      <c r="M30" s="38">
        <f t="shared" si="2"/>
        <v>0</v>
      </c>
      <c r="N30" s="39">
        <f t="shared" si="2"/>
        <v>0</v>
      </c>
      <c r="O30" s="40">
        <f t="shared" si="2"/>
        <v>0</v>
      </c>
      <c r="P30" s="41">
        <f t="shared" si="2"/>
        <v>0</v>
      </c>
      <c r="Q30" s="42">
        <f t="shared" si="2"/>
        <v>109</v>
      </c>
      <c r="R30" s="43">
        <f>Q30/D30</f>
        <v>2.6076555023923444E-2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zoomScaleNormal="100" zoomScaleSheetLayoutView="100" workbookViewId="0"/>
  </sheetViews>
  <sheetFormatPr defaultColWidth="11.375" defaultRowHeight="18.75" customHeight="1"/>
  <cols>
    <col min="1" max="1" width="2.625" style="99" customWidth="1"/>
    <col min="2" max="2" width="16.625" style="5" customWidth="1"/>
    <col min="3" max="3" width="8.875" style="5" customWidth="1"/>
    <col min="4" max="4" width="2.125" style="5" customWidth="1"/>
    <col min="5" max="5" width="16.625" style="5" customWidth="1"/>
    <col min="6" max="6" width="8.875" style="5" customWidth="1"/>
    <col min="7" max="7" width="2.125" style="5" customWidth="1"/>
    <col min="8" max="8" width="16.625" style="5" customWidth="1"/>
    <col min="9" max="9" width="8.875" style="5" customWidth="1"/>
    <col min="10" max="10" width="2.125" style="5" customWidth="1"/>
    <col min="11" max="16384" width="11.375" style="5"/>
  </cols>
  <sheetData>
    <row r="1" spans="1:11" ht="18.75" customHeight="1">
      <c r="A1" s="99" t="s">
        <v>151</v>
      </c>
      <c r="J1" s="100" t="s">
        <v>152</v>
      </c>
    </row>
    <row r="2" spans="1:11" ht="18.75" customHeight="1">
      <c r="A2" s="229" t="s">
        <v>153</v>
      </c>
      <c r="B2" s="229"/>
      <c r="C2" s="229"/>
      <c r="D2" s="229"/>
      <c r="E2" s="229"/>
      <c r="F2" s="229"/>
      <c r="G2" s="229"/>
      <c r="H2" s="229"/>
      <c r="I2" s="229"/>
      <c r="J2" s="229"/>
    </row>
    <row r="3" spans="1:11" ht="7.5" customHeight="1">
      <c r="B3" s="12"/>
      <c r="C3" s="12"/>
      <c r="D3" s="12"/>
      <c r="E3" s="12"/>
      <c r="F3" s="12"/>
      <c r="G3" s="12"/>
      <c r="H3" s="12"/>
      <c r="I3" s="12"/>
      <c r="J3" s="12"/>
    </row>
    <row r="4" spans="1:11" ht="18.75" customHeight="1">
      <c r="A4" s="5" t="s">
        <v>2</v>
      </c>
      <c r="B4" s="5" t="s">
        <v>154</v>
      </c>
      <c r="I4" s="12"/>
      <c r="J4" s="12"/>
    </row>
    <row r="5" spans="1:11" ht="18.75" customHeight="1">
      <c r="A5" s="5"/>
      <c r="B5" s="139" t="s">
        <v>155</v>
      </c>
      <c r="C5" s="140"/>
      <c r="D5" s="140"/>
      <c r="E5" s="140"/>
      <c r="F5" s="140"/>
      <c r="G5" s="140"/>
      <c r="H5" s="140"/>
      <c r="I5" s="140"/>
      <c r="J5" s="277"/>
      <c r="K5" s="5" t="str">
        <f>IF(B5="","入力してください","")</f>
        <v/>
      </c>
    </row>
    <row r="6" spans="1:11" ht="7.5" customHeight="1">
      <c r="B6" s="12"/>
      <c r="C6" s="12"/>
      <c r="D6" s="12"/>
      <c r="E6" s="12"/>
      <c r="F6" s="12"/>
      <c r="G6" s="12"/>
      <c r="H6" s="12"/>
      <c r="I6" s="12"/>
      <c r="J6" s="12"/>
    </row>
    <row r="7" spans="1:11" ht="18.75" customHeight="1">
      <c r="A7" s="5" t="s">
        <v>5</v>
      </c>
      <c r="B7" s="5" t="s">
        <v>156</v>
      </c>
    </row>
    <row r="8" spans="1:11" ht="18.75" customHeight="1">
      <c r="A8" s="47"/>
      <c r="B8" s="256" t="s">
        <v>157</v>
      </c>
      <c r="C8" s="257"/>
      <c r="D8" s="257"/>
      <c r="E8" s="257"/>
      <c r="F8" s="257"/>
      <c r="G8" s="257"/>
      <c r="H8" s="257"/>
      <c r="I8" s="265"/>
      <c r="J8" s="266"/>
      <c r="K8" s="5" t="str">
        <f>IF(B8="","入力してください","")</f>
        <v/>
      </c>
    </row>
    <row r="9" spans="1:11" ht="18.75" customHeight="1">
      <c r="A9" s="47"/>
      <c r="B9" s="267"/>
      <c r="C9" s="268"/>
      <c r="D9" s="268"/>
      <c r="E9" s="268"/>
      <c r="F9" s="268"/>
      <c r="G9" s="268"/>
      <c r="H9" s="268"/>
      <c r="I9" s="268"/>
      <c r="J9" s="269"/>
    </row>
    <row r="10" spans="1:11" ht="18.75" customHeight="1">
      <c r="A10" s="47"/>
      <c r="B10" s="267"/>
      <c r="C10" s="268"/>
      <c r="D10" s="268"/>
      <c r="E10" s="268"/>
      <c r="F10" s="268"/>
      <c r="G10" s="268"/>
      <c r="H10" s="268"/>
      <c r="I10" s="268"/>
      <c r="J10" s="269"/>
    </row>
    <row r="11" spans="1:11" ht="18.75" customHeight="1">
      <c r="A11" s="47"/>
      <c r="B11" s="267"/>
      <c r="C11" s="268"/>
      <c r="D11" s="268"/>
      <c r="E11" s="268"/>
      <c r="F11" s="268"/>
      <c r="G11" s="268"/>
      <c r="H11" s="268"/>
      <c r="I11" s="268"/>
      <c r="J11" s="269"/>
    </row>
    <row r="12" spans="1:11" ht="41.1" customHeight="1">
      <c r="A12" s="47"/>
      <c r="B12" s="270"/>
      <c r="C12" s="271"/>
      <c r="D12" s="271"/>
      <c r="E12" s="271"/>
      <c r="F12" s="271"/>
      <c r="G12" s="271"/>
      <c r="H12" s="271"/>
      <c r="I12" s="271"/>
      <c r="J12" s="272"/>
    </row>
    <row r="13" spans="1:11" ht="7.5" customHeight="1">
      <c r="A13" s="47"/>
      <c r="B13" s="47"/>
      <c r="C13" s="47"/>
      <c r="D13" s="47"/>
      <c r="E13" s="47"/>
      <c r="F13" s="47"/>
      <c r="G13" s="47"/>
      <c r="H13" s="47"/>
      <c r="I13" s="47"/>
      <c r="J13" s="47"/>
    </row>
    <row r="14" spans="1:11" ht="18.75" customHeight="1">
      <c r="A14" s="101" t="s">
        <v>158</v>
      </c>
      <c r="B14" s="101" t="s">
        <v>159</v>
      </c>
      <c r="C14" s="101"/>
      <c r="D14" s="101"/>
      <c r="E14" s="101"/>
      <c r="F14" s="101"/>
      <c r="G14" s="101"/>
      <c r="H14" s="101"/>
      <c r="I14" s="101"/>
      <c r="J14" s="101"/>
    </row>
    <row r="15" spans="1:11" ht="18.75" customHeight="1">
      <c r="A15" s="47"/>
      <c r="B15" s="256" t="s">
        <v>160</v>
      </c>
      <c r="C15" s="257"/>
      <c r="D15" s="257"/>
      <c r="E15" s="257"/>
      <c r="F15" s="257"/>
      <c r="G15" s="257"/>
      <c r="H15" s="257"/>
      <c r="I15" s="265"/>
      <c r="J15" s="266"/>
      <c r="K15" s="5" t="str">
        <f>IF(B15="","入力してください","")</f>
        <v/>
      </c>
    </row>
    <row r="16" spans="1:11" ht="18.75" customHeight="1">
      <c r="A16" s="47"/>
      <c r="B16" s="267"/>
      <c r="C16" s="268"/>
      <c r="D16" s="268"/>
      <c r="E16" s="268"/>
      <c r="F16" s="268"/>
      <c r="G16" s="268"/>
      <c r="H16" s="268"/>
      <c r="I16" s="268"/>
      <c r="J16" s="269"/>
    </row>
    <row r="17" spans="1:11" ht="18.75" customHeight="1">
      <c r="A17" s="47"/>
      <c r="B17" s="267"/>
      <c r="C17" s="268"/>
      <c r="D17" s="268"/>
      <c r="E17" s="268"/>
      <c r="F17" s="268"/>
      <c r="G17" s="268"/>
      <c r="H17" s="268"/>
      <c r="I17" s="268"/>
      <c r="J17" s="269"/>
    </row>
    <row r="18" spans="1:11" ht="18.75" customHeight="1">
      <c r="A18" s="47"/>
      <c r="B18" s="267"/>
      <c r="C18" s="268"/>
      <c r="D18" s="268"/>
      <c r="E18" s="268"/>
      <c r="F18" s="268"/>
      <c r="G18" s="268"/>
      <c r="H18" s="268"/>
      <c r="I18" s="268"/>
      <c r="J18" s="269"/>
    </row>
    <row r="19" spans="1:11" ht="18.75" customHeight="1">
      <c r="A19" s="47"/>
      <c r="B19" s="267"/>
      <c r="C19" s="268"/>
      <c r="D19" s="268"/>
      <c r="E19" s="268"/>
      <c r="F19" s="268"/>
      <c r="G19" s="268"/>
      <c r="H19" s="268"/>
      <c r="I19" s="268"/>
      <c r="J19" s="269"/>
    </row>
    <row r="20" spans="1:11" ht="18.75" customHeight="1">
      <c r="A20" s="47"/>
      <c r="B20" s="267"/>
      <c r="C20" s="268"/>
      <c r="D20" s="268"/>
      <c r="E20" s="268"/>
      <c r="F20" s="268"/>
      <c r="G20" s="268"/>
      <c r="H20" s="268"/>
      <c r="I20" s="268"/>
      <c r="J20" s="269"/>
    </row>
    <row r="21" spans="1:11" ht="18.75" customHeight="1">
      <c r="A21" s="47"/>
      <c r="B21" s="267"/>
      <c r="C21" s="268"/>
      <c r="D21" s="268"/>
      <c r="E21" s="268"/>
      <c r="F21" s="268"/>
      <c r="G21" s="268"/>
      <c r="H21" s="268"/>
      <c r="I21" s="268"/>
      <c r="J21" s="269"/>
    </row>
    <row r="22" spans="1:11" ht="18.75" customHeight="1">
      <c r="A22" s="47"/>
      <c r="B22" s="267"/>
      <c r="C22" s="268"/>
      <c r="D22" s="268"/>
      <c r="E22" s="268"/>
      <c r="F22" s="268"/>
      <c r="G22" s="268"/>
      <c r="H22" s="268"/>
      <c r="I22" s="268"/>
      <c r="J22" s="269"/>
    </row>
    <row r="23" spans="1:11" ht="18.75" customHeight="1">
      <c r="A23" s="47"/>
      <c r="B23" s="267"/>
      <c r="C23" s="268"/>
      <c r="D23" s="268"/>
      <c r="E23" s="268"/>
      <c r="F23" s="268"/>
      <c r="G23" s="268"/>
      <c r="H23" s="268"/>
      <c r="I23" s="268"/>
      <c r="J23" s="269"/>
    </row>
    <row r="24" spans="1:11" ht="18.75" customHeight="1">
      <c r="A24" s="47"/>
      <c r="B24" s="267"/>
      <c r="C24" s="268"/>
      <c r="D24" s="268"/>
      <c r="E24" s="268"/>
      <c r="F24" s="268"/>
      <c r="G24" s="268"/>
      <c r="H24" s="268"/>
      <c r="I24" s="268"/>
      <c r="J24" s="269"/>
    </row>
    <row r="25" spans="1:11" ht="348.6" customHeight="1">
      <c r="A25" s="47"/>
      <c r="B25" s="270"/>
      <c r="C25" s="271"/>
      <c r="D25" s="271"/>
      <c r="E25" s="271"/>
      <c r="F25" s="271"/>
      <c r="G25" s="271"/>
      <c r="H25" s="271"/>
      <c r="I25" s="271"/>
      <c r="J25" s="272"/>
    </row>
    <row r="26" spans="1:11" ht="7.5" customHeight="1">
      <c r="A26" s="102"/>
      <c r="B26" s="102"/>
      <c r="C26" s="102"/>
      <c r="D26" s="102"/>
      <c r="E26" s="102"/>
      <c r="F26" s="102"/>
      <c r="G26" s="102"/>
      <c r="H26" s="102"/>
      <c r="I26" s="102"/>
      <c r="J26" s="102"/>
    </row>
    <row r="27" spans="1:11" ht="18.75" customHeight="1">
      <c r="A27" s="5" t="s">
        <v>11</v>
      </c>
      <c r="B27" s="5" t="s">
        <v>161</v>
      </c>
    </row>
    <row r="28" spans="1:11" s="12" customFormat="1" ht="18.75" customHeight="1">
      <c r="B28" s="89" t="s">
        <v>162</v>
      </c>
      <c r="C28" s="90">
        <f>'様式３　履修者等数の実績'!R30</f>
        <v>2.6076555023923444E-2</v>
      </c>
      <c r="D28" s="91"/>
      <c r="E28" s="91" t="s">
        <v>163</v>
      </c>
      <c r="F28" s="90">
        <v>0.06</v>
      </c>
      <c r="G28" s="91"/>
      <c r="H28" s="91" t="s">
        <v>164</v>
      </c>
      <c r="I28" s="92">
        <v>0.08</v>
      </c>
      <c r="J28" s="93"/>
      <c r="K28" s="5"/>
    </row>
    <row r="29" spans="1:11" s="12" customFormat="1" ht="18.75" customHeight="1">
      <c r="B29" s="94" t="s">
        <v>165</v>
      </c>
      <c r="C29" s="95">
        <v>0.09</v>
      </c>
      <c r="D29" s="96"/>
      <c r="E29" s="96" t="s">
        <v>166</v>
      </c>
      <c r="F29" s="95">
        <v>0.09</v>
      </c>
      <c r="G29" s="96"/>
      <c r="H29" s="96" t="s">
        <v>167</v>
      </c>
      <c r="I29" s="97">
        <f>'様式３　履修者等数の実績'!D30</f>
        <v>4180</v>
      </c>
      <c r="J29" s="98"/>
      <c r="K29" s="5"/>
    </row>
    <row r="30" spans="1:11" ht="18.75" customHeight="1">
      <c r="A30" s="5"/>
      <c r="B30" s="197" t="s">
        <v>168</v>
      </c>
      <c r="C30" s="198"/>
      <c r="D30" s="198"/>
      <c r="E30" s="198"/>
      <c r="F30" s="198"/>
      <c r="G30" s="198"/>
      <c r="H30" s="198"/>
      <c r="I30" s="198"/>
      <c r="J30" s="199"/>
    </row>
    <row r="31" spans="1:11" ht="18.75" customHeight="1">
      <c r="A31" s="5"/>
      <c r="B31" s="274" t="s">
        <v>169</v>
      </c>
      <c r="C31" s="275"/>
      <c r="D31" s="275"/>
      <c r="E31" s="275"/>
      <c r="F31" s="275"/>
      <c r="G31" s="275"/>
      <c r="H31" s="275"/>
      <c r="I31" s="275"/>
      <c r="J31" s="276"/>
      <c r="K31" s="5" t="str">
        <f>IF(B31="","入力してください","")</f>
        <v/>
      </c>
    </row>
    <row r="32" spans="1:11" ht="18.75" customHeight="1">
      <c r="A32" s="5"/>
      <c r="B32" s="267"/>
      <c r="C32" s="268"/>
      <c r="D32" s="268"/>
      <c r="E32" s="268"/>
      <c r="F32" s="268"/>
      <c r="G32" s="268"/>
      <c r="H32" s="268"/>
      <c r="I32" s="268"/>
      <c r="J32" s="269"/>
    </row>
    <row r="33" spans="1:11" ht="18.75" customHeight="1">
      <c r="A33" s="5"/>
      <c r="B33" s="267"/>
      <c r="C33" s="268"/>
      <c r="D33" s="268"/>
      <c r="E33" s="268"/>
      <c r="F33" s="268"/>
      <c r="G33" s="268"/>
      <c r="H33" s="268"/>
      <c r="I33" s="268"/>
      <c r="J33" s="269"/>
    </row>
    <row r="34" spans="1:11" ht="18.75" customHeight="1">
      <c r="A34" s="5"/>
      <c r="B34" s="267"/>
      <c r="C34" s="268"/>
      <c r="D34" s="268"/>
      <c r="E34" s="268"/>
      <c r="F34" s="268"/>
      <c r="G34" s="268"/>
      <c r="H34" s="268"/>
      <c r="I34" s="268"/>
      <c r="J34" s="269"/>
    </row>
    <row r="35" spans="1:11" ht="18.75" customHeight="1">
      <c r="A35" s="5"/>
      <c r="B35" s="267"/>
      <c r="C35" s="268"/>
      <c r="D35" s="268"/>
      <c r="E35" s="268"/>
      <c r="F35" s="268"/>
      <c r="G35" s="268"/>
      <c r="H35" s="268"/>
      <c r="I35" s="268"/>
      <c r="J35" s="269"/>
    </row>
    <row r="36" spans="1:11" ht="18.75" customHeight="1">
      <c r="A36" s="5"/>
      <c r="B36" s="267"/>
      <c r="C36" s="268"/>
      <c r="D36" s="268"/>
      <c r="E36" s="268"/>
      <c r="F36" s="268"/>
      <c r="G36" s="268"/>
      <c r="H36" s="268"/>
      <c r="I36" s="268"/>
      <c r="J36" s="269"/>
    </row>
    <row r="37" spans="1:11" ht="18.75" customHeight="1">
      <c r="A37" s="5"/>
      <c r="B37" s="267"/>
      <c r="C37" s="268"/>
      <c r="D37" s="268"/>
      <c r="E37" s="268"/>
      <c r="F37" s="268"/>
      <c r="G37" s="268"/>
      <c r="H37" s="268"/>
      <c r="I37" s="268"/>
      <c r="J37" s="269"/>
    </row>
    <row r="38" spans="1:11" ht="18.75" customHeight="1">
      <c r="A38" s="5"/>
      <c r="B38" s="267"/>
      <c r="C38" s="268"/>
      <c r="D38" s="268"/>
      <c r="E38" s="268"/>
      <c r="F38" s="268"/>
      <c r="G38" s="268"/>
      <c r="H38" s="268"/>
      <c r="I38" s="268"/>
      <c r="J38" s="269"/>
    </row>
    <row r="39" spans="1:11" ht="18.75" customHeight="1">
      <c r="A39" s="5"/>
      <c r="B39" s="267"/>
      <c r="C39" s="268"/>
      <c r="D39" s="268"/>
      <c r="E39" s="268"/>
      <c r="F39" s="268"/>
      <c r="G39" s="268"/>
      <c r="H39" s="268"/>
      <c r="I39" s="268"/>
      <c r="J39" s="269"/>
    </row>
    <row r="40" spans="1:11" ht="18.75" customHeight="1">
      <c r="A40" s="5"/>
      <c r="B40" s="267"/>
      <c r="C40" s="268"/>
      <c r="D40" s="268"/>
      <c r="E40" s="268"/>
      <c r="F40" s="268"/>
      <c r="G40" s="268"/>
      <c r="H40" s="268"/>
      <c r="I40" s="268"/>
      <c r="J40" s="269"/>
    </row>
    <row r="41" spans="1:11" ht="18.75" customHeight="1">
      <c r="A41" s="5"/>
      <c r="B41" s="267"/>
      <c r="C41" s="268"/>
      <c r="D41" s="268"/>
      <c r="E41" s="268"/>
      <c r="F41" s="268"/>
      <c r="G41" s="268"/>
      <c r="H41" s="268"/>
      <c r="I41" s="268"/>
      <c r="J41" s="269"/>
    </row>
    <row r="42" spans="1:11" ht="18.75" customHeight="1">
      <c r="A42" s="5"/>
      <c r="B42" s="267"/>
      <c r="C42" s="268"/>
      <c r="D42" s="268"/>
      <c r="E42" s="268"/>
      <c r="F42" s="268"/>
      <c r="G42" s="268"/>
      <c r="H42" s="268"/>
      <c r="I42" s="268"/>
      <c r="J42" s="269"/>
    </row>
    <row r="43" spans="1:11" ht="14.85" customHeight="1">
      <c r="A43" s="102"/>
      <c r="B43" s="267"/>
      <c r="C43" s="268"/>
      <c r="D43" s="268"/>
      <c r="E43" s="268"/>
      <c r="F43" s="268"/>
      <c r="G43" s="268"/>
      <c r="H43" s="268"/>
      <c r="I43" s="268"/>
      <c r="J43" s="269"/>
    </row>
    <row r="44" spans="1:11" ht="20.100000000000001" customHeight="1">
      <c r="A44" s="102"/>
      <c r="B44" s="270"/>
      <c r="C44" s="271"/>
      <c r="D44" s="271"/>
      <c r="E44" s="271"/>
      <c r="F44" s="271"/>
      <c r="G44" s="271"/>
      <c r="H44" s="271"/>
      <c r="I44" s="271"/>
      <c r="J44" s="272"/>
    </row>
    <row r="45" spans="1:11" ht="18.75" customHeight="1">
      <c r="A45" s="101" t="s">
        <v>13</v>
      </c>
      <c r="B45" s="5" t="s">
        <v>170</v>
      </c>
      <c r="I45" s="101"/>
      <c r="J45" s="101"/>
    </row>
    <row r="46" spans="1:11" ht="18.75" customHeight="1">
      <c r="A46" s="102"/>
      <c r="B46" s="256" t="s">
        <v>171</v>
      </c>
      <c r="C46" s="257"/>
      <c r="D46" s="257"/>
      <c r="E46" s="257"/>
      <c r="F46" s="257"/>
      <c r="G46" s="257"/>
      <c r="H46" s="257"/>
      <c r="I46" s="257"/>
      <c r="J46" s="258"/>
      <c r="K46" s="5" t="str">
        <f>IF(B46="","入力してください","")</f>
        <v/>
      </c>
    </row>
    <row r="47" spans="1:11" ht="18.75" customHeight="1">
      <c r="A47" s="102"/>
      <c r="B47" s="259"/>
      <c r="C47" s="260"/>
      <c r="D47" s="260"/>
      <c r="E47" s="260"/>
      <c r="F47" s="260"/>
      <c r="G47" s="260"/>
      <c r="H47" s="260"/>
      <c r="I47" s="260"/>
      <c r="J47" s="261"/>
    </row>
    <row r="48" spans="1:11" ht="18.75" customHeight="1">
      <c r="A48" s="102"/>
      <c r="B48" s="259"/>
      <c r="C48" s="260"/>
      <c r="D48" s="260"/>
      <c r="E48" s="260"/>
      <c r="F48" s="260"/>
      <c r="G48" s="260"/>
      <c r="H48" s="260"/>
      <c r="I48" s="260"/>
      <c r="J48" s="261"/>
    </row>
    <row r="49" spans="1:10" ht="18.75" customHeight="1">
      <c r="A49" s="102"/>
      <c r="B49" s="259"/>
      <c r="C49" s="260"/>
      <c r="D49" s="260"/>
      <c r="E49" s="260"/>
      <c r="F49" s="260"/>
      <c r="G49" s="260"/>
      <c r="H49" s="260"/>
      <c r="I49" s="260"/>
      <c r="J49" s="261"/>
    </row>
    <row r="50" spans="1:10" ht="18.75" customHeight="1">
      <c r="A50" s="102"/>
      <c r="B50" s="259"/>
      <c r="C50" s="260"/>
      <c r="D50" s="260"/>
      <c r="E50" s="260"/>
      <c r="F50" s="260"/>
      <c r="G50" s="260"/>
      <c r="H50" s="260"/>
      <c r="I50" s="260"/>
      <c r="J50" s="261"/>
    </row>
    <row r="51" spans="1:10" ht="18.75" customHeight="1">
      <c r="A51" s="102"/>
      <c r="B51" s="259"/>
      <c r="C51" s="260"/>
      <c r="D51" s="260"/>
      <c r="E51" s="260"/>
      <c r="F51" s="260"/>
      <c r="G51" s="260"/>
      <c r="H51" s="260"/>
      <c r="I51" s="260"/>
      <c r="J51" s="261"/>
    </row>
    <row r="52" spans="1:10" ht="18.75" customHeight="1">
      <c r="A52" s="102"/>
      <c r="B52" s="259"/>
      <c r="C52" s="260"/>
      <c r="D52" s="260"/>
      <c r="E52" s="260"/>
      <c r="F52" s="260"/>
      <c r="G52" s="260"/>
      <c r="H52" s="260"/>
      <c r="I52" s="260"/>
      <c r="J52" s="261"/>
    </row>
    <row r="53" spans="1:10" ht="18.75" customHeight="1">
      <c r="A53" s="102"/>
      <c r="B53" s="259"/>
      <c r="C53" s="260"/>
      <c r="D53" s="260"/>
      <c r="E53" s="260"/>
      <c r="F53" s="260"/>
      <c r="G53" s="260"/>
      <c r="H53" s="260"/>
      <c r="I53" s="260"/>
      <c r="J53" s="261"/>
    </row>
    <row r="54" spans="1:10" ht="18.75" customHeight="1">
      <c r="A54" s="102"/>
      <c r="B54" s="259"/>
      <c r="C54" s="260"/>
      <c r="D54" s="260"/>
      <c r="E54" s="260"/>
      <c r="F54" s="260"/>
      <c r="G54" s="260"/>
      <c r="H54" s="260"/>
      <c r="I54" s="260"/>
      <c r="J54" s="261"/>
    </row>
    <row r="55" spans="1:10" ht="18.75" customHeight="1">
      <c r="A55" s="102"/>
      <c r="B55" s="259"/>
      <c r="C55" s="260"/>
      <c r="D55" s="260"/>
      <c r="E55" s="260"/>
      <c r="F55" s="260"/>
      <c r="G55" s="260"/>
      <c r="H55" s="260"/>
      <c r="I55" s="260"/>
      <c r="J55" s="261"/>
    </row>
    <row r="56" spans="1:10" ht="18.75" customHeight="1">
      <c r="A56" s="102"/>
      <c r="B56" s="259"/>
      <c r="C56" s="260"/>
      <c r="D56" s="260"/>
      <c r="E56" s="260"/>
      <c r="F56" s="260"/>
      <c r="G56" s="260"/>
      <c r="H56" s="260"/>
      <c r="I56" s="260"/>
      <c r="J56" s="261"/>
    </row>
    <row r="57" spans="1:10" ht="18.75" customHeight="1">
      <c r="A57" s="102"/>
      <c r="B57" s="259"/>
      <c r="C57" s="260"/>
      <c r="D57" s="260"/>
      <c r="E57" s="260"/>
      <c r="F57" s="260"/>
      <c r="G57" s="260"/>
      <c r="H57" s="260"/>
      <c r="I57" s="260"/>
      <c r="J57" s="261"/>
    </row>
    <row r="58" spans="1:10" ht="18.75" customHeight="1">
      <c r="A58" s="102"/>
      <c r="B58" s="259"/>
      <c r="C58" s="260"/>
      <c r="D58" s="260"/>
      <c r="E58" s="260"/>
      <c r="F58" s="260"/>
      <c r="G58" s="260"/>
      <c r="H58" s="260"/>
      <c r="I58" s="260"/>
      <c r="J58" s="261"/>
    </row>
    <row r="59" spans="1:10" ht="18.75" customHeight="1">
      <c r="A59" s="102"/>
      <c r="B59" s="259"/>
      <c r="C59" s="260"/>
      <c r="D59" s="260"/>
      <c r="E59" s="260"/>
      <c r="F59" s="260"/>
      <c r="G59" s="260"/>
      <c r="H59" s="260"/>
      <c r="I59" s="260"/>
      <c r="J59" s="261"/>
    </row>
    <row r="60" spans="1:10" ht="18.75" customHeight="1">
      <c r="A60" s="102"/>
      <c r="B60" s="259"/>
      <c r="C60" s="260"/>
      <c r="D60" s="260"/>
      <c r="E60" s="260"/>
      <c r="F60" s="260"/>
      <c r="G60" s="260"/>
      <c r="H60" s="260"/>
      <c r="I60" s="260"/>
      <c r="J60" s="261"/>
    </row>
    <row r="61" spans="1:10" ht="18.75" customHeight="1">
      <c r="A61" s="102"/>
      <c r="B61" s="259"/>
      <c r="C61" s="260"/>
      <c r="D61" s="260"/>
      <c r="E61" s="260"/>
      <c r="F61" s="260"/>
      <c r="G61" s="260"/>
      <c r="H61" s="260"/>
      <c r="I61" s="260"/>
      <c r="J61" s="261"/>
    </row>
    <row r="62" spans="1:10" ht="18.75" customHeight="1">
      <c r="A62" s="102"/>
      <c r="B62" s="259"/>
      <c r="C62" s="260"/>
      <c r="D62" s="260"/>
      <c r="E62" s="260"/>
      <c r="F62" s="260"/>
      <c r="G62" s="260"/>
      <c r="H62" s="260"/>
      <c r="I62" s="260"/>
      <c r="J62" s="261"/>
    </row>
    <row r="63" spans="1:10" ht="18.75" customHeight="1">
      <c r="A63" s="102"/>
      <c r="B63" s="259"/>
      <c r="C63" s="260"/>
      <c r="D63" s="260"/>
      <c r="E63" s="260"/>
      <c r="F63" s="260"/>
      <c r="G63" s="260"/>
      <c r="H63" s="260"/>
      <c r="I63" s="260"/>
      <c r="J63" s="261"/>
    </row>
    <row r="64" spans="1:10" ht="18.75" customHeight="1">
      <c r="A64" s="102"/>
      <c r="B64" s="259"/>
      <c r="C64" s="260"/>
      <c r="D64" s="260"/>
      <c r="E64" s="260"/>
      <c r="F64" s="260"/>
      <c r="G64" s="260"/>
      <c r="H64" s="260"/>
      <c r="I64" s="260"/>
      <c r="J64" s="261"/>
    </row>
    <row r="65" spans="1:11" ht="18.75" customHeight="1">
      <c r="A65" s="102"/>
      <c r="B65" s="259"/>
      <c r="C65" s="260"/>
      <c r="D65" s="260"/>
      <c r="E65" s="260"/>
      <c r="F65" s="260"/>
      <c r="G65" s="260"/>
      <c r="H65" s="260"/>
      <c r="I65" s="260"/>
      <c r="J65" s="261"/>
    </row>
    <row r="66" spans="1:11" ht="18.75" customHeight="1">
      <c r="A66" s="102"/>
      <c r="B66" s="262"/>
      <c r="C66" s="263"/>
      <c r="D66" s="263"/>
      <c r="E66" s="263"/>
      <c r="F66" s="263"/>
      <c r="G66" s="263"/>
      <c r="H66" s="263"/>
      <c r="I66" s="263"/>
      <c r="J66" s="264"/>
    </row>
    <row r="67" spans="1:11" ht="7.5" customHeight="1">
      <c r="A67" s="102"/>
      <c r="B67" s="102"/>
      <c r="C67" s="102"/>
      <c r="D67" s="102"/>
      <c r="E67" s="102"/>
      <c r="F67" s="102"/>
      <c r="G67" s="102"/>
      <c r="H67" s="102"/>
      <c r="I67" s="102"/>
      <c r="J67" s="102"/>
    </row>
    <row r="68" spans="1:11" ht="18.75" customHeight="1">
      <c r="A68" s="5" t="s">
        <v>16</v>
      </c>
      <c r="B68" s="5" t="s">
        <v>172</v>
      </c>
    </row>
    <row r="69" spans="1:11" ht="18.75" customHeight="1">
      <c r="A69" s="5"/>
      <c r="B69" s="256" t="s">
        <v>173</v>
      </c>
      <c r="C69" s="257"/>
      <c r="D69" s="257"/>
      <c r="E69" s="257"/>
      <c r="F69" s="257"/>
      <c r="G69" s="257"/>
      <c r="H69" s="257"/>
      <c r="I69" s="265"/>
      <c r="J69" s="266"/>
      <c r="K69" s="5" t="str">
        <f>IF(B69="","入力してください","")</f>
        <v/>
      </c>
    </row>
    <row r="70" spans="1:11" ht="18.75" customHeight="1">
      <c r="A70" s="5"/>
      <c r="B70" s="267"/>
      <c r="C70" s="268"/>
      <c r="D70" s="268"/>
      <c r="E70" s="268"/>
      <c r="F70" s="268"/>
      <c r="G70" s="268"/>
      <c r="H70" s="268"/>
      <c r="I70" s="268"/>
      <c r="J70" s="269"/>
    </row>
    <row r="71" spans="1:11" ht="18.75" customHeight="1">
      <c r="A71" s="5"/>
      <c r="B71" s="267"/>
      <c r="C71" s="268"/>
      <c r="D71" s="268"/>
      <c r="E71" s="268"/>
      <c r="F71" s="268"/>
      <c r="G71" s="268"/>
      <c r="H71" s="268"/>
      <c r="I71" s="268"/>
      <c r="J71" s="269"/>
    </row>
    <row r="72" spans="1:11" ht="18.75" customHeight="1">
      <c r="A72" s="5"/>
      <c r="B72" s="267"/>
      <c r="C72" s="268"/>
      <c r="D72" s="268"/>
      <c r="E72" s="268"/>
      <c r="F72" s="268"/>
      <c r="G72" s="268"/>
      <c r="H72" s="268"/>
      <c r="I72" s="268"/>
      <c r="J72" s="269"/>
    </row>
    <row r="73" spans="1:11" ht="18.75" customHeight="1">
      <c r="A73" s="5"/>
      <c r="B73" s="267"/>
      <c r="C73" s="268"/>
      <c r="D73" s="268"/>
      <c r="E73" s="268"/>
      <c r="F73" s="268"/>
      <c r="G73" s="268"/>
      <c r="H73" s="268"/>
      <c r="I73" s="268"/>
      <c r="J73" s="269"/>
    </row>
    <row r="74" spans="1:11" ht="18.75" customHeight="1">
      <c r="A74" s="5"/>
      <c r="B74" s="267"/>
      <c r="C74" s="268"/>
      <c r="D74" s="268"/>
      <c r="E74" s="268"/>
      <c r="F74" s="268"/>
      <c r="G74" s="268"/>
      <c r="H74" s="268"/>
      <c r="I74" s="268"/>
      <c r="J74" s="269"/>
    </row>
    <row r="75" spans="1:11" ht="18.75" customHeight="1">
      <c r="A75" s="5"/>
      <c r="B75" s="267"/>
      <c r="C75" s="268"/>
      <c r="D75" s="268"/>
      <c r="E75" s="268"/>
      <c r="F75" s="268"/>
      <c r="G75" s="268"/>
      <c r="H75" s="268"/>
      <c r="I75" s="268"/>
      <c r="J75" s="269"/>
    </row>
    <row r="76" spans="1:11" ht="18.75" customHeight="1">
      <c r="A76" s="5"/>
      <c r="B76" s="267"/>
      <c r="C76" s="268"/>
      <c r="D76" s="268"/>
      <c r="E76" s="268"/>
      <c r="F76" s="268"/>
      <c r="G76" s="268"/>
      <c r="H76" s="268"/>
      <c r="I76" s="268"/>
      <c r="J76" s="269"/>
    </row>
    <row r="77" spans="1:11" ht="18.75" customHeight="1">
      <c r="A77" s="5"/>
      <c r="B77" s="267"/>
      <c r="C77" s="268"/>
      <c r="D77" s="268"/>
      <c r="E77" s="268"/>
      <c r="F77" s="268"/>
      <c r="G77" s="268"/>
      <c r="H77" s="268"/>
      <c r="I77" s="268"/>
      <c r="J77" s="269"/>
    </row>
    <row r="78" spans="1:11" ht="18.75" customHeight="1">
      <c r="A78" s="5"/>
      <c r="B78" s="267"/>
      <c r="C78" s="268"/>
      <c r="D78" s="268"/>
      <c r="E78" s="268"/>
      <c r="F78" s="268"/>
      <c r="G78" s="268"/>
      <c r="H78" s="268"/>
      <c r="I78" s="268"/>
      <c r="J78" s="269"/>
    </row>
    <row r="79" spans="1:11" ht="18.75" customHeight="1">
      <c r="A79" s="5"/>
      <c r="B79" s="267"/>
      <c r="C79" s="268"/>
      <c r="D79" s="268"/>
      <c r="E79" s="268"/>
      <c r="F79" s="268"/>
      <c r="G79" s="268"/>
      <c r="H79" s="268"/>
      <c r="I79" s="268"/>
      <c r="J79" s="269"/>
    </row>
    <row r="80" spans="1:11" ht="18.75" customHeight="1">
      <c r="A80" s="5"/>
      <c r="B80" s="267"/>
      <c r="C80" s="268"/>
      <c r="D80" s="268"/>
      <c r="E80" s="268"/>
      <c r="F80" s="268"/>
      <c r="G80" s="268"/>
      <c r="H80" s="268"/>
      <c r="I80" s="268"/>
      <c r="J80" s="269"/>
    </row>
    <row r="81" spans="1:11" ht="18.75" customHeight="1">
      <c r="A81" s="5"/>
      <c r="B81" s="267"/>
      <c r="C81" s="268"/>
      <c r="D81" s="268"/>
      <c r="E81" s="268"/>
      <c r="F81" s="268"/>
      <c r="G81" s="268"/>
      <c r="H81" s="268"/>
      <c r="I81" s="268"/>
      <c r="J81" s="269"/>
    </row>
    <row r="82" spans="1:11" ht="18.75" customHeight="1">
      <c r="A82" s="5"/>
      <c r="B82" s="267"/>
      <c r="C82" s="268"/>
      <c r="D82" s="268"/>
      <c r="E82" s="268"/>
      <c r="F82" s="268"/>
      <c r="G82" s="268"/>
      <c r="H82" s="268"/>
      <c r="I82" s="268"/>
      <c r="J82" s="269"/>
    </row>
    <row r="83" spans="1:11" ht="18.75" customHeight="1">
      <c r="A83" s="5"/>
      <c r="B83" s="267"/>
      <c r="C83" s="268"/>
      <c r="D83" s="268"/>
      <c r="E83" s="268"/>
      <c r="F83" s="268"/>
      <c r="G83" s="268"/>
      <c r="H83" s="268"/>
      <c r="I83" s="268"/>
      <c r="J83" s="269"/>
    </row>
    <row r="84" spans="1:11" ht="18.75" customHeight="1">
      <c r="A84" s="5"/>
      <c r="B84" s="267"/>
      <c r="C84" s="268"/>
      <c r="D84" s="268"/>
      <c r="E84" s="268"/>
      <c r="F84" s="268"/>
      <c r="G84" s="268"/>
      <c r="H84" s="268"/>
      <c r="I84" s="268"/>
      <c r="J84" s="269"/>
    </row>
    <row r="85" spans="1:11" ht="18.75" customHeight="1">
      <c r="A85" s="102"/>
      <c r="B85" s="267"/>
      <c r="C85" s="268"/>
      <c r="D85" s="268"/>
      <c r="E85" s="268"/>
      <c r="F85" s="268"/>
      <c r="G85" s="268"/>
      <c r="H85" s="268"/>
      <c r="I85" s="268"/>
      <c r="J85" s="269"/>
    </row>
    <row r="86" spans="1:11" ht="18.75" customHeight="1">
      <c r="A86" s="102"/>
      <c r="B86" s="270"/>
      <c r="C86" s="271"/>
      <c r="D86" s="271"/>
      <c r="E86" s="271"/>
      <c r="F86" s="271"/>
      <c r="G86" s="271"/>
      <c r="H86" s="271"/>
      <c r="I86" s="271"/>
      <c r="J86" s="272"/>
    </row>
    <row r="87" spans="1:11" ht="7.5" customHeight="1">
      <c r="A87" s="102"/>
      <c r="B87" s="102"/>
      <c r="C87" s="102"/>
      <c r="D87" s="102"/>
      <c r="E87" s="102"/>
      <c r="F87" s="102"/>
      <c r="G87" s="102"/>
      <c r="H87" s="102"/>
      <c r="I87" s="102"/>
      <c r="J87" s="102"/>
    </row>
    <row r="88" spans="1:11" ht="18.75" customHeight="1">
      <c r="A88" s="5" t="s">
        <v>174</v>
      </c>
      <c r="B88" s="5" t="s">
        <v>175</v>
      </c>
    </row>
    <row r="89" spans="1:11" ht="18.75" customHeight="1">
      <c r="A89" s="5"/>
      <c r="B89" s="256" t="s">
        <v>176</v>
      </c>
      <c r="C89" s="257"/>
      <c r="D89" s="257"/>
      <c r="E89" s="257"/>
      <c r="F89" s="257"/>
      <c r="G89" s="257"/>
      <c r="H89" s="257"/>
      <c r="I89" s="265"/>
      <c r="J89" s="266"/>
    </row>
    <row r="90" spans="1:11" ht="18.75" customHeight="1">
      <c r="A90" s="5"/>
      <c r="B90" s="267"/>
      <c r="C90" s="268"/>
      <c r="D90" s="268"/>
      <c r="E90" s="268"/>
      <c r="F90" s="268"/>
      <c r="G90" s="268"/>
      <c r="H90" s="268"/>
      <c r="I90" s="268"/>
      <c r="J90" s="269"/>
    </row>
    <row r="91" spans="1:11" ht="18.75" customHeight="1">
      <c r="A91" s="5"/>
      <c r="B91" s="267"/>
      <c r="C91" s="268"/>
      <c r="D91" s="268"/>
      <c r="E91" s="268"/>
      <c r="F91" s="268"/>
      <c r="G91" s="268"/>
      <c r="H91" s="268"/>
      <c r="I91" s="268"/>
      <c r="J91" s="269"/>
      <c r="K91" s="5" t="str">
        <f>IF(B89="","入力してください","")</f>
        <v/>
      </c>
    </row>
    <row r="92" spans="1:11" ht="18.75" customHeight="1">
      <c r="A92" s="5"/>
      <c r="B92" s="267"/>
      <c r="C92" s="268"/>
      <c r="D92" s="268"/>
      <c r="E92" s="268"/>
      <c r="F92" s="268"/>
      <c r="G92" s="268"/>
      <c r="H92" s="268"/>
      <c r="I92" s="268"/>
      <c r="J92" s="269"/>
    </row>
    <row r="93" spans="1:11" ht="18.75" customHeight="1">
      <c r="A93" s="5"/>
      <c r="B93" s="267"/>
      <c r="C93" s="268"/>
      <c r="D93" s="268"/>
      <c r="E93" s="268"/>
      <c r="F93" s="268"/>
      <c r="G93" s="268"/>
      <c r="H93" s="268"/>
      <c r="I93" s="268"/>
      <c r="J93" s="269"/>
    </row>
    <row r="94" spans="1:11" ht="18.75" customHeight="1">
      <c r="A94" s="5"/>
      <c r="B94" s="267"/>
      <c r="C94" s="268"/>
      <c r="D94" s="268"/>
      <c r="E94" s="268"/>
      <c r="F94" s="268"/>
      <c r="G94" s="268"/>
      <c r="H94" s="268"/>
      <c r="I94" s="268"/>
      <c r="J94" s="269"/>
    </row>
    <row r="95" spans="1:11" ht="18.75" customHeight="1">
      <c r="A95" s="5"/>
      <c r="B95" s="267"/>
      <c r="C95" s="268"/>
      <c r="D95" s="268"/>
      <c r="E95" s="268"/>
      <c r="F95" s="268"/>
      <c r="G95" s="268"/>
      <c r="H95" s="268"/>
      <c r="I95" s="268"/>
      <c r="J95" s="269"/>
    </row>
    <row r="96" spans="1:11" ht="18.75" customHeight="1">
      <c r="A96" s="5"/>
      <c r="B96" s="267"/>
      <c r="C96" s="268"/>
      <c r="D96" s="268"/>
      <c r="E96" s="268"/>
      <c r="F96" s="268"/>
      <c r="G96" s="268"/>
      <c r="H96" s="268"/>
      <c r="I96" s="268"/>
      <c r="J96" s="269"/>
    </row>
    <row r="97" spans="1:10" ht="18.75" customHeight="1">
      <c r="A97" s="5"/>
      <c r="B97" s="267"/>
      <c r="C97" s="268"/>
      <c r="D97" s="268"/>
      <c r="E97" s="268"/>
      <c r="F97" s="268"/>
      <c r="G97" s="268"/>
      <c r="H97" s="268"/>
      <c r="I97" s="268"/>
      <c r="J97" s="269"/>
    </row>
    <row r="98" spans="1:10" ht="18.75" customHeight="1">
      <c r="A98" s="5"/>
      <c r="B98" s="267"/>
      <c r="C98" s="268"/>
      <c r="D98" s="268"/>
      <c r="E98" s="268"/>
      <c r="F98" s="268"/>
      <c r="G98" s="268"/>
      <c r="H98" s="268"/>
      <c r="I98" s="268"/>
      <c r="J98" s="269"/>
    </row>
    <row r="99" spans="1:10" ht="18.75" customHeight="1">
      <c r="A99" s="5"/>
      <c r="B99" s="267"/>
      <c r="C99" s="268"/>
      <c r="D99" s="268"/>
      <c r="E99" s="268"/>
      <c r="F99" s="268"/>
      <c r="G99" s="268"/>
      <c r="H99" s="268"/>
      <c r="I99" s="268"/>
      <c r="J99" s="269"/>
    </row>
    <row r="100" spans="1:10" ht="18.75" customHeight="1">
      <c r="A100" s="5"/>
      <c r="B100" s="267"/>
      <c r="C100" s="268"/>
      <c r="D100" s="268"/>
      <c r="E100" s="268"/>
      <c r="F100" s="268"/>
      <c r="G100" s="268"/>
      <c r="H100" s="268"/>
      <c r="I100" s="268"/>
      <c r="J100" s="269"/>
    </row>
    <row r="101" spans="1:10" ht="18.75" customHeight="1">
      <c r="A101" s="5"/>
      <c r="B101" s="267"/>
      <c r="C101" s="268"/>
      <c r="D101" s="268"/>
      <c r="E101" s="268"/>
      <c r="F101" s="268"/>
      <c r="G101" s="268"/>
      <c r="H101" s="268"/>
      <c r="I101" s="268"/>
      <c r="J101" s="269"/>
    </row>
    <row r="102" spans="1:10" ht="18.75" customHeight="1">
      <c r="A102" s="5"/>
      <c r="B102" s="267"/>
      <c r="C102" s="268"/>
      <c r="D102" s="268"/>
      <c r="E102" s="268"/>
      <c r="F102" s="268"/>
      <c r="G102" s="268"/>
      <c r="H102" s="268"/>
      <c r="I102" s="268"/>
      <c r="J102" s="269"/>
    </row>
    <row r="103" spans="1:10" ht="18.75" customHeight="1">
      <c r="A103" s="5"/>
      <c r="B103" s="267"/>
      <c r="C103" s="268"/>
      <c r="D103" s="268"/>
      <c r="E103" s="268"/>
      <c r="F103" s="268"/>
      <c r="G103" s="268"/>
      <c r="H103" s="268"/>
      <c r="I103" s="268"/>
      <c r="J103" s="269"/>
    </row>
    <row r="104" spans="1:10" ht="18.75" customHeight="1">
      <c r="A104" s="5"/>
      <c r="B104" s="267"/>
      <c r="C104" s="268"/>
      <c r="D104" s="268"/>
      <c r="E104" s="268"/>
      <c r="F104" s="268"/>
      <c r="G104" s="268"/>
      <c r="H104" s="268"/>
      <c r="I104" s="268"/>
      <c r="J104" s="269"/>
    </row>
    <row r="105" spans="1:10" ht="18.75" customHeight="1">
      <c r="A105" s="5"/>
      <c r="B105" s="267"/>
      <c r="C105" s="268"/>
      <c r="D105" s="268"/>
      <c r="E105" s="268"/>
      <c r="F105" s="268"/>
      <c r="G105" s="268"/>
      <c r="H105" s="268"/>
      <c r="I105" s="268"/>
      <c r="J105" s="269"/>
    </row>
    <row r="106" spans="1:10" ht="18.75" customHeight="1">
      <c r="A106" s="5"/>
      <c r="B106" s="267"/>
      <c r="C106" s="268"/>
      <c r="D106" s="268"/>
      <c r="E106" s="268"/>
      <c r="F106" s="268"/>
      <c r="G106" s="268"/>
      <c r="H106" s="268"/>
      <c r="I106" s="268"/>
      <c r="J106" s="269"/>
    </row>
    <row r="107" spans="1:10" ht="18.75" customHeight="1">
      <c r="A107" s="102"/>
      <c r="B107" s="267"/>
      <c r="C107" s="268"/>
      <c r="D107" s="268"/>
      <c r="E107" s="268"/>
      <c r="F107" s="268"/>
      <c r="G107" s="268"/>
      <c r="H107" s="268"/>
      <c r="I107" s="268"/>
      <c r="J107" s="269"/>
    </row>
    <row r="108" spans="1:10" ht="18.75" customHeight="1">
      <c r="A108" s="102"/>
      <c r="B108" s="270"/>
      <c r="C108" s="271"/>
      <c r="D108" s="271"/>
      <c r="E108" s="271"/>
      <c r="F108" s="271"/>
      <c r="G108" s="271"/>
      <c r="H108" s="271"/>
      <c r="I108" s="271"/>
      <c r="J108" s="272"/>
    </row>
    <row r="109" spans="1:10" ht="7.5" customHeight="1">
      <c r="A109" s="102"/>
      <c r="B109" s="102"/>
      <c r="C109" s="102"/>
      <c r="D109" s="102"/>
      <c r="E109" s="102"/>
      <c r="F109" s="102"/>
      <c r="G109" s="102"/>
      <c r="H109" s="102"/>
      <c r="I109" s="102"/>
      <c r="J109" s="102"/>
    </row>
    <row r="110" spans="1:10" ht="18.75" customHeight="1">
      <c r="A110" s="5" t="s">
        <v>22</v>
      </c>
      <c r="B110" s="273" t="s">
        <v>177</v>
      </c>
      <c r="C110" s="273"/>
      <c r="D110" s="273"/>
      <c r="E110" s="273"/>
      <c r="F110" s="273"/>
      <c r="G110" s="273"/>
      <c r="H110" s="273"/>
      <c r="I110" s="273"/>
      <c r="J110" s="273"/>
    </row>
    <row r="111" spans="1:10" ht="18.75" customHeight="1">
      <c r="A111" s="102"/>
      <c r="B111" s="256" t="s">
        <v>178</v>
      </c>
      <c r="C111" s="257"/>
      <c r="D111" s="257"/>
      <c r="E111" s="257"/>
      <c r="F111" s="257"/>
      <c r="G111" s="257"/>
      <c r="H111" s="257"/>
      <c r="I111" s="265"/>
      <c r="J111" s="266"/>
    </row>
    <row r="112" spans="1:10" ht="18.75" customHeight="1">
      <c r="A112" s="102"/>
      <c r="B112" s="267"/>
      <c r="C112" s="268"/>
      <c r="D112" s="268"/>
      <c r="E112" s="268"/>
      <c r="F112" s="268"/>
      <c r="G112" s="268"/>
      <c r="H112" s="268"/>
      <c r="I112" s="268"/>
      <c r="J112" s="269"/>
    </row>
    <row r="113" spans="1:11" ht="18.75" customHeight="1">
      <c r="A113" s="102"/>
      <c r="B113" s="267"/>
      <c r="C113" s="268"/>
      <c r="D113" s="268"/>
      <c r="E113" s="268"/>
      <c r="F113" s="268"/>
      <c r="G113" s="268"/>
      <c r="H113" s="268"/>
      <c r="I113" s="268"/>
      <c r="J113" s="269"/>
      <c r="K113" s="5" t="str">
        <f>IF(B111="","入力してください","")</f>
        <v/>
      </c>
    </row>
    <row r="114" spans="1:11" ht="18.75" customHeight="1">
      <c r="A114" s="102"/>
      <c r="B114" s="267"/>
      <c r="C114" s="268"/>
      <c r="D114" s="268"/>
      <c r="E114" s="268"/>
      <c r="F114" s="268"/>
      <c r="G114" s="268"/>
      <c r="H114" s="268"/>
      <c r="I114" s="268"/>
      <c r="J114" s="269"/>
    </row>
    <row r="115" spans="1:11" ht="18.75" customHeight="1">
      <c r="A115" s="102"/>
      <c r="B115" s="267"/>
      <c r="C115" s="268"/>
      <c r="D115" s="268"/>
      <c r="E115" s="268"/>
      <c r="F115" s="268"/>
      <c r="G115" s="268"/>
      <c r="H115" s="268"/>
      <c r="I115" s="268"/>
      <c r="J115" s="269"/>
    </row>
    <row r="116" spans="1:11" ht="18.75" customHeight="1">
      <c r="A116" s="102"/>
      <c r="B116" s="267"/>
      <c r="C116" s="268"/>
      <c r="D116" s="268"/>
      <c r="E116" s="268"/>
      <c r="F116" s="268"/>
      <c r="G116" s="268"/>
      <c r="H116" s="268"/>
      <c r="I116" s="268"/>
      <c r="J116" s="269"/>
    </row>
    <row r="117" spans="1:11" ht="18.75" customHeight="1">
      <c r="A117" s="102"/>
      <c r="B117" s="267"/>
      <c r="C117" s="268"/>
      <c r="D117" s="268"/>
      <c r="E117" s="268"/>
      <c r="F117" s="268"/>
      <c r="G117" s="268"/>
      <c r="H117" s="268"/>
      <c r="I117" s="268"/>
      <c r="J117" s="269"/>
    </row>
    <row r="118" spans="1:11" ht="18.75" customHeight="1">
      <c r="A118" s="102"/>
      <c r="B118" s="267"/>
      <c r="C118" s="268"/>
      <c r="D118" s="268"/>
      <c r="E118" s="268"/>
      <c r="F118" s="268"/>
      <c r="G118" s="268"/>
      <c r="H118" s="268"/>
      <c r="I118" s="268"/>
      <c r="J118" s="269"/>
    </row>
    <row r="119" spans="1:11" ht="18.75" customHeight="1">
      <c r="A119" s="102"/>
      <c r="B119" s="267"/>
      <c r="C119" s="268"/>
      <c r="D119" s="268"/>
      <c r="E119" s="268"/>
      <c r="F119" s="268"/>
      <c r="G119" s="268"/>
      <c r="H119" s="268"/>
      <c r="I119" s="268"/>
      <c r="J119" s="269"/>
    </row>
    <row r="120" spans="1:11" ht="18.75" customHeight="1">
      <c r="A120" s="102"/>
      <c r="B120" s="267"/>
      <c r="C120" s="268"/>
      <c r="D120" s="268"/>
      <c r="E120" s="268"/>
      <c r="F120" s="268"/>
      <c r="G120" s="268"/>
      <c r="H120" s="268"/>
      <c r="I120" s="268"/>
      <c r="J120" s="269"/>
    </row>
    <row r="121" spans="1:11" ht="18.75" customHeight="1">
      <c r="A121" s="102"/>
      <c r="B121" s="267"/>
      <c r="C121" s="268"/>
      <c r="D121" s="268"/>
      <c r="E121" s="268"/>
      <c r="F121" s="268"/>
      <c r="G121" s="268"/>
      <c r="H121" s="268"/>
      <c r="I121" s="268"/>
      <c r="J121" s="269"/>
    </row>
    <row r="122" spans="1:11" ht="18.75" customHeight="1">
      <c r="A122" s="102"/>
      <c r="B122" s="267"/>
      <c r="C122" s="268"/>
      <c r="D122" s="268"/>
      <c r="E122" s="268"/>
      <c r="F122" s="268"/>
      <c r="G122" s="268"/>
      <c r="H122" s="268"/>
      <c r="I122" s="268"/>
      <c r="J122" s="269"/>
    </row>
    <row r="123" spans="1:11" ht="18.75" customHeight="1">
      <c r="A123" s="102"/>
      <c r="B123" s="267"/>
      <c r="C123" s="268"/>
      <c r="D123" s="268"/>
      <c r="E123" s="268"/>
      <c r="F123" s="268"/>
      <c r="G123" s="268"/>
      <c r="H123" s="268"/>
      <c r="I123" s="268"/>
      <c r="J123" s="269"/>
    </row>
    <row r="124" spans="1:11" ht="18.75" customHeight="1">
      <c r="A124" s="102"/>
      <c r="B124" s="267"/>
      <c r="C124" s="268"/>
      <c r="D124" s="268"/>
      <c r="E124" s="268"/>
      <c r="F124" s="268"/>
      <c r="G124" s="268"/>
      <c r="H124" s="268"/>
      <c r="I124" s="268"/>
      <c r="J124" s="269"/>
    </row>
    <row r="125" spans="1:11" ht="18.75" customHeight="1">
      <c r="A125" s="102"/>
      <c r="B125" s="267"/>
      <c r="C125" s="268"/>
      <c r="D125" s="268"/>
      <c r="E125" s="268"/>
      <c r="F125" s="268"/>
      <c r="G125" s="268"/>
      <c r="H125" s="268"/>
      <c r="I125" s="268"/>
      <c r="J125" s="269"/>
    </row>
    <row r="126" spans="1:11" ht="18.75" customHeight="1">
      <c r="A126" s="102"/>
      <c r="B126" s="267"/>
      <c r="C126" s="268"/>
      <c r="D126" s="268"/>
      <c r="E126" s="268"/>
      <c r="F126" s="268"/>
      <c r="G126" s="268"/>
      <c r="H126" s="268"/>
      <c r="I126" s="268"/>
      <c r="J126" s="269"/>
    </row>
    <row r="127" spans="1:11" ht="18.75" customHeight="1">
      <c r="A127" s="102"/>
      <c r="B127" s="267"/>
      <c r="C127" s="268"/>
      <c r="D127" s="268"/>
      <c r="E127" s="268"/>
      <c r="F127" s="268"/>
      <c r="G127" s="268"/>
      <c r="H127" s="268"/>
      <c r="I127" s="268"/>
      <c r="J127" s="269"/>
    </row>
    <row r="128" spans="1:11" ht="18.75" customHeight="1">
      <c r="A128" s="102"/>
      <c r="B128" s="267"/>
      <c r="C128" s="268"/>
      <c r="D128" s="268"/>
      <c r="E128" s="268"/>
      <c r="F128" s="268"/>
      <c r="G128" s="268"/>
      <c r="H128" s="268"/>
      <c r="I128" s="268"/>
      <c r="J128" s="269"/>
    </row>
    <row r="129" spans="1:10" ht="18.75" customHeight="1">
      <c r="A129" s="102"/>
      <c r="B129" s="270"/>
      <c r="C129" s="271"/>
      <c r="D129" s="271"/>
      <c r="E129" s="271"/>
      <c r="F129" s="271"/>
      <c r="G129" s="271"/>
      <c r="H129" s="271"/>
      <c r="I129" s="271"/>
      <c r="J129" s="272"/>
    </row>
    <row r="130" spans="1:10" ht="7.5" customHeight="1">
      <c r="A130" s="102"/>
      <c r="B130" s="103"/>
      <c r="C130" s="103"/>
      <c r="D130" s="103"/>
      <c r="E130" s="103"/>
      <c r="F130" s="103"/>
      <c r="G130" s="103"/>
      <c r="H130" s="103"/>
      <c r="I130" s="103"/>
      <c r="J130" s="103"/>
    </row>
    <row r="131" spans="1:10" ht="18.75" customHeight="1">
      <c r="A131" s="102"/>
      <c r="B131" s="102"/>
      <c r="C131" s="102"/>
      <c r="D131" s="102"/>
      <c r="E131" s="102"/>
      <c r="F131" s="102"/>
      <c r="G131" s="102"/>
      <c r="H131" s="102"/>
      <c r="I131" s="102"/>
      <c r="J131" s="102"/>
    </row>
    <row r="132" spans="1:10" ht="18.75" customHeight="1">
      <c r="A132" s="102"/>
      <c r="B132" s="102"/>
      <c r="C132" s="102"/>
      <c r="D132" s="102"/>
      <c r="E132" s="102"/>
      <c r="F132" s="102"/>
      <c r="G132" s="102"/>
      <c r="H132" s="102"/>
      <c r="I132" s="102"/>
      <c r="J132" s="102"/>
    </row>
    <row r="133" spans="1:10" ht="18.75" customHeight="1">
      <c r="A133" s="102"/>
      <c r="B133" s="102"/>
      <c r="C133" s="102"/>
      <c r="D133" s="102"/>
      <c r="E133" s="102"/>
      <c r="F133" s="102"/>
      <c r="G133" s="102"/>
      <c r="H133" s="102"/>
      <c r="I133" s="102"/>
      <c r="J133" s="102"/>
    </row>
    <row r="134" spans="1:10" ht="18.75" customHeight="1">
      <c r="A134" s="102"/>
      <c r="B134" s="102"/>
      <c r="C134" s="102"/>
      <c r="D134" s="102"/>
      <c r="E134" s="102"/>
      <c r="F134" s="102"/>
      <c r="G134" s="102"/>
      <c r="H134" s="102"/>
      <c r="I134" s="102"/>
      <c r="J134" s="102"/>
    </row>
    <row r="135" spans="1:10" ht="18.75" customHeight="1">
      <c r="A135" s="102"/>
      <c r="B135" s="102"/>
      <c r="C135" s="102"/>
      <c r="D135" s="102"/>
      <c r="E135" s="102"/>
      <c r="F135" s="102"/>
      <c r="G135" s="102"/>
      <c r="H135" s="102"/>
      <c r="I135" s="102"/>
      <c r="J135" s="102"/>
    </row>
    <row r="136" spans="1:10" ht="18.75" customHeight="1">
      <c r="A136" s="102"/>
      <c r="B136" s="102"/>
      <c r="C136" s="102"/>
      <c r="D136" s="102"/>
      <c r="E136" s="102"/>
      <c r="F136" s="102"/>
      <c r="G136" s="102"/>
      <c r="H136" s="102"/>
      <c r="I136" s="102"/>
      <c r="J136" s="102"/>
    </row>
    <row r="137" spans="1:10" ht="18.75" customHeight="1">
      <c r="A137" s="102"/>
      <c r="B137" s="102"/>
      <c r="C137" s="102"/>
      <c r="D137" s="102"/>
      <c r="E137" s="102"/>
      <c r="F137" s="102"/>
      <c r="G137" s="102"/>
      <c r="H137" s="102"/>
      <c r="I137" s="102"/>
      <c r="J137" s="102"/>
    </row>
    <row r="138" spans="1:10" ht="18.75" customHeight="1">
      <c r="A138" s="102"/>
      <c r="B138" s="102"/>
      <c r="C138" s="102"/>
      <c r="D138" s="102"/>
      <c r="E138" s="102"/>
      <c r="F138" s="102"/>
      <c r="G138" s="102"/>
      <c r="H138" s="102"/>
      <c r="I138" s="102"/>
      <c r="J138" s="102"/>
    </row>
    <row r="139" spans="1:10" ht="18.75" customHeight="1">
      <c r="A139" s="102"/>
      <c r="B139" s="102"/>
      <c r="C139" s="102"/>
      <c r="D139" s="102"/>
      <c r="E139" s="102"/>
      <c r="F139" s="102"/>
      <c r="G139" s="102"/>
      <c r="H139" s="102"/>
      <c r="I139" s="102"/>
      <c r="J139" s="102"/>
    </row>
    <row r="140" spans="1:10" ht="18.75" customHeight="1">
      <c r="A140" s="102"/>
      <c r="B140" s="102"/>
      <c r="C140" s="102"/>
      <c r="D140" s="102"/>
      <c r="E140" s="102"/>
      <c r="F140" s="102"/>
      <c r="G140" s="102"/>
      <c r="H140" s="102"/>
      <c r="I140" s="102"/>
      <c r="J140" s="102"/>
    </row>
    <row r="141" spans="1:10" ht="18.75" customHeight="1">
      <c r="A141" s="102"/>
      <c r="B141" s="102"/>
      <c r="C141" s="102"/>
      <c r="D141" s="102"/>
      <c r="E141" s="102"/>
      <c r="F141" s="102"/>
      <c r="G141" s="102"/>
      <c r="H141" s="102"/>
      <c r="I141" s="102"/>
      <c r="J141" s="102"/>
    </row>
    <row r="142" spans="1:10" ht="18.75" customHeight="1">
      <c r="A142" s="102"/>
      <c r="B142" s="102"/>
      <c r="C142" s="102"/>
      <c r="D142" s="102"/>
      <c r="E142" s="102"/>
      <c r="F142" s="102"/>
      <c r="G142" s="102"/>
      <c r="H142" s="102"/>
      <c r="I142" s="102"/>
      <c r="J142" s="102"/>
    </row>
    <row r="143" spans="1:10" ht="14.25">
      <c r="A143" s="102"/>
      <c r="B143" s="102"/>
      <c r="C143" s="102"/>
      <c r="D143" s="102"/>
      <c r="E143" s="102"/>
      <c r="F143" s="102"/>
      <c r="G143" s="102"/>
      <c r="H143" s="102"/>
      <c r="I143" s="102"/>
      <c r="J143" s="102"/>
    </row>
    <row r="144" spans="1:10" ht="7.5" customHeight="1">
      <c r="A144" s="104"/>
      <c r="B144" s="104"/>
      <c r="C144" s="104"/>
      <c r="D144" s="104"/>
      <c r="E144" s="104"/>
      <c r="F144" s="104"/>
      <c r="G144" s="104"/>
      <c r="H144" s="104"/>
      <c r="I144" s="104"/>
      <c r="J144" s="10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zoomScaleNormal="100" zoomScaleSheetLayoutView="100" workbookViewId="0"/>
  </sheetViews>
  <sheetFormatPr defaultColWidth="11.375" defaultRowHeight="22.5" customHeight="1"/>
  <cols>
    <col min="1" max="3" width="2.625" style="5" customWidth="1"/>
    <col min="4" max="4" width="22.125" style="5" customWidth="1"/>
    <col min="5" max="5" width="21.625" style="5" customWidth="1"/>
    <col min="6" max="7" width="7.625" style="5" customWidth="1"/>
    <col min="8" max="8" width="33.375" style="5" customWidth="1"/>
    <col min="9" max="9" width="24.5" style="5" customWidth="1"/>
    <col min="10" max="10" width="5.5" style="5" customWidth="1"/>
    <col min="11" max="11" width="4.125" style="5" customWidth="1"/>
    <col min="12" max="16384" width="11.375" style="5"/>
  </cols>
  <sheetData>
    <row r="1" spans="1:11" ht="18.75" customHeight="1">
      <c r="A1" s="5" t="s">
        <v>179</v>
      </c>
      <c r="J1" s="100" t="s">
        <v>180</v>
      </c>
    </row>
    <row r="2" spans="1:11" ht="18.75" customHeight="1">
      <c r="A2" s="229" t="s">
        <v>181</v>
      </c>
      <c r="B2" s="229"/>
      <c r="C2" s="229"/>
      <c r="D2" s="229"/>
      <c r="E2" s="229"/>
      <c r="F2" s="229"/>
      <c r="G2" s="229"/>
      <c r="H2" s="229"/>
      <c r="I2" s="229"/>
      <c r="J2" s="229"/>
    </row>
    <row r="3" spans="1:11" ht="7.5" customHeight="1">
      <c r="A3" s="105"/>
      <c r="B3" s="105"/>
      <c r="C3" s="105"/>
      <c r="D3" s="105"/>
      <c r="E3" s="105"/>
      <c r="F3" s="105"/>
      <c r="G3" s="105"/>
      <c r="H3" s="105"/>
      <c r="I3" s="105"/>
      <c r="J3" s="105"/>
    </row>
    <row r="4" spans="1:11" ht="18.75" customHeight="1">
      <c r="A4" s="5" t="s">
        <v>2</v>
      </c>
      <c r="B4" s="5" t="s">
        <v>182</v>
      </c>
      <c r="C4" s="102"/>
      <c r="D4" s="102"/>
      <c r="E4" s="102"/>
      <c r="F4" s="102"/>
      <c r="G4" s="102"/>
      <c r="H4" s="102"/>
      <c r="I4" s="102"/>
      <c r="J4" s="102"/>
    </row>
    <row r="5" spans="1:11" ht="18.75" customHeight="1">
      <c r="B5" s="113" t="s">
        <v>183</v>
      </c>
      <c r="C5" s="114"/>
      <c r="D5" s="115"/>
      <c r="E5" s="114" t="s">
        <v>184</v>
      </c>
      <c r="F5" s="114"/>
      <c r="G5" s="114"/>
      <c r="H5" s="114"/>
      <c r="I5" s="114"/>
      <c r="J5" s="115"/>
    </row>
    <row r="6" spans="1:11" ht="18.75" customHeight="1">
      <c r="B6" s="73" t="s">
        <v>185</v>
      </c>
      <c r="C6" s="102"/>
      <c r="D6" s="106"/>
      <c r="I6" s="102"/>
      <c r="J6" s="106"/>
    </row>
    <row r="7" spans="1:11" ht="207" customHeight="1">
      <c r="B7" s="107"/>
      <c r="C7" s="284" t="s">
        <v>186</v>
      </c>
      <c r="D7" s="285"/>
      <c r="E7" s="290" t="s">
        <v>187</v>
      </c>
      <c r="F7" s="286"/>
      <c r="G7" s="286"/>
      <c r="H7" s="286"/>
      <c r="I7" s="286"/>
      <c r="J7" s="287"/>
      <c r="K7" s="5" t="str">
        <f>IF(E7="","入力してください","")</f>
        <v/>
      </c>
    </row>
    <row r="8" spans="1:11" ht="207" customHeight="1">
      <c r="B8" s="107"/>
      <c r="C8" s="291" t="s">
        <v>188</v>
      </c>
      <c r="D8" s="292"/>
      <c r="E8" s="290" t="s">
        <v>189</v>
      </c>
      <c r="F8" s="286"/>
      <c r="G8" s="286"/>
      <c r="H8" s="286"/>
      <c r="I8" s="286"/>
      <c r="J8" s="287"/>
      <c r="K8" s="5" t="str">
        <f>IF(E8="","入力してください","")</f>
        <v/>
      </c>
    </row>
    <row r="9" spans="1:11" ht="172.5" customHeight="1">
      <c r="B9" s="107"/>
      <c r="C9" s="284" t="s">
        <v>190</v>
      </c>
      <c r="D9" s="285"/>
      <c r="E9" s="290" t="s">
        <v>191</v>
      </c>
      <c r="F9" s="286"/>
      <c r="G9" s="286"/>
      <c r="H9" s="286"/>
      <c r="I9" s="286"/>
      <c r="J9" s="287"/>
      <c r="K9" s="5" t="str">
        <f>IF(E9="","入力してください","")</f>
        <v/>
      </c>
    </row>
    <row r="10" spans="1:11" ht="172.5" customHeight="1">
      <c r="B10" s="107"/>
      <c r="C10" s="284" t="s">
        <v>192</v>
      </c>
      <c r="D10" s="285"/>
      <c r="E10" s="290" t="s">
        <v>193</v>
      </c>
      <c r="F10" s="286"/>
      <c r="G10" s="286"/>
      <c r="H10" s="286"/>
      <c r="I10" s="286"/>
      <c r="J10" s="287"/>
      <c r="K10" s="5" t="str">
        <f t="shared" ref="K10:K14" si="0">IF(E10="","入力してください","")</f>
        <v/>
      </c>
    </row>
    <row r="11" spans="1:11" ht="172.5" customHeight="1">
      <c r="B11" s="107"/>
      <c r="C11" s="284" t="s">
        <v>194</v>
      </c>
      <c r="D11" s="285"/>
      <c r="E11" s="290" t="s">
        <v>195</v>
      </c>
      <c r="F11" s="286"/>
      <c r="G11" s="286"/>
      <c r="H11" s="286"/>
      <c r="I11" s="286"/>
      <c r="J11" s="287"/>
      <c r="K11" s="5" t="str">
        <f t="shared" si="0"/>
        <v/>
      </c>
    </row>
    <row r="12" spans="1:11" ht="18.75" customHeight="1">
      <c r="B12" s="108" t="s">
        <v>196</v>
      </c>
      <c r="C12" s="109"/>
      <c r="D12" s="110"/>
      <c r="E12" s="111"/>
      <c r="F12" s="111"/>
      <c r="G12" s="111"/>
      <c r="H12" s="111"/>
      <c r="I12" s="111"/>
      <c r="J12" s="112"/>
    </row>
    <row r="13" spans="1:11" ht="244.35" customHeight="1">
      <c r="B13" s="107"/>
      <c r="C13" s="284" t="s">
        <v>197</v>
      </c>
      <c r="D13" s="285"/>
      <c r="E13" s="286" t="s">
        <v>198</v>
      </c>
      <c r="F13" s="286"/>
      <c r="G13" s="286"/>
      <c r="H13" s="286"/>
      <c r="I13" s="286"/>
      <c r="J13" s="287"/>
      <c r="K13" s="5" t="str">
        <f t="shared" si="0"/>
        <v/>
      </c>
    </row>
    <row r="14" spans="1:11" ht="255" customHeight="1">
      <c r="B14" s="107"/>
      <c r="C14" s="284" t="s">
        <v>199</v>
      </c>
      <c r="D14" s="285"/>
      <c r="E14" s="286" t="s">
        <v>200</v>
      </c>
      <c r="F14" s="286"/>
      <c r="G14" s="286"/>
      <c r="H14" s="286"/>
      <c r="I14" s="286"/>
      <c r="J14" s="287"/>
      <c r="K14" s="5" t="str">
        <f t="shared" si="0"/>
        <v/>
      </c>
    </row>
    <row r="15" spans="1:11" ht="243" customHeight="1">
      <c r="B15" s="288" t="s">
        <v>201</v>
      </c>
      <c r="C15" s="289"/>
      <c r="D15" s="285"/>
      <c r="E15" s="286" t="s">
        <v>202</v>
      </c>
      <c r="F15" s="286"/>
      <c r="G15" s="286"/>
      <c r="H15" s="286"/>
      <c r="I15" s="286"/>
      <c r="J15" s="287"/>
      <c r="K15" s="5" t="str">
        <f>IF(E15="","入力してください","")</f>
        <v/>
      </c>
    </row>
    <row r="16" spans="1:11" ht="243" customHeight="1">
      <c r="B16" s="278" t="s">
        <v>203</v>
      </c>
      <c r="C16" s="279"/>
      <c r="D16" s="280"/>
      <c r="E16" s="263" t="s">
        <v>204</v>
      </c>
      <c r="F16" s="263"/>
      <c r="G16" s="263"/>
      <c r="H16" s="263"/>
      <c r="I16" s="263"/>
      <c r="J16" s="264"/>
      <c r="K16" s="5" t="str">
        <f>IF(E16="","入力してください","")</f>
        <v/>
      </c>
    </row>
    <row r="17" spans="1:11" ht="7.5" customHeight="1">
      <c r="B17" s="102"/>
      <c r="C17" s="102"/>
      <c r="D17" s="102"/>
      <c r="E17" s="102"/>
      <c r="F17" s="102"/>
      <c r="G17" s="102"/>
      <c r="H17" s="102"/>
      <c r="I17" s="102"/>
      <c r="J17" s="102"/>
    </row>
    <row r="18" spans="1:11" ht="18.75" customHeight="1">
      <c r="A18" s="5" t="s">
        <v>205</v>
      </c>
      <c r="C18" s="102"/>
      <c r="D18" s="102"/>
      <c r="E18" s="102"/>
      <c r="F18" s="101"/>
      <c r="G18" s="281" t="s">
        <v>127</v>
      </c>
      <c r="H18" s="282"/>
      <c r="I18" s="282"/>
      <c r="J18" s="283"/>
      <c r="K18" s="5" t="str">
        <f>IF(G18="","入力してください","")</f>
        <v/>
      </c>
    </row>
    <row r="19" spans="1:11" ht="22.5" customHeight="1">
      <c r="B19" s="102"/>
      <c r="C19" s="102"/>
      <c r="D19" s="102"/>
      <c r="E19" s="102"/>
      <c r="F19" s="102"/>
      <c r="G19" s="102"/>
      <c r="H19" s="102"/>
      <c r="I19" s="102"/>
      <c r="J19" s="102"/>
    </row>
    <row r="20" spans="1:11" ht="22.5" customHeight="1">
      <c r="B20" s="102"/>
      <c r="C20" s="102"/>
      <c r="D20" s="102"/>
      <c r="E20" s="102"/>
      <c r="F20" s="102"/>
      <c r="G20" s="102"/>
      <c r="H20" s="102"/>
      <c r="I20" s="102"/>
      <c r="J20" s="102"/>
    </row>
    <row r="21" spans="1:11" ht="22.5" customHeight="1">
      <c r="B21" s="102"/>
      <c r="C21" s="102"/>
      <c r="D21" s="102"/>
      <c r="E21" s="102"/>
      <c r="F21" s="102"/>
      <c r="G21" s="102"/>
      <c r="H21" s="102"/>
      <c r="I21" s="102"/>
      <c r="J21" s="102"/>
    </row>
    <row r="22" spans="1:11" ht="22.5" customHeight="1">
      <c r="B22" s="102"/>
      <c r="C22" s="102"/>
      <c r="D22" s="102"/>
      <c r="E22" s="102"/>
      <c r="F22" s="102"/>
      <c r="G22" s="102"/>
      <c r="H22" s="102"/>
      <c r="I22" s="102"/>
      <c r="J22" s="102"/>
    </row>
    <row r="23" spans="1:11" ht="22.5" customHeight="1">
      <c r="B23" s="102"/>
      <c r="C23" s="102"/>
      <c r="D23" s="102"/>
      <c r="E23" s="102"/>
      <c r="F23" s="102"/>
      <c r="G23" s="102"/>
      <c r="H23" s="102"/>
      <c r="I23" s="102"/>
      <c r="J23" s="102"/>
    </row>
    <row r="24" spans="1:11" ht="22.5" customHeight="1">
      <c r="B24" s="47"/>
      <c r="C24" s="47"/>
      <c r="D24" s="47"/>
      <c r="E24" s="47"/>
      <c r="F24" s="47"/>
      <c r="G24" s="47"/>
      <c r="H24" s="47"/>
      <c r="I24" s="47"/>
      <c r="J24" s="47"/>
    </row>
    <row r="25" spans="1:11" ht="22.5" customHeight="1">
      <c r="B25" s="47"/>
      <c r="C25" s="47"/>
      <c r="D25" s="47"/>
      <c r="E25" s="47"/>
      <c r="F25" s="47"/>
      <c r="G25" s="47"/>
      <c r="H25" s="47"/>
      <c r="I25" s="47"/>
      <c r="J25" s="47"/>
    </row>
    <row r="26" spans="1:11" ht="22.5" customHeight="1">
      <c r="B26" s="47"/>
      <c r="C26" s="47"/>
      <c r="D26" s="47"/>
      <c r="E26" s="47"/>
      <c r="F26" s="47"/>
      <c r="G26" s="47"/>
      <c r="H26" s="47"/>
      <c r="I26" s="47"/>
      <c r="J26" s="47"/>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ED6306C9-E89F-4010-8556-BC73260F917B}"/>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福山大学</cp:lastModifiedBy>
  <cp:revision/>
  <cp:lastPrinted>2022-05-18T05:30:02Z</cp:lastPrinted>
  <dcterms:created xsi:type="dcterms:W3CDTF">2011-06-14T05:32:50Z</dcterms:created>
  <dcterms:modified xsi:type="dcterms:W3CDTF">2022-07-15T05:59:02Z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