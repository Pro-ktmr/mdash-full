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J:\18.情報企画（CeMDS・DS）\DS\2022申請\00申請書\（三重大学）\01(三重大学)_リテラシー\"/>
    </mc:Choice>
  </mc:AlternateContent>
  <xr:revisionPtr revIDLastSave="0" documentId="13_ncr:1_{21E73626-BAA2-48C3-9DB9-6BC36713CA84}" xr6:coauthVersionLast="36" xr6:coauthVersionMax="36" xr10:uidLastSave="{00000000-0000-0000-0000-000000000000}"/>
  <bookViews>
    <workbookView xWindow="0" yWindow="0" windowWidth="13995" windowHeight="10905" tabRatio="885" firstSheet="1" activeTab="1"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 sheetId="44"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 '!$A$1:$J$18</definedName>
  </definedNames>
  <calcPr calcId="191029"/>
</workbook>
</file>

<file path=xl/calcChain.xml><?xml version="1.0" encoding="utf-8"?>
<calcChain xmlns="http://schemas.openxmlformats.org/spreadsheetml/2006/main">
  <c r="K7" i="44" l="1"/>
  <c r="K8" i="44"/>
  <c r="K9" i="44"/>
  <c r="K10" i="44"/>
  <c r="K11" i="44"/>
  <c r="K13" i="44"/>
  <c r="K14" i="44"/>
  <c r="K15" i="44"/>
  <c r="K16" i="44"/>
  <c r="K18" i="44"/>
  <c r="K91" i="41" l="1"/>
  <c r="K69" i="41"/>
  <c r="K8" i="41"/>
  <c r="K5" i="41"/>
  <c r="C4" i="40"/>
  <c r="O29" i="8"/>
  <c r="O20" i="8"/>
  <c r="O14" i="8"/>
  <c r="O12" i="8"/>
  <c r="O10" i="8"/>
  <c r="O8" i="8"/>
  <c r="O4" i="8"/>
  <c r="P30" i="40" l="1"/>
  <c r="O30" i="40"/>
  <c r="N30" i="40"/>
  <c r="M30" i="40"/>
  <c r="L30" i="40"/>
  <c r="K30" i="40"/>
  <c r="J30" i="40"/>
  <c r="I30" i="40"/>
  <c r="H30" i="40"/>
  <c r="G30" i="40"/>
  <c r="F30" i="40"/>
  <c r="E30" i="40"/>
  <c r="D30" i="40"/>
  <c r="C30" i="40"/>
  <c r="Q16" i="40"/>
  <c r="R16" i="40" s="1"/>
  <c r="Q15" i="40"/>
  <c r="R15" i="40" s="1"/>
  <c r="Q14" i="40"/>
  <c r="R14" i="40" s="1"/>
  <c r="Q13" i="40"/>
  <c r="R13" i="40" s="1"/>
  <c r="Q12" i="40"/>
  <c r="R12" i="40" s="1"/>
  <c r="Q11" i="40"/>
  <c r="R11" i="40" s="1"/>
  <c r="Q10" i="40"/>
  <c r="R10" i="40" s="1"/>
  <c r="I29" i="41" l="1"/>
  <c r="Q30" i="40"/>
  <c r="R30" i="40" s="1"/>
  <c r="C28" i="41" s="1"/>
</calcChain>
</file>

<file path=xl/sharedStrings.xml><?xml version="1.0" encoding="utf-8"?>
<sst xmlns="http://schemas.openxmlformats.org/spreadsheetml/2006/main" count="350" uniqueCount="224">
  <si>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</si>
  <si>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</si>
  <si>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</si>
  <si>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</si>
  <si>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</si>
  <si>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</si>
  <si>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</si>
  <si>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</si>
  <si>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</si>
  <si>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</si>
  <si>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</si>
  <si>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</si>
  <si>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</si>
  <si>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</si>
  <si>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</si>
  <si>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</si>
  <si>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</si>
  <si>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</si>
  <si>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</si>
  <si>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</si>
  <si>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</si>
  <si>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</si>
  <si>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</si>
  <si>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</si>
  <si>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</si>
  <si>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</si>
  <si>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</si>
  <si>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</si>
  <si>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</si>
  <si>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</si>
  <si>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</si>
  <si>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</si>
  <si>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</si>
  <si>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</si>
  <si>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</si>
  <si>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</si>
  <si>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</si>
  <si>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</si>
  <si>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</si>
  <si>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</si>
  <si>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</si>
  <si>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</si>
  <si>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</si>
  <si>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</si>
  <si>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</si>
  <si>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</si>
  <si>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</si>
  <si>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</si>
  <si>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</si>
  <si>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</si>
  <si>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</si>
  <si>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</si>
  <si>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</si>
  <si>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</si>
  <si>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</si>
  <si>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</si>
  <si>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</si>
  <si>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</si>
  <si>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</si>
  <si>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</si>
  <si>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</si>
  <si>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</si>
  <si>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</si>
  <si>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</si>
  <si>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</si>
  <si>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</si>
  <si>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</si>
  <si>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</si>
  <si>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</si>
  <si>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</si>
  <si>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</si>
  <si>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</si>
  <si>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</si>
  <si>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</si>
  <si>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</si>
  <si>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</si>
  <si>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</si>
  <si>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</si>
  <si>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</si>
  <si>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</si>
  <si>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</si>
  <si>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</si>
  <si>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</si>
  <si>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</si>
  <si>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</si>
  <si>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</si>
  <si>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</si>
  <si>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</si>
  <si>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</si>
  <si>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</si>
  <si>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</si>
  <si>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</si>
  <si>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</si>
  <si>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</si>
  <si>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</si>
  <si>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</si>
  <si>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</si>
  <si>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</si>
  <si>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</si>
  <si>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</si>
  <si>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</si>
  <si>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</si>
  <si>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</si>
  <si>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</si>
  <si>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</si>
  <si>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</si>
  <si>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</si>
  <si>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</si>
  <si>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</si>
  <si>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</si>
  <si>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</si>
  <si>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</si>
  <si>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</si>
  <si>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</si>
  <si>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</si>
  <si>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</si>
  <si>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</si>
  <si>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</si>
  <si>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</si>
  <si>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</si>
  <si>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</si>
  <si>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</si>
  <si>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</si>
  <si>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</si>
  <si>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</si>
  <si>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</si>
  <si>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</si>
  <si>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</si>
  <si>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</si>
  <si>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</si>
  <si>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</si>
  <si>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</si>
  <si>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</si>
  <si>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</si>
  <si>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</si>
  <si>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</si>
  <si>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</si>
  <si>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</si>
  <si>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</si>
  <si>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</si>
  <si>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</si>
  <si>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</si>
  <si>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</si>
  <si>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</si>
  <si>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</si>
  <si>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</si>
  <si>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</si>
  <si>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国立大学</t>
  </si>
  <si>
    <t>三重県津市栗真町屋町１５７７</t>
    <rPh sb="0" eb="3">
      <t>ミエケン</t>
    </rPh>
    <rPh sb="3" eb="5">
      <t>ツシ</t>
    </rPh>
    <rPh sb="5" eb="10">
      <t>クリママチヤマチ</t>
    </rPh>
    <phoneticPr fontId="1"/>
  </si>
  <si>
    <t>無</t>
  </si>
  <si>
    <t>学部・学科によって、修了要件は相違しない</t>
  </si>
  <si>
    <t>全学開講</t>
  </si>
  <si>
    <t>○</t>
  </si>
  <si>
    <t>現代科学理解特殊講義（データサイエンスAI）</t>
    <rPh sb="0" eb="6">
      <t>ゲンダイカガクリカイ</t>
    </rPh>
    <rPh sb="6" eb="10">
      <t>トクシュコウギ</t>
    </rPh>
    <phoneticPr fontId="1"/>
  </si>
  <si>
    <t>現代科学理解特殊講義（データサイエンスAI）</t>
    <phoneticPr fontId="1"/>
  </si>
  <si>
    <t>4-1統計および数理基礎</t>
  </si>
  <si>
    <t>4‐5テキスト解析</t>
  </si>
  <si>
    <t>4‐6画像解析</t>
  </si>
  <si>
    <t>教育学部</t>
    <rPh sb="0" eb="4">
      <t>キョウイクガクブ</t>
    </rPh>
    <phoneticPr fontId="1"/>
  </si>
  <si>
    <t>工学部</t>
    <rPh sb="0" eb="3">
      <t>コウガクブ</t>
    </rPh>
    <phoneticPr fontId="1"/>
  </si>
  <si>
    <t>生物資源学部</t>
    <rPh sb="0" eb="6">
      <t>セイブツシゲンガクブ</t>
    </rPh>
    <phoneticPr fontId="1"/>
  </si>
  <si>
    <t>末原憲一郎</t>
    <phoneticPr fontId="1"/>
  </si>
  <si>
    <t>末原憲一郎</t>
    <phoneticPr fontId="1"/>
  </si>
  <si>
    <t>三重大学</t>
    <rPh sb="0" eb="4">
      <t>ミエダイガク</t>
    </rPh>
    <phoneticPr fontId="1"/>
  </si>
  <si>
    <t>令和３</t>
    <rPh sb="0" eb="2">
      <t>レイワ</t>
    </rPh>
    <phoneticPr fontId="1"/>
  </si>
  <si>
    <t>センター長</t>
    <rPh sb="4" eb="5">
      <t>チョウ</t>
    </rPh>
    <phoneticPr fontId="1"/>
  </si>
  <si>
    <t>データサイエンス学修プログラム</t>
    <rPh sb="8" eb="10">
      <t>ガクシュウ</t>
    </rPh>
    <phoneticPr fontId="1"/>
  </si>
  <si>
    <t>委員長</t>
    <rPh sb="0" eb="2">
      <t>イイン</t>
    </rPh>
    <rPh sb="2" eb="3">
      <t>チョウ</t>
    </rPh>
    <phoneticPr fontId="1"/>
  </si>
  <si>
    <t>〇</t>
    <phoneticPr fontId="1"/>
  </si>
  <si>
    <t>三重大学情報教育・研究機構データサイエンス教育センター情報教育専門委員会規程</t>
    <phoneticPr fontId="1"/>
  </si>
  <si>
    <t>今西　誠之</t>
    <rPh sb="0" eb="2">
      <t>イマニシ</t>
    </rPh>
    <phoneticPr fontId="1"/>
  </si>
  <si>
    <t>理事、情報教育・研究機構長</t>
    <rPh sb="0" eb="2">
      <t>リジ</t>
    </rPh>
    <rPh sb="3" eb="7">
      <t>ジョウホウキョウイク</t>
    </rPh>
    <rPh sb="8" eb="13">
      <t>ケンキュウキコウチョウ</t>
    </rPh>
    <phoneticPr fontId="1"/>
  </si>
  <si>
    <t>人文学部・文化学科</t>
    <rPh sb="0" eb="4">
      <t>ジンブンガクブ</t>
    </rPh>
    <rPh sb="5" eb="7">
      <t>ブンカ</t>
    </rPh>
    <rPh sb="7" eb="9">
      <t>ガッカ</t>
    </rPh>
    <phoneticPr fontId="1"/>
  </si>
  <si>
    <t>人文学部・法律経済学科</t>
    <rPh sb="0" eb="4">
      <t>ジンブンガクブ</t>
    </rPh>
    <rPh sb="5" eb="9">
      <t>ホウリツケイザイ</t>
    </rPh>
    <rPh sb="9" eb="11">
      <t>ガッカ</t>
    </rPh>
    <phoneticPr fontId="1"/>
  </si>
  <si>
    <t>医学部医学科</t>
    <rPh sb="0" eb="3">
      <t>イガクブ</t>
    </rPh>
    <rPh sb="3" eb="5">
      <t>イガク</t>
    </rPh>
    <rPh sb="5" eb="6">
      <t>カ</t>
    </rPh>
    <phoneticPr fontId="1"/>
  </si>
  <si>
    <t>医学部看護学科</t>
    <rPh sb="0" eb="3">
      <t>イガクブ</t>
    </rPh>
    <rPh sb="3" eb="7">
      <t>カンゴガッカ</t>
    </rPh>
    <phoneticPr fontId="1"/>
  </si>
  <si>
    <t>https://www.cemds.mie-u.ac.jp/folder/</t>
    <phoneticPr fontId="1"/>
  </si>
  <si>
    <t>②自己点検・評価体制における意見等を公表しているアドレス</t>
    <phoneticPr fontId="1"/>
  </si>
  <si>
    <t>①</t>
    <phoneticPr fontId="1"/>
  </si>
  <si>
    <t>　　　　　　　　　　　　　　　　　　　　　　　　　　　　　　　　　　　　　　　　　　　　　　　　　　　　　　　　　　　　　　　　　　　　　　　　　</t>
    <phoneticPr fontId="1"/>
  </si>
  <si>
    <t>国際・情報部DX・情報チーム</t>
    <rPh sb="0" eb="2">
      <t>コクサイ</t>
    </rPh>
    <rPh sb="3" eb="6">
      <t>ジョウホウブ</t>
    </rPh>
    <rPh sb="9" eb="11">
      <t>ジョウホウ</t>
    </rPh>
    <phoneticPr fontId="1"/>
  </si>
  <si>
    <t>次良丸　章</t>
    <rPh sb="0" eb="3">
      <t>ジロマル</t>
    </rPh>
    <rPh sb="4" eb="5">
      <t>アキラ</t>
    </rPh>
    <phoneticPr fontId="1"/>
  </si>
  <si>
    <t>jyoho@ab.mie-u.ac.jp</t>
    <phoneticPr fontId="1"/>
  </si>
  <si>
    <t>059-231-9233</t>
    <phoneticPr fontId="1"/>
  </si>
  <si>
    <t>情報教育・研究機構　データサイエンス教育センター　情報教育専門委員会</t>
    <phoneticPr fontId="1"/>
  </si>
  <si>
    <r>
      <t>国立大学法人三重</t>
    </r>
    <r>
      <rPr>
        <sz val="11"/>
        <color theme="1"/>
        <rFont val="ＭＳ Ｐゴシック"/>
        <family val="3"/>
        <charset val="128"/>
        <scheme val="minor"/>
      </rPr>
      <t>大学</t>
    </r>
    <rPh sb="0" eb="6">
      <t>コクリツダイガクホウジン</t>
    </rPh>
    <rPh sb="6" eb="8">
      <t>ミエ</t>
    </rPh>
    <rPh sb="8" eb="10">
      <t>ダイガク</t>
    </rPh>
    <phoneticPr fontId="1"/>
  </si>
  <si>
    <t>情報教育・研究機構　データサイエンス教育センター</t>
    <rPh sb="18" eb="20">
      <t>キョウイク</t>
    </rPh>
    <phoneticPr fontId="1"/>
  </si>
  <si>
    <t>現代科学理解特殊講義（データサイエンスAI）</t>
    <phoneticPr fontId="1"/>
  </si>
  <si>
    <t>現代科学理解特殊講義（データサイエンスAI）</t>
    <phoneticPr fontId="1"/>
  </si>
  <si>
    <t>情報系基礎を含め、情報リテラシーとデータリテラシーを同時に習得できる。また、データを丁寧に扱うことが出来るようになる。これらにより、適切なデータを適切な形で利活用することで不安なくAIなどの技術を活用でき、データに基づいて人間中心の判断ができるようになる。</t>
    <rPh sb="0" eb="3">
      <t>ジョウホウケイ</t>
    </rPh>
    <rPh sb="3" eb="5">
      <t>キソ</t>
    </rPh>
    <rPh sb="6" eb="7">
      <t>フク</t>
    </rPh>
    <phoneticPr fontId="1"/>
  </si>
  <si>
    <r>
      <rPr>
        <sz val="12"/>
        <color theme="1"/>
        <rFont val="ＭＳ Ｐゴシック"/>
        <family val="3"/>
        <charset val="128"/>
        <scheme val="minor"/>
      </rPr>
      <t>・ビッグデータ、IoT 、 AI 、ロボット(DSⅠ第１回, 現代科学理解特殊講義第１回)
・第4 次産業革命、 Society 5.0 、データ駆動型社会（DSⅠ第１回, 現代科学理解特殊講義第２回）
・データ量の増加、計算機の処理性能の向上、AIの非連続的変化（現代科学理解特殊講義第1回）</t>
    </r>
    <r>
      <rPr>
        <sz val="12"/>
        <color rgb="FFFF0000"/>
        <rFont val="ＭＳ Ｐゴシック"/>
        <family val="2"/>
        <charset val="128"/>
        <scheme val="minor"/>
      </rPr>
      <t xml:space="preserve">
</t>
    </r>
    <rPh sb="31" eb="37">
      <t>ゲンダイカガクリカイ</t>
    </rPh>
    <rPh sb="37" eb="41">
      <t>トクシュコウギ</t>
    </rPh>
    <rPh sb="41" eb="42">
      <t>ダイ</t>
    </rPh>
    <rPh sb="145" eb="146">
      <t>カイ</t>
    </rPh>
    <phoneticPr fontId="1"/>
  </si>
  <si>
    <r>
      <rPr>
        <sz val="12"/>
        <color theme="1"/>
        <rFont val="ＭＳ Ｐゴシック"/>
        <family val="3"/>
        <charset val="128"/>
        <scheme val="minor"/>
      </rPr>
      <t>・AI等を活用した新しいビジネスモデル(現代学理解特殊講義第２回)
・AI最新技術の活用例(DSⅠ第１回、現代学理解特殊講義第３回)</t>
    </r>
    <r>
      <rPr>
        <sz val="12"/>
        <rFont val="ＭＳ Ｐゴシック"/>
        <family val="2"/>
        <charset val="128"/>
        <scheme val="minor"/>
      </rPr>
      <t xml:space="preserve">
</t>
    </r>
    <rPh sb="3" eb="4">
      <t>ナド</t>
    </rPh>
    <rPh sb="5" eb="7">
      <t>カツヨウ</t>
    </rPh>
    <rPh sb="9" eb="10">
      <t>アタラ</t>
    </rPh>
    <rPh sb="20" eb="22">
      <t>ゲンダイ</t>
    </rPh>
    <rPh sb="37" eb="41">
      <t>サイシンギジュツ</t>
    </rPh>
    <rPh sb="42" eb="45">
      <t>カツヨウレイ</t>
    </rPh>
    <rPh sb="49" eb="50">
      <t>ダイ</t>
    </rPh>
    <rPh sb="51" eb="52">
      <t>カイ</t>
    </rPh>
    <phoneticPr fontId="1"/>
  </si>
  <si>
    <r>
      <rPr>
        <sz val="12"/>
        <color theme="1"/>
        <rFont val="ＭＳ Ｐゴシック"/>
        <family val="3"/>
        <charset val="128"/>
        <scheme val="minor"/>
      </rPr>
      <t>・データ作成(DSⅠ第１回)
・調査データ、実験データ、人の行動ログデータ、機械の稼働ログデータなど(DSⅠ第１回、現代科学理解特殊講義第１回)</t>
    </r>
    <r>
      <rPr>
        <sz val="12"/>
        <color rgb="FFFF0000"/>
        <rFont val="ＭＳ Ｐゴシック"/>
        <family val="3"/>
        <charset val="128"/>
        <scheme val="minor"/>
      </rPr>
      <t xml:space="preserve">
</t>
    </r>
    <rPh sb="4" eb="6">
      <t>サクセイ</t>
    </rPh>
    <rPh sb="16" eb="18">
      <t>チョウサ</t>
    </rPh>
    <rPh sb="22" eb="24">
      <t>ジッケン</t>
    </rPh>
    <rPh sb="28" eb="29">
      <t>ヒト</t>
    </rPh>
    <rPh sb="30" eb="32">
      <t>コウドウ</t>
    </rPh>
    <rPh sb="38" eb="40">
      <t>キカイ</t>
    </rPh>
    <rPh sb="41" eb="43">
      <t>カドウ</t>
    </rPh>
    <phoneticPr fontId="1"/>
  </si>
  <si>
    <r>
      <rPr>
        <sz val="12"/>
        <color theme="1"/>
        <rFont val="ＭＳ Ｐゴシック"/>
        <family val="3"/>
        <charset val="128"/>
        <scheme val="minor"/>
      </rPr>
      <t>・データ・AI活用領域の広がり(DSⅠ第１回、現代科学理解特殊講義第１回)
・研究開発、調達、製造、物流、販売、マーケティング、サービスなど(現代科学理解特殊講義第２回)</t>
    </r>
    <r>
      <rPr>
        <sz val="12"/>
        <rFont val="ＭＳ Ｐゴシック"/>
        <family val="2"/>
        <charset val="128"/>
        <scheme val="minor"/>
      </rPr>
      <t xml:space="preserve">
</t>
    </r>
    <rPh sb="7" eb="11">
      <t>カツヨウリョウイキ</t>
    </rPh>
    <rPh sb="12" eb="13">
      <t>ヒロ</t>
    </rPh>
    <rPh sb="39" eb="43">
      <t>ケンキュウカイハツ</t>
    </rPh>
    <rPh sb="44" eb="46">
      <t>チョウタツ</t>
    </rPh>
    <rPh sb="47" eb="49">
      <t>セイゾウ</t>
    </rPh>
    <rPh sb="50" eb="52">
      <t>ブツリュウ</t>
    </rPh>
    <rPh sb="53" eb="55">
      <t>ハンバイ</t>
    </rPh>
    <phoneticPr fontId="1"/>
  </si>
  <si>
    <r>
      <rPr>
        <sz val="12"/>
        <color theme="1"/>
        <rFont val="ＭＳ Ｐゴシック"/>
        <family val="3"/>
        <charset val="128"/>
        <scheme val="minor"/>
      </rPr>
      <t>・データ解析：予測、グルーピング、パターン発見(DSⅠ第１回)
・非構造化データ処理:言語処理、画像処理、音声処理(現代科学理解特殊講義第１回、第１３-１４回)
・特化型AIと汎用AI、今のAIに出来ること出来ないこと、AIとビッグデータ(現代科学理解特殊講義第１回)</t>
    </r>
    <r>
      <rPr>
        <sz val="12"/>
        <rFont val="ＭＳ Ｐゴシック"/>
        <family val="2"/>
        <charset val="128"/>
        <scheme val="minor"/>
      </rPr>
      <t xml:space="preserve">
</t>
    </r>
    <rPh sb="4" eb="6">
      <t>カイセキ</t>
    </rPh>
    <rPh sb="7" eb="9">
      <t>ヨソク</t>
    </rPh>
    <rPh sb="21" eb="23">
      <t>ハッケン</t>
    </rPh>
    <rPh sb="33" eb="34">
      <t>ヒ</t>
    </rPh>
    <rPh sb="34" eb="37">
      <t>コウゾウカ</t>
    </rPh>
    <rPh sb="40" eb="42">
      <t>ショリ</t>
    </rPh>
    <rPh sb="43" eb="47">
      <t>ゲンゴショリ</t>
    </rPh>
    <rPh sb="53" eb="55">
      <t>オンセイ</t>
    </rPh>
    <rPh sb="55" eb="57">
      <t>ショリ</t>
    </rPh>
    <rPh sb="72" eb="73">
      <t>ダイ</t>
    </rPh>
    <rPh sb="78" eb="79">
      <t>カイ</t>
    </rPh>
    <rPh sb="82" eb="85">
      <t>トッカガタ</t>
    </rPh>
    <rPh sb="88" eb="90">
      <t>ハンヨウ</t>
    </rPh>
    <rPh sb="93" eb="94">
      <t>イマ</t>
    </rPh>
    <rPh sb="98" eb="100">
      <t>デキ</t>
    </rPh>
    <rPh sb="103" eb="105">
      <t>デキ</t>
    </rPh>
    <phoneticPr fontId="1"/>
  </si>
  <si>
    <r>
      <t xml:space="preserve">・データサイエンスのサイクル(現代科学理解特殊講義第２回目)
</t>
    </r>
    <r>
      <rPr>
        <sz val="12"/>
        <color theme="1"/>
        <rFont val="ＭＳ Ｐゴシック"/>
        <family val="3"/>
        <charset val="128"/>
        <scheme val="minor"/>
      </rPr>
      <t>・データ・AI活用例紹介</t>
    </r>
    <r>
      <rPr>
        <sz val="12"/>
        <rFont val="ＭＳ Ｐゴシック"/>
        <family val="2"/>
        <charset val="128"/>
        <scheme val="minor"/>
      </rPr>
      <t>（品質管理、企業分析、マーケティング、研究、製造・流通、金融、サービス業、
公共政策、インフラ、ヘルスケアなど）(現代科学理解特殊講義第２回目)</t>
    </r>
    <phoneticPr fontId="1"/>
  </si>
  <si>
    <r>
      <t>・</t>
    </r>
    <r>
      <rPr>
        <sz val="12"/>
        <color theme="1"/>
        <rFont val="ＭＳ Ｐゴシック"/>
        <family val="3"/>
        <charset val="128"/>
        <scheme val="minor"/>
      </rPr>
      <t>データの集計(現代科学理解特殊講義第11回)
・データ解析ツール(現代科学理解特殊講義第11回)
・表形式のデータ(現代科学理解特殊講義第11回)</t>
    </r>
    <rPh sb="5" eb="7">
      <t>シュウケイ</t>
    </rPh>
    <rPh sb="18" eb="19">
      <t>ダイ</t>
    </rPh>
    <rPh sb="21" eb="22">
      <t>カイ</t>
    </rPh>
    <rPh sb="28" eb="30">
      <t>カイセキ</t>
    </rPh>
    <rPh sb="51" eb="54">
      <t>ヒョウケイシキ</t>
    </rPh>
    <phoneticPr fontId="1"/>
  </si>
  <si>
    <r>
      <t>・</t>
    </r>
    <r>
      <rPr>
        <sz val="12"/>
        <color theme="1"/>
        <rFont val="ＭＳ Ｐゴシック"/>
        <family val="3"/>
        <charset val="128"/>
        <scheme val="minor"/>
      </rPr>
      <t>データ表現、データの図表表現(現代科学理解特殊講義第７、８回)
・不適切なグラフ表現(現代科学理解特殊講義第７回)
・優れた可視化事例の紹介( 現代科学理解特殊講義第７、９回)</t>
    </r>
    <rPh sb="4" eb="6">
      <t>ヒョウゲン</t>
    </rPh>
    <rPh sb="11" eb="15">
      <t>ズヒョウヒョウゲン</t>
    </rPh>
    <rPh sb="26" eb="27">
      <t>ダイ</t>
    </rPh>
    <rPh sb="30" eb="31">
      <t>カイ</t>
    </rPh>
    <rPh sb="34" eb="37">
      <t>フテキセツ</t>
    </rPh>
    <rPh sb="41" eb="43">
      <t>ヒョウゲン</t>
    </rPh>
    <rPh sb="60" eb="61">
      <t>スグ</t>
    </rPh>
    <rPh sb="63" eb="66">
      <t>カシカ</t>
    </rPh>
    <rPh sb="66" eb="68">
      <t>ジレイ</t>
    </rPh>
    <rPh sb="69" eb="71">
      <t>ショウカイ</t>
    </rPh>
    <rPh sb="87" eb="88">
      <t>カイ</t>
    </rPh>
    <phoneticPr fontId="1"/>
  </si>
  <si>
    <r>
      <t>・データの分布と代表値、代表値の性質の違い(現代科学理解特殊講義第４回)
・</t>
    </r>
    <r>
      <rPr>
        <sz val="10"/>
        <color theme="1"/>
        <rFont val="ＭＳ Ｐゴシック"/>
        <family val="3"/>
        <charset val="128"/>
        <scheme val="minor"/>
      </rPr>
      <t>データのばらつき、観測データに含まれる誤差の扱い(現代科学理解特殊講義第４回)
・相関と因果、クロス集計表、分割表、相関係数行列、散布図行列（現代科学理解特殊講義第５～６回）
・母集団と標本抽出(現代科学理解特殊講義第４、６回)
・統計情報の正しい理解（現代科学理解特殊講義第11回）</t>
    </r>
    <rPh sb="79" eb="81">
      <t>ソウカン</t>
    </rPh>
    <rPh sb="82" eb="84">
      <t>インガ</t>
    </rPh>
    <rPh sb="127" eb="130">
      <t>ボシュウダン</t>
    </rPh>
    <rPh sb="131" eb="133">
      <t>ヒョウホン</t>
    </rPh>
    <rPh sb="133" eb="135">
      <t>チュウシュツ</t>
    </rPh>
    <rPh sb="154" eb="158">
      <t>トウケイジョウホウ</t>
    </rPh>
    <rPh sb="159" eb="160">
      <t>タダ</t>
    </rPh>
    <rPh sb="162" eb="164">
      <t>リカイ</t>
    </rPh>
    <phoneticPr fontId="1"/>
  </si>
  <si>
    <t>データサイエンスⅠ［R3年度以降入学者］</t>
    <rPh sb="12" eb="14">
      <t>ネンド</t>
    </rPh>
    <rPh sb="14" eb="16">
      <t>イコウ</t>
    </rPh>
    <phoneticPr fontId="1"/>
  </si>
  <si>
    <t>データサイエンスⅠ［R3年度以降入学者］</t>
    <phoneticPr fontId="1"/>
  </si>
  <si>
    <t>情報科学基礎［R2年度以前入学者］</t>
    <rPh sb="0" eb="2">
      <t>ジョウホウ</t>
    </rPh>
    <rPh sb="2" eb="6">
      <t>カガクキソ</t>
    </rPh>
    <phoneticPr fontId="1"/>
  </si>
  <si>
    <t>認定教育プログラム</t>
  </si>
  <si>
    <t>現代科学理解特殊講義（データサイエンスAI）</t>
    <phoneticPr fontId="1"/>
  </si>
  <si>
    <r>
      <t>・情報セキュリティー（DSⅠ第9回、現代科学理解特殊講義第12回)</t>
    </r>
    <r>
      <rPr>
        <sz val="12"/>
        <color theme="1"/>
        <rFont val="ＭＳ Ｐゴシック"/>
        <family val="3"/>
        <charset val="128"/>
        <scheme val="minor"/>
      </rPr>
      <t xml:space="preserve">
・匿名加工情報、暗号化、パスワード、悪意のある情報搾取（DSⅠ第8回, 情報科学基礎第1-2回または第3-4回、現代科学理解特殊講義第12回)
・情報漏洩等によるセキュリティー事故の事例紹介（現代科学理解特殊講義第12回)</t>
    </r>
    <rPh sb="1" eb="3">
      <t>ジョウホウ</t>
    </rPh>
    <rPh sb="14" eb="15">
      <t>ダイ</t>
    </rPh>
    <rPh sb="16" eb="17">
      <t>カイ</t>
    </rPh>
    <rPh sb="35" eb="37">
      <t>トクメイ</t>
    </rPh>
    <rPh sb="37" eb="41">
      <t>カコウジョウホウ</t>
    </rPh>
    <rPh sb="42" eb="45">
      <t>アンゴウカ</t>
    </rPh>
    <rPh sb="52" eb="54">
      <t>アクイ</t>
    </rPh>
    <rPh sb="57" eb="61">
      <t>ジョウホウサクシュ</t>
    </rPh>
    <rPh sb="70" eb="76">
      <t>ジョウホウカガクキソ</t>
    </rPh>
    <rPh sb="76" eb="77">
      <t>ダイ</t>
    </rPh>
    <rPh sb="80" eb="81">
      <t>カイ</t>
    </rPh>
    <rPh sb="84" eb="85">
      <t>ダイ</t>
    </rPh>
    <rPh sb="88" eb="89">
      <t>カイ</t>
    </rPh>
    <rPh sb="107" eb="111">
      <t>ジョウホウロウエイ</t>
    </rPh>
    <rPh sb="111" eb="112">
      <t>ナド</t>
    </rPh>
    <rPh sb="122" eb="124">
      <t>ジコ</t>
    </rPh>
    <rPh sb="125" eb="129">
      <t>ジレイショウカイ</t>
    </rPh>
    <phoneticPr fontId="1"/>
  </si>
  <si>
    <t>委員長（地域イノベーション学研究科/生物資源学部、DS教育センター）末原憲一郎
副委員長（工学部・DS教育センター)奥原 俊
教育担当副学長　苅田修一
参与・特命副学長　梅川逸人
人文学部　三根慎二(文化学科）、深井英喜（法律経済学科）
教育学部　萩原克幸
工学部　林田祐樹、森本尚之
生物資源学部　森尾吉成
医学部　谷村晋
総合情報処センター　杉浦徳宏、堀川 慎一、白井 伸宙
教育担当学長補佐（全学共通教育センター）大井淳史
前教育担当副学長　冨樫健二
国際・情報部部長　次良丸 章</t>
    <rPh sb="5" eb="6">
      <t>イキ</t>
    </rPh>
    <rPh sb="13" eb="14">
      <t>ガク</t>
    </rPh>
    <rPh sb="14" eb="17">
      <t>ケンキュウカ</t>
    </rPh>
    <rPh sb="18" eb="24">
      <t>セイブツシゲンガクブ</t>
    </rPh>
    <rPh sb="27" eb="29">
      <t>キョウイク</t>
    </rPh>
    <rPh sb="46" eb="48">
      <t>ガクブ</t>
    </rPh>
    <rPh sb="90" eb="94">
      <t>ジンブンガクブ</t>
    </rPh>
    <rPh sb="102" eb="104">
      <t>ガッカ</t>
    </rPh>
    <rPh sb="163" eb="168">
      <t>ソウゴウ</t>
    </rPh>
    <rPh sb="235" eb="237">
      <t>ブチョウ</t>
    </rPh>
    <phoneticPr fontId="1"/>
  </si>
  <si>
    <t>データサイエンスⅠ（工学部を除き必修、工学部ではR5年度より必修）2単位を修得し、さらに現代科学理解特殊講義（テーマ名：データサイエンスAI、令和３年度より開講している選択科目）を履修し、データサイエンス関連の計４単位を取得する。令和2年度以前に入学した学生は、データサイエンスⅠの代わりに「情報科学基礎」を履修する。令和４年度以降の入学生に関しては、現代科学理解特殊講義ではなく「データサイエンスⅡ（令和４～５年度にかけて必修科目として全入学生にむけて開講）」を受講し、データサイエンス関連の計４単位を取得する。</t>
    <rPh sb="10" eb="13">
      <t>コウガクブ</t>
    </rPh>
    <rPh sb="14" eb="15">
      <t>ノゾ</t>
    </rPh>
    <rPh sb="16" eb="18">
      <t>ヒッシュウ</t>
    </rPh>
    <rPh sb="19" eb="22">
      <t>コウガクブ</t>
    </rPh>
    <rPh sb="26" eb="28">
      <t>ネンド</t>
    </rPh>
    <rPh sb="30" eb="32">
      <t>ヒッシュウ</t>
    </rPh>
    <rPh sb="34" eb="36">
      <t>タンイ</t>
    </rPh>
    <rPh sb="37" eb="39">
      <t>シュウトク</t>
    </rPh>
    <rPh sb="71" eb="73">
      <t>レイワ</t>
    </rPh>
    <rPh sb="74" eb="76">
      <t>ネンド</t>
    </rPh>
    <rPh sb="78" eb="80">
      <t>カイコウ</t>
    </rPh>
    <rPh sb="86" eb="88">
      <t>カモク</t>
    </rPh>
    <rPh sb="90" eb="92">
      <t>リシュウ</t>
    </rPh>
    <rPh sb="102" eb="104">
      <t>カンレン</t>
    </rPh>
    <rPh sb="105" eb="106">
      <t>ケイ</t>
    </rPh>
    <rPh sb="107" eb="109">
      <t>タンイ</t>
    </rPh>
    <rPh sb="110" eb="112">
      <t>シュトク</t>
    </rPh>
    <rPh sb="115" eb="117">
      <t>レイワ</t>
    </rPh>
    <rPh sb="118" eb="120">
      <t>ネンド</t>
    </rPh>
    <rPh sb="120" eb="122">
      <t>イゼン</t>
    </rPh>
    <rPh sb="123" eb="125">
      <t>ニュウガク</t>
    </rPh>
    <rPh sb="127" eb="129">
      <t>ガクセイ</t>
    </rPh>
    <rPh sb="141" eb="142">
      <t>カ</t>
    </rPh>
    <rPh sb="146" eb="152">
      <t>ジョウホウカガクキソ</t>
    </rPh>
    <rPh sb="154" eb="156">
      <t>リシュウ</t>
    </rPh>
    <rPh sb="159" eb="161">
      <t>レイワ</t>
    </rPh>
    <rPh sb="162" eb="164">
      <t>ネンド</t>
    </rPh>
    <rPh sb="164" eb="166">
      <t>イコウ</t>
    </rPh>
    <rPh sb="167" eb="170">
      <t>ニュウガクセイ</t>
    </rPh>
    <rPh sb="171" eb="172">
      <t>カン</t>
    </rPh>
    <rPh sb="201" eb="203">
      <t>レイワ</t>
    </rPh>
    <rPh sb="206" eb="208">
      <t>ネンド</t>
    </rPh>
    <rPh sb="232" eb="234">
      <t>ジュコウ</t>
    </rPh>
    <phoneticPr fontId="1"/>
  </si>
  <si>
    <t>情報教育・研究機構の中にデータサイエンス教育センターを設置している。また、データサイエンス教育センター直轄で情報教育専門委員会を設置している。情報教育専門委員会では、情報教育・研究機構データサイエンス教育センターと授業担当者の間に立ち、プログラムを改善・進化させるための方針と具体策を決定し授業担当者に伝えるとともに、授業担当者の意見を情報教育・研究機構データサイエンス教育センターに伝える役割を担っている。</t>
    <rPh sb="0" eb="2">
      <t>ジョウホウ</t>
    </rPh>
    <rPh sb="2" eb="4">
      <t>キョウイク</t>
    </rPh>
    <rPh sb="5" eb="9">
      <t>ケンキュウキコウ</t>
    </rPh>
    <rPh sb="10" eb="11">
      <t>ナカ</t>
    </rPh>
    <rPh sb="20" eb="22">
      <t>キョウイク</t>
    </rPh>
    <rPh sb="27" eb="29">
      <t>セッチ</t>
    </rPh>
    <rPh sb="45" eb="47">
      <t>キョウイク</t>
    </rPh>
    <rPh sb="51" eb="53">
      <t>チョッカツ</t>
    </rPh>
    <rPh sb="54" eb="56">
      <t>ジョウホウ</t>
    </rPh>
    <rPh sb="56" eb="58">
      <t>キョウイク</t>
    </rPh>
    <rPh sb="58" eb="60">
      <t>センモン</t>
    </rPh>
    <rPh sb="60" eb="63">
      <t>イインカイ</t>
    </rPh>
    <rPh sb="64" eb="66">
      <t>セッチ</t>
    </rPh>
    <rPh sb="111" eb="112">
      <t>シャ</t>
    </rPh>
    <rPh sb="113" eb="114">
      <t>アイダ</t>
    </rPh>
    <rPh sb="115" eb="116">
      <t>タ</t>
    </rPh>
    <rPh sb="135" eb="137">
      <t>ホウシン</t>
    </rPh>
    <rPh sb="138" eb="141">
      <t>グタイサク</t>
    </rPh>
    <rPh sb="142" eb="144">
      <t>ケッテイ</t>
    </rPh>
    <rPh sb="145" eb="150">
      <t>ジュギョウタントウシャ</t>
    </rPh>
    <rPh sb="151" eb="152">
      <t>ツタ</t>
    </rPh>
    <rPh sb="159" eb="164">
      <t>ジュギョウタントウシャ</t>
    </rPh>
    <rPh sb="165" eb="167">
      <t>イケン</t>
    </rPh>
    <rPh sb="192" eb="193">
      <t>ツタ</t>
    </rPh>
    <rPh sb="195" eb="197">
      <t>ヤクワリ</t>
    </rPh>
    <rPh sb="198" eb="199">
      <t>ニナ</t>
    </rPh>
    <phoneticPr fontId="1"/>
  </si>
  <si>
    <t>令和３年度　収容定員に対する履修率0.4%（DSⅠ必修化、現代科学理解特殊講義開講）
令和４年度　収容定員に対する履修率15％、新入生履修率約62％（DSⅡ開講）
令和５年度　収容定員に対する履修率39％（DSⅠ・Ⅱ完全必修化）新入生履修率100％
目標を実現するために、まずは令和３年度より「データサイエンスⅠ（１年前期・２単位）」を必修化した（改組の学年進行中の工学部を除く）。さらに、「データサイエンスⅠ」に続く内容として試行授業「現代科学理解特殊講義（データサイエンスAI）」を実施することで、データサイエンス学修プログラムに関わる２科目4単位履修体制を整えた。つぎに、令和４年度に教養教育に新領域「データサイエンス」を設け，「データサイエンスⅠ」と、「現代科学理解特殊講義（データサイエンスAI）」の試行結果を検証のうえ新設した「データサイエンスⅡ（２単位）」の２科目を、新領域の科目として位置付けた。「データサイエンスⅡ」は、学部学科目的別の必修科目であり、人文学部文化学科と工学部（改組の学年進行中）を除いて１年後期に履修する。人文学部文化学科においては２年後期に，工学部においてはAC期間終了後の令和５年度から、プログラミング系の既存授業をデータサイエンスの内容に改変し、１年後期に必修科目として履修する。これにより、令和５年度より全学でデータサイエンス領域２科目４単位の必修化が実現する。</t>
    <rPh sb="0" eb="2">
      <t>レイワ</t>
    </rPh>
    <rPh sb="3" eb="5">
      <t>ネンド</t>
    </rPh>
    <rPh sb="14" eb="17">
      <t>リシュウリツ</t>
    </rPh>
    <rPh sb="25" eb="28">
      <t>ヒッシュウカ</t>
    </rPh>
    <rPh sb="29" eb="35">
      <t>ゲンダイカガクリカイ</t>
    </rPh>
    <rPh sb="35" eb="39">
      <t>トクシュコウギ</t>
    </rPh>
    <rPh sb="39" eb="41">
      <t>カイコウ</t>
    </rPh>
    <rPh sb="43" eb="45">
      <t>レイワ</t>
    </rPh>
    <rPh sb="46" eb="48">
      <t>ネンド</t>
    </rPh>
    <rPh sb="57" eb="60">
      <t>リシュウリツ</t>
    </rPh>
    <rPh sb="64" eb="67">
      <t>シンニュウセイ</t>
    </rPh>
    <rPh sb="67" eb="70">
      <t>リシュウリツ</t>
    </rPh>
    <rPh sb="70" eb="71">
      <t>ヤク</t>
    </rPh>
    <rPh sb="82" eb="84">
      <t>レイワ</t>
    </rPh>
    <rPh sb="85" eb="87">
      <t>ネンド</t>
    </rPh>
    <rPh sb="126" eb="128">
      <t>モクヒョウ</t>
    </rPh>
    <rPh sb="129" eb="131">
      <t>ジツゲン</t>
    </rPh>
    <rPh sb="175" eb="177">
      <t>カイソ</t>
    </rPh>
    <rPh sb="184" eb="187">
      <t>コウガクブ</t>
    </rPh>
    <rPh sb="188" eb="189">
      <t>ノゾ</t>
    </rPh>
    <rPh sb="260" eb="262">
      <t>ガクシュウ</t>
    </rPh>
    <rPh sb="268" eb="269">
      <t>カカ</t>
    </rPh>
    <rPh sb="272" eb="274">
      <t>カモク</t>
    </rPh>
    <rPh sb="275" eb="277">
      <t>タンイ</t>
    </rPh>
    <rPh sb="277" eb="281">
      <t>リシュウタイセイ</t>
    </rPh>
    <rPh sb="282" eb="283">
      <t>トトノ</t>
    </rPh>
    <rPh sb="290" eb="292">
      <t>レイワ</t>
    </rPh>
    <rPh sb="293" eb="295">
      <t>ネンド</t>
    </rPh>
    <rPh sb="296" eb="300">
      <t>キョウヨウキョウイク</t>
    </rPh>
    <rPh sb="301" eb="304">
      <t>シンリョウイキ</t>
    </rPh>
    <rPh sb="315" eb="316">
      <t>モウ</t>
    </rPh>
    <phoneticPr fontId="1"/>
  </si>
  <si>
    <t>平成31年度（令和元年度）に数理・データサイエンス館（通称CeMDS＝セムズ館）を設置し，PCやネットワークに関するサポートデスク（大学院生のサポートスタッフが学生の質問などに答える）や３Dプリンタなどの情報機材やデジタルコンテンツ・セミナーの提供、などを行っている。これに加え、令和３年度にデータサイエンス教育センターを設置して情報教育専門委員会を発足させた。データサイエンス教育センターでは総合情報処理センターと協同して授業提供や教材作成、大学院生スタッフやTA研修などを行い，情報教育専門委員会では各学部より選出された教員とセンター教員を中心に授業内容を検討し，必修化された「データサイエンスⅠ」「データサイエンスⅡ」を各学部・学科で設定された目標に合わせて授業の最適化を図っていく。
　令和３年度以前の入学生、および工学部の令和４年度以前の必修化以前に入学した学生については，令和３年度に実施した試行授業「現代科学理解特殊講義（データサイエンスAI）」を令和４年度に開講することで，希望する全学生に対してデータサイエンス学修プログラムが履修できる体制を整えた。
　</t>
    <rPh sb="0" eb="2">
      <t>ヘイセイ</t>
    </rPh>
    <rPh sb="4" eb="6">
      <t>ネンド</t>
    </rPh>
    <rPh sb="7" eb="9">
      <t>レイワ</t>
    </rPh>
    <rPh sb="9" eb="12">
      <t>ガンネンド</t>
    </rPh>
    <rPh sb="14" eb="16">
      <t>スウリ</t>
    </rPh>
    <rPh sb="25" eb="26">
      <t>カン</t>
    </rPh>
    <rPh sb="27" eb="29">
      <t>ツウショウ</t>
    </rPh>
    <rPh sb="38" eb="39">
      <t>カン</t>
    </rPh>
    <rPh sb="41" eb="43">
      <t>セッチ</t>
    </rPh>
    <rPh sb="55" eb="56">
      <t>カン</t>
    </rPh>
    <rPh sb="66" eb="70">
      <t>ダイガクインセイ</t>
    </rPh>
    <rPh sb="80" eb="82">
      <t>ガクセイ</t>
    </rPh>
    <rPh sb="83" eb="85">
      <t>シツモン</t>
    </rPh>
    <rPh sb="88" eb="89">
      <t>コタ</t>
    </rPh>
    <rPh sb="102" eb="106">
      <t>ジョウホウキザイ</t>
    </rPh>
    <rPh sb="122" eb="124">
      <t>テイキョウ</t>
    </rPh>
    <rPh sb="128" eb="129">
      <t>オコナ</t>
    </rPh>
    <rPh sb="137" eb="138">
      <t>クワ</t>
    </rPh>
    <rPh sb="140" eb="142">
      <t>レイワ</t>
    </rPh>
    <rPh sb="143" eb="145">
      <t>ネンド</t>
    </rPh>
    <rPh sb="154" eb="156">
      <t>キョウイク</t>
    </rPh>
    <rPh sb="161" eb="163">
      <t>セッチ</t>
    </rPh>
    <rPh sb="165" eb="174">
      <t>ジョウホウキョウイクセンモンイインカイ</t>
    </rPh>
    <rPh sb="175" eb="177">
      <t>ホッソク</t>
    </rPh>
    <rPh sb="197" eb="203">
      <t>ソウゴウジョウホウショリ</t>
    </rPh>
    <rPh sb="208" eb="210">
      <t>キョウドウ</t>
    </rPh>
    <rPh sb="212" eb="216">
      <t>ジュギョウテイキョウ</t>
    </rPh>
    <rPh sb="217" eb="219">
      <t>キョウザイ</t>
    </rPh>
    <rPh sb="219" eb="221">
      <t>サクセイ</t>
    </rPh>
    <rPh sb="222" eb="226">
      <t>ダイガクインセイ</t>
    </rPh>
    <rPh sb="238" eb="239">
      <t>オコナ</t>
    </rPh>
    <rPh sb="252" eb="255">
      <t>カクガクブ</t>
    </rPh>
    <rPh sb="257" eb="259">
      <t>センシュツ</t>
    </rPh>
    <rPh sb="262" eb="264">
      <t>キョウイン</t>
    </rPh>
    <rPh sb="269" eb="271">
      <t>キョウイン</t>
    </rPh>
    <rPh sb="272" eb="274">
      <t>チュウシン</t>
    </rPh>
    <rPh sb="275" eb="279">
      <t>ジュギョウナイヨウ</t>
    </rPh>
    <rPh sb="280" eb="282">
      <t>ケントウ</t>
    </rPh>
    <rPh sb="284" eb="287">
      <t>ヒッシュウカ</t>
    </rPh>
    <rPh sb="313" eb="316">
      <t>カクガクブ</t>
    </rPh>
    <rPh sb="317" eb="319">
      <t>ガッカ</t>
    </rPh>
    <rPh sb="320" eb="322">
      <t>セッテイ</t>
    </rPh>
    <rPh sb="325" eb="327">
      <t>モクヒョウ</t>
    </rPh>
    <rPh sb="328" eb="329">
      <t>ア</t>
    </rPh>
    <rPh sb="332" eb="334">
      <t>ジュギョウ</t>
    </rPh>
    <rPh sb="335" eb="338">
      <t>サイテキカ</t>
    </rPh>
    <rPh sb="339" eb="340">
      <t>ハカ</t>
    </rPh>
    <rPh sb="374" eb="377">
      <t>ヒッシュウカ</t>
    </rPh>
    <rPh sb="377" eb="379">
      <t>イゼン</t>
    </rPh>
    <rPh sb="384" eb="386">
      <t>ガクセイ</t>
    </rPh>
    <phoneticPr fontId="1"/>
  </si>
  <si>
    <t>令和４年度入学生においては、改組の学年進行中の工学部を除いてデータサイエンス関係の２科目を必修化（1年生前期と後期、ただし、人文学部文化学科においては、その教育内容を鑑みてデータサイエンスⅡは2年生後期に実施）している。AC期間中の工学部においては，令和５年度入学生から2科目必修化される。令和３年度以前の入学生、および工学部の令和４年度以前の必修化以前に入学した学生については，令和３年度に実施した試行授業「現代科学理解特殊講義（データサイエンスAI）」を令和４年度に開講することで，希望する全学生に対してデータサイエンス学修プログラムが履修できる体制を整えた。</t>
    <rPh sb="0" eb="2">
      <t>レイワ</t>
    </rPh>
    <rPh sb="3" eb="5">
      <t>ネンド</t>
    </rPh>
    <rPh sb="14" eb="16">
      <t>カイソ</t>
    </rPh>
    <rPh sb="17" eb="22">
      <t>ガクネンシンコウチュウ</t>
    </rPh>
    <rPh sb="23" eb="25">
      <t>コウガク</t>
    </rPh>
    <rPh sb="25" eb="26">
      <t>ブ</t>
    </rPh>
    <rPh sb="27" eb="28">
      <t>ノゾ</t>
    </rPh>
    <rPh sb="38" eb="40">
      <t>カンケイ</t>
    </rPh>
    <rPh sb="42" eb="44">
      <t>カモク</t>
    </rPh>
    <rPh sb="45" eb="47">
      <t>ヒッシュウ</t>
    </rPh>
    <rPh sb="47" eb="48">
      <t>カ</t>
    </rPh>
    <rPh sb="50" eb="51">
      <t>ネン</t>
    </rPh>
    <rPh sb="51" eb="52">
      <t>セイ</t>
    </rPh>
    <rPh sb="52" eb="54">
      <t>ゼンキ</t>
    </rPh>
    <rPh sb="55" eb="57">
      <t>コウキ</t>
    </rPh>
    <rPh sb="62" eb="66">
      <t>ジンブンガクブ</t>
    </rPh>
    <rPh sb="66" eb="70">
      <t>ブンカガッカ</t>
    </rPh>
    <rPh sb="78" eb="82">
      <t>キョウイクナイヨウ</t>
    </rPh>
    <rPh sb="83" eb="84">
      <t>カンガ</t>
    </rPh>
    <rPh sb="97" eb="98">
      <t>ネン</t>
    </rPh>
    <rPh sb="98" eb="99">
      <t>セイ</t>
    </rPh>
    <rPh sb="99" eb="101">
      <t>コウキ</t>
    </rPh>
    <rPh sb="102" eb="104">
      <t>ジッシ</t>
    </rPh>
    <rPh sb="116" eb="119">
      <t>コウガクブ</t>
    </rPh>
    <rPh sb="125" eb="127">
      <t>レイワ</t>
    </rPh>
    <rPh sb="128" eb="130">
      <t>ネンド</t>
    </rPh>
    <rPh sb="130" eb="133">
      <t>ニュウガクセイ</t>
    </rPh>
    <rPh sb="136" eb="138">
      <t>カモク</t>
    </rPh>
    <rPh sb="138" eb="141">
      <t>ヒッシュウカ</t>
    </rPh>
    <rPh sb="146" eb="147">
      <t>ワ</t>
    </rPh>
    <rPh sb="148" eb="150">
      <t>ネンド</t>
    </rPh>
    <rPh sb="150" eb="152">
      <t>イゼン</t>
    </rPh>
    <rPh sb="153" eb="156">
      <t>ニュウガクセイ</t>
    </rPh>
    <rPh sb="160" eb="163">
      <t>コウガクブ</t>
    </rPh>
    <rPh sb="164" eb="166">
      <t>レイワ</t>
    </rPh>
    <rPh sb="167" eb="169">
      <t>ネンド</t>
    </rPh>
    <rPh sb="169" eb="171">
      <t>イゼン</t>
    </rPh>
    <rPh sb="172" eb="175">
      <t>ヒッシュウカ</t>
    </rPh>
    <rPh sb="175" eb="177">
      <t>イゼン</t>
    </rPh>
    <rPh sb="190" eb="192">
      <t>レイワ</t>
    </rPh>
    <rPh sb="193" eb="195">
      <t>ネンド</t>
    </rPh>
    <rPh sb="196" eb="198">
      <t>ジッシ</t>
    </rPh>
    <rPh sb="200" eb="204">
      <t>シコウジュギョウ</t>
    </rPh>
    <rPh sb="205" eb="211">
      <t>ゲンダイカガクリカイ</t>
    </rPh>
    <rPh sb="211" eb="215">
      <t>トクシュコウギ</t>
    </rPh>
    <rPh sb="229" eb="231">
      <t>レイワ</t>
    </rPh>
    <rPh sb="232" eb="234">
      <t>ネンド</t>
    </rPh>
    <rPh sb="235" eb="237">
      <t>カイコウ</t>
    </rPh>
    <rPh sb="243" eb="245">
      <t>キボウ</t>
    </rPh>
    <rPh sb="247" eb="248">
      <t>ゼン</t>
    </rPh>
    <rPh sb="248" eb="250">
      <t>ガクセイ</t>
    </rPh>
    <rPh sb="251" eb="252">
      <t>タイ</t>
    </rPh>
    <rPh sb="262" eb="264">
      <t>ガクシュウ</t>
    </rPh>
    <rPh sb="270" eb="272">
      <t>リシュウ</t>
    </rPh>
    <rPh sb="275" eb="277">
      <t>タイセイ</t>
    </rPh>
    <rPh sb="278" eb="279">
      <t>トトノ</t>
    </rPh>
    <phoneticPr fontId="1"/>
  </si>
  <si>
    <t>令和４年度～5年度にかけて、データサイエンス学修プログラム2科目4単位を必修化するが、必修化以前に入学した学生に対してもデータサイエンスⅡに相当する選択科目「現代科学理解特殊講義（データサイエンスAI）」を開講してプログラム履修の機会を提供する。</t>
    <rPh sb="0" eb="2">
      <t>レイワ</t>
    </rPh>
    <rPh sb="3" eb="5">
      <t>ネンド</t>
    </rPh>
    <rPh sb="7" eb="9">
      <t>ネンド</t>
    </rPh>
    <rPh sb="22" eb="24">
      <t>ガクシュウ</t>
    </rPh>
    <rPh sb="30" eb="32">
      <t>カモク</t>
    </rPh>
    <rPh sb="33" eb="35">
      <t>タンイ</t>
    </rPh>
    <rPh sb="36" eb="39">
      <t>ヒッシュウカ</t>
    </rPh>
    <rPh sb="43" eb="46">
      <t>ヒッシュウカ</t>
    </rPh>
    <rPh sb="46" eb="48">
      <t>イゼン</t>
    </rPh>
    <rPh sb="49" eb="51">
      <t>ニュウガク</t>
    </rPh>
    <rPh sb="53" eb="55">
      <t>ガクセイ</t>
    </rPh>
    <rPh sb="56" eb="57">
      <t>タイ</t>
    </rPh>
    <rPh sb="70" eb="72">
      <t>ソウトウ</t>
    </rPh>
    <rPh sb="74" eb="78">
      <t>センタクカモク</t>
    </rPh>
    <rPh sb="79" eb="85">
      <t>ゲンダイカガクリカイ</t>
    </rPh>
    <rPh sb="85" eb="87">
      <t>トクシュ</t>
    </rPh>
    <rPh sb="87" eb="89">
      <t>コウギ</t>
    </rPh>
    <rPh sb="103" eb="105">
      <t>カイコウ</t>
    </rPh>
    <rPh sb="112" eb="114">
      <t>リシュウ</t>
    </rPh>
    <rPh sb="115" eb="117">
      <t>キカイ</t>
    </rPh>
    <rPh sb="118" eb="120">
      <t>テイキョウ</t>
    </rPh>
    <phoneticPr fontId="1"/>
  </si>
  <si>
    <t>データサイエンス教育センター内に質問受付メールアドレスを設けた。また、CeMDSサポートデスクにおいては、大学院生スタッフが、対面、ビデオ通話、電子メールでICTや学習に関するサポートを受け付けてきたが、令和４年度より、データサイエンスサポートとして、必修授業であるデータサイエンス領域のサポートを受けられることを明示して時間外サポートを行っている。このように、授業担当教員やセンター教員以外にも指導・質問ができる仕組みを用意した。大学院生スタッフに対しては、教員・技術員・関係職員が研修やバックアップを行う体制となっている。</t>
    <rPh sb="8" eb="10">
      <t>キョウイク</t>
    </rPh>
    <rPh sb="14" eb="15">
      <t>ナイ</t>
    </rPh>
    <rPh sb="16" eb="20">
      <t>シツモンウケツケ</t>
    </rPh>
    <rPh sb="28" eb="29">
      <t>モウ</t>
    </rPh>
    <rPh sb="181" eb="187">
      <t>ジュギョウタントウキョウイン</t>
    </rPh>
    <rPh sb="192" eb="194">
      <t>キョウイン</t>
    </rPh>
    <rPh sb="194" eb="196">
      <t>イガイ</t>
    </rPh>
    <rPh sb="198" eb="200">
      <t>シドウ</t>
    </rPh>
    <rPh sb="201" eb="203">
      <t>シツモン</t>
    </rPh>
    <rPh sb="207" eb="209">
      <t>シク</t>
    </rPh>
    <rPh sb="211" eb="213">
      <t>ヨウイ</t>
    </rPh>
    <phoneticPr fontId="1"/>
  </si>
  <si>
    <t>＜履修状況について＞
2021年度以前に入学した学生については、科目「現代科学理解特殊講義」（2単位）のなかで、リテラシーレベルの内容を学ぶことができる。さらに令和４年度より、全学共通教育の中に新領域「データサイエンス」を設置し、2科目4単位について令和５年度までに全学必修体制を取ることで、新入学生の履修率１００%が達成できる。
＜修得状況について＞
高等教育デザイン・推進機構の中に設置された高等教育開発デザイン・IRセンターで毎年実施される「教育に対する学生の満足度調査（三重大学に対する意識アンケート）にて、講義の満足度調査を行っている。また、各授業ごとに「授業アンケート」を実施しており、これらを分析することで学生の修得状況が把握できる。</t>
    <rPh sb="1" eb="5">
      <t>リシュウジョウキョウ</t>
    </rPh>
    <rPh sb="25" eb="27">
      <t>ハアク</t>
    </rPh>
    <rPh sb="32" eb="33">
      <t>カクジュギョウ</t>
    </rPh>
    <rPh sb="41" eb="43">
      <t>マイトシ</t>
    </rPh>
    <rPh sb="43" eb="46">
      <t>ゼンガクテキ</t>
    </rPh>
    <rPh sb="48" eb="49">
      <t>ジッシ</t>
    </rPh>
    <rPh sb="59" eb="61">
      <t>リヨウ</t>
    </rPh>
    <rPh sb="84" eb="87">
      <t>キコウチョウ</t>
    </rPh>
    <rPh sb="103" eb="104">
      <t>ナカ</t>
    </rPh>
    <rPh sb="105" eb="107">
      <t>セッチ</t>
    </rPh>
    <rPh sb="116" eb="118">
      <t>カモク</t>
    </rPh>
    <rPh sb="119" eb="121">
      <t>タンイ</t>
    </rPh>
    <rPh sb="140" eb="141">
      <t>チョウ</t>
    </rPh>
    <rPh sb="146" eb="150">
      <t>シンニュウガクセイ</t>
    </rPh>
    <rPh sb="151" eb="154">
      <t>リシュウリツ</t>
    </rPh>
    <rPh sb="159" eb="161">
      <t>タッセイ</t>
    </rPh>
    <rPh sb="277" eb="280">
      <t>カクジュギョウ</t>
    </rPh>
    <rPh sb="284" eb="286">
      <t>ジュギョウ</t>
    </rPh>
    <rPh sb="293" eb="295">
      <t>ジッシ</t>
    </rPh>
    <rPh sb="304" eb="306">
      <t>ブンセキ</t>
    </rPh>
    <rPh sb="311" eb="313">
      <t>ガクセイ</t>
    </rPh>
    <rPh sb="316" eb="318">
      <t>ジョウキョウ</t>
    </rPh>
    <rPh sb="319" eb="321">
      <t>ハアク</t>
    </rPh>
    <phoneticPr fontId="1"/>
  </si>
  <si>
    <r>
      <t>高等教育開発デザイン・IRセンターで毎年実施される「教育に対する学生の満足度調査（三重大学に対する意識アンケート）の中で、本学が掲げる「４つの力」達成状況や授業内容の理解度などを問う項目がある。</t>
    </r>
    <r>
      <rPr>
        <sz val="12"/>
        <rFont val="ＭＳ Ｐゴシック"/>
        <family val="3"/>
        <charset val="128"/>
      </rPr>
      <t>そのため、データサイエンス教育センターは学習成果を評価するために教育に対する学生の満足度調査の結果をデータサイエンス教育センターで分析する仕組みをすでに設けており、さらにその結果を情報教育専門委員会を通じて授業担当者に伝え、授業を改善・進化できる体制が整っている。</t>
    </r>
    <rPh sb="58" eb="59">
      <t>ナカ</t>
    </rPh>
    <rPh sb="61" eb="63">
      <t>ホンガク</t>
    </rPh>
    <rPh sb="64" eb="65">
      <t>カカ</t>
    </rPh>
    <rPh sb="71" eb="72">
      <t>チカラ</t>
    </rPh>
    <rPh sb="78" eb="82">
      <t>ジュギョウナイヨウ</t>
    </rPh>
    <rPh sb="83" eb="86">
      <t>リカイド</t>
    </rPh>
    <rPh sb="89" eb="90">
      <t>ト</t>
    </rPh>
    <rPh sb="91" eb="93">
      <t>コウモク</t>
    </rPh>
    <rPh sb="102" eb="104">
      <t xml:space="preserve">ガクシュウ </t>
    </rPh>
    <rPh sb="104" eb="106">
      <t xml:space="preserve">セイカ </t>
    </rPh>
    <rPh sb="107" eb="110">
      <t>マンゾクド</t>
    </rPh>
    <rPh sb="111" eb="115">
      <t>イシキチョウサ</t>
    </rPh>
    <rPh sb="117" eb="119">
      <t>ケッカ</t>
    </rPh>
    <rPh sb="122" eb="124">
      <t xml:space="preserve">ヒョウカ </t>
    </rPh>
    <rPh sb="135" eb="137">
      <t>キョウイク</t>
    </rPh>
    <rPh sb="142" eb="144">
      <t>ブンセキ</t>
    </rPh>
    <rPh sb="159" eb="161">
      <t xml:space="preserve">ジッシ </t>
    </rPh>
    <rPh sb="184" eb="186">
      <t>ケッカ</t>
    </rPh>
    <rPh sb="209" eb="211">
      <t>ジュギョウ</t>
    </rPh>
    <rPh sb="215" eb="217">
      <t>シンカ</t>
    </rPh>
    <phoneticPr fontId="1"/>
  </si>
  <si>
    <r>
      <t>学生アンケート等を通じた学生の内容の理解度は、個々の授業アンケートの回答を分析して点検・評価する。
データサイエンス教育センターに設置している情報教育専門委員会は、各学部の情報教育</t>
    </r>
    <r>
      <rPr>
        <sz val="12"/>
        <rFont val="ＭＳ Ｐゴシック"/>
        <family val="3"/>
        <charset val="128"/>
      </rPr>
      <t>を</t>
    </r>
    <r>
      <rPr>
        <sz val="12"/>
        <rFont val="ＭＳ Ｐゴシック"/>
        <family val="3"/>
        <charset val="128"/>
        <scheme val="minor"/>
      </rPr>
      <t>取りまとめている教員の他に、教育担当副学長（高等教育開発デザイン・IRセンター長）、情報担当参与・特命副学長（情報教育・研究機構副機構長）、教育担当学長補佐（全学共通教育センター副センター長）など、本学の執行部メンバーが情報教育に関わる委員として参加している。つまり、分析の結果は取りまとめ教員を通じて各授業担当者に伝達されるとともに、大学執行部にも共有される。データサイエンス教育センター・情報教育専門委員会で</t>
    </r>
    <r>
      <rPr>
        <sz val="12"/>
        <rFont val="ＭＳ Ｐゴシック"/>
        <family val="3"/>
        <charset val="128"/>
      </rPr>
      <t>は、このような形で</t>
    </r>
    <r>
      <rPr>
        <sz val="12"/>
        <rFont val="ＭＳ Ｐゴシック"/>
        <family val="3"/>
        <charset val="128"/>
        <scheme val="minor"/>
      </rPr>
      <t>個々の授業アンケート結果を集約して学生の理解度向上や授業改善・プログラム</t>
    </r>
    <r>
      <rPr>
        <sz val="12"/>
        <rFont val="ＭＳ Ｐゴシック"/>
        <family val="3"/>
        <charset val="128"/>
      </rPr>
      <t>の</t>
    </r>
    <r>
      <rPr>
        <sz val="12"/>
        <rFont val="ＭＳ Ｐゴシック"/>
        <family val="3"/>
        <charset val="128"/>
        <scheme val="minor"/>
      </rPr>
      <t>改善に役立てる。</t>
    </r>
    <rPh sb="23" eb="25">
      <t>ココ</t>
    </rPh>
    <rPh sb="26" eb="28">
      <t>ジュギョウ</t>
    </rPh>
    <rPh sb="34" eb="36">
      <t>カイトウ</t>
    </rPh>
    <rPh sb="37" eb="39">
      <t>ブンセキ</t>
    </rPh>
    <rPh sb="41" eb="43">
      <t>テンケン</t>
    </rPh>
    <rPh sb="44" eb="46">
      <t>ヒョウカ</t>
    </rPh>
    <rPh sb="59" eb="61">
      <t>キョウイク</t>
    </rPh>
    <rPh sb="66" eb="68">
      <t>セッチ</t>
    </rPh>
    <rPh sb="72" eb="78">
      <t>ジョウホウキョウイクセンモン</t>
    </rPh>
    <rPh sb="78" eb="81">
      <t>イインカイ</t>
    </rPh>
    <rPh sb="83" eb="86">
      <t>カクガクブ</t>
    </rPh>
    <rPh sb="87" eb="91">
      <t>ジョウホウキョウイク</t>
    </rPh>
    <rPh sb="92" eb="93">
      <t>ト</t>
    </rPh>
    <rPh sb="100" eb="102">
      <t>キョウイン</t>
    </rPh>
    <rPh sb="103" eb="104">
      <t>ホカ</t>
    </rPh>
    <rPh sb="131" eb="132">
      <t>チョウ</t>
    </rPh>
    <rPh sb="134" eb="138">
      <t>ジョウホウタントウ</t>
    </rPh>
    <rPh sb="138" eb="140">
      <t>サンヨ</t>
    </rPh>
    <rPh sb="141" eb="143">
      <t>トクメイ</t>
    </rPh>
    <rPh sb="143" eb="146">
      <t>フクガクチョウ</t>
    </rPh>
    <rPh sb="147" eb="151">
      <t>ジョウホウキョウイク</t>
    </rPh>
    <rPh sb="152" eb="156">
      <t>ケンキュウキコウ</t>
    </rPh>
    <rPh sb="156" eb="160">
      <t>フクキコウチョウ</t>
    </rPh>
    <rPh sb="171" eb="173">
      <t>ゼンガク</t>
    </rPh>
    <rPh sb="173" eb="175">
      <t>キョウツウ</t>
    </rPh>
    <rPh sb="175" eb="177">
      <t>キョウイク</t>
    </rPh>
    <rPh sb="181" eb="182">
      <t>フク</t>
    </rPh>
    <rPh sb="186" eb="187">
      <t>チョウ</t>
    </rPh>
    <rPh sb="191" eb="193">
      <t>ホンガク</t>
    </rPh>
    <rPh sb="194" eb="197">
      <t>シッコウブ</t>
    </rPh>
    <rPh sb="202" eb="204">
      <t>ジョウホウ</t>
    </rPh>
    <rPh sb="204" eb="206">
      <t>キョウイク</t>
    </rPh>
    <rPh sb="207" eb="208">
      <t>カカ</t>
    </rPh>
    <rPh sb="210" eb="212">
      <t>イイン</t>
    </rPh>
    <rPh sb="215" eb="217">
      <t>サンカ</t>
    </rPh>
    <rPh sb="226" eb="228">
      <t>ブンセキ</t>
    </rPh>
    <rPh sb="229" eb="231">
      <t>ケッカ</t>
    </rPh>
    <rPh sb="232" eb="233">
      <t>ト</t>
    </rPh>
    <rPh sb="237" eb="239">
      <t>キョウイン</t>
    </rPh>
    <rPh sb="240" eb="241">
      <t>ツウ</t>
    </rPh>
    <rPh sb="243" eb="249">
      <t>カクジュギョウタントウシャ</t>
    </rPh>
    <rPh sb="250" eb="252">
      <t>デンタツ</t>
    </rPh>
    <rPh sb="260" eb="264">
      <t>ダイガクシッコウ</t>
    </rPh>
    <rPh sb="264" eb="265">
      <t>ブ</t>
    </rPh>
    <rPh sb="267" eb="269">
      <t>キョウユウ</t>
    </rPh>
    <rPh sb="317" eb="319">
      <t>ケッカ</t>
    </rPh>
    <rPh sb="320" eb="322">
      <t>シュウヤク</t>
    </rPh>
    <rPh sb="324" eb="326">
      <t>ガクセイ</t>
    </rPh>
    <rPh sb="327" eb="330">
      <t>リカイド</t>
    </rPh>
    <rPh sb="330" eb="332">
      <t>コウジョウ</t>
    </rPh>
    <rPh sb="333" eb="337">
      <t>ジュギョウカイゼン</t>
    </rPh>
    <rPh sb="344" eb="346">
      <t>カイゼン</t>
    </rPh>
    <rPh sb="347" eb="349">
      <t>ヤクダ</t>
    </rPh>
    <phoneticPr fontId="1"/>
  </si>
  <si>
    <r>
      <t xml:space="preserve">学生アンケート等の集約結果をデータサイエンス教育センターのホームページなどを通じて紹介する。
</t>
    </r>
    <r>
      <rPr>
        <sz val="12"/>
        <rFont val="ＭＳ Ｐゴシック"/>
        <family val="3"/>
        <charset val="128"/>
      </rPr>
      <t>さらに学生アンケートでは、学生の授業内容に対する満足度、及び理解度合いを把握する取り組みとして継続的に実施する。ただし、本学では学部間で学習進捗や理解度合いの違いが想定されるため、課題の量や質について今後のアンケート結果を踏まえて改善をしていくことで、次の年度に入学した学生が習得しやすい内容へとプログラムを進化させる。</t>
    </r>
    <rPh sb="9" eb="11">
      <t>シュウヤク</t>
    </rPh>
    <rPh sb="11" eb="13">
      <t>ケッカ</t>
    </rPh>
    <rPh sb="22" eb="24">
      <t>キョウイク</t>
    </rPh>
    <rPh sb="38" eb="39">
      <t>ツウ</t>
    </rPh>
    <rPh sb="55" eb="57">
      <t>ショウカイ</t>
    </rPh>
    <rPh sb="64" eb="66">
      <t>ケッカ</t>
    </rPh>
    <rPh sb="74" eb="76">
      <t>シュウヤク</t>
    </rPh>
    <rPh sb="78" eb="80">
      <t>ジョウキョウ</t>
    </rPh>
    <rPh sb="81" eb="83">
      <t>コウカイ</t>
    </rPh>
    <rPh sb="94" eb="96">
      <t xml:space="preserve">ケイゾク </t>
    </rPh>
    <rPh sb="96" eb="97">
      <t xml:space="preserve">テキニ </t>
    </rPh>
    <rPh sb="104" eb="106">
      <t>サクセイ</t>
    </rPh>
    <rPh sb="108" eb="111">
      <t>グタイテキ</t>
    </rPh>
    <rPh sb="112" eb="114">
      <t>ガクシュウ</t>
    </rPh>
    <rPh sb="118" eb="119">
      <t>ヅク</t>
    </rPh>
    <rPh sb="121" eb="122">
      <t>オコナキョウイクカカコウモクソンザイカコチョウサケッカフクガクシュウジッシゼンゴジョウキョウブンセキゲンジョウブンセキカノウオモ</t>
    </rPh>
    <rPh sb="162" eb="164">
      <t>_x0000_	_x0002__x0005__x000B_</t>
    </rPh>
    <rPh sb="173" eb="174">
      <t>ツギ</t>
    </rPh>
    <rPh sb="175" eb="177">
      <t>ネンド</t>
    </rPh>
    <rPh sb="178" eb="180">
      <t>ニュウガク</t>
    </rPh>
    <rPh sb="182" eb="184">
      <t>ガクセイ</t>
    </rPh>
    <rPh sb="185" eb="187">
      <t>シュウトク</t>
    </rPh>
    <rPh sb="191" eb="193">
      <t>ナイヨウ</t>
    </rPh>
    <rPh sb="201" eb="203">
      <t>シンカ</t>
    </rPh>
    <phoneticPr fontId="1"/>
  </si>
  <si>
    <t>教養教育の科目群として新たに「データサイエンス」領域を新設し、令和４年度から改組の学年進行中の工学部を除く人文、教育、医、生物資源学部の４学部で「データサイエンスⅠ」と「データサイエンスⅡ」の２科目４単位必修化を行った。工学部においては、AC期間が終了する令和５年度より「データサイエンスⅠ」と「データサイエンスⅡ」の必修化を行う。つまり、令和５年度までに全学で２科目４単位必修化を実現し、新入生の履修率を100％とする。</t>
    <rPh sb="0" eb="4">
      <t>キョウヨウキョウイク</t>
    </rPh>
    <rPh sb="5" eb="8">
      <t>カモクグン</t>
    </rPh>
    <rPh sb="11" eb="12">
      <t>アラ</t>
    </rPh>
    <rPh sb="24" eb="26">
      <t>リョウイキ</t>
    </rPh>
    <rPh sb="27" eb="29">
      <t>シンセツ</t>
    </rPh>
    <rPh sb="31" eb="33">
      <t>レイワ</t>
    </rPh>
    <rPh sb="34" eb="36">
      <t>ネンド</t>
    </rPh>
    <rPh sb="38" eb="40">
      <t>カイソ</t>
    </rPh>
    <rPh sb="47" eb="50">
      <t>コウガクブ</t>
    </rPh>
    <rPh sb="51" eb="52">
      <t>ノゾ</t>
    </rPh>
    <rPh sb="53" eb="55">
      <t>ジンブン</t>
    </rPh>
    <rPh sb="56" eb="58">
      <t>キョウイク</t>
    </rPh>
    <rPh sb="59" eb="60">
      <t>イ</t>
    </rPh>
    <rPh sb="61" eb="67">
      <t>セイブツシゲンガクブ</t>
    </rPh>
    <rPh sb="69" eb="71">
      <t>ガクブ</t>
    </rPh>
    <rPh sb="97" eb="99">
      <t>カモク</t>
    </rPh>
    <rPh sb="100" eb="102">
      <t>タンイ</t>
    </rPh>
    <rPh sb="102" eb="105">
      <t>ヒッシュウカ</t>
    </rPh>
    <rPh sb="106" eb="107">
      <t>オコナ</t>
    </rPh>
    <rPh sb="110" eb="113">
      <t>コウガクブ</t>
    </rPh>
    <rPh sb="124" eb="126">
      <t>シュウリョウ</t>
    </rPh>
    <rPh sb="128" eb="130">
      <t>レイワ</t>
    </rPh>
    <rPh sb="131" eb="133">
      <t>ネンド</t>
    </rPh>
    <rPh sb="159" eb="162">
      <t>ヒッシュウカ</t>
    </rPh>
    <rPh sb="163" eb="164">
      <t>オコナ</t>
    </rPh>
    <rPh sb="170" eb="172">
      <t>レイワ</t>
    </rPh>
    <rPh sb="173" eb="175">
      <t>ネンド</t>
    </rPh>
    <rPh sb="178" eb="180">
      <t>ゼンガク</t>
    </rPh>
    <rPh sb="191" eb="193">
      <t>ジツゲン</t>
    </rPh>
    <phoneticPr fontId="1"/>
  </si>
  <si>
    <t>教育プログラム修了者の進路、活躍状況、企業等の評価では、既に従来から高等教育開発デザイン・IRセンターで３年に1回の割合で卒業生と卒業生が就職した企業など（事業所）に対して追跡調査「卒業生・修了生・事業所へのアンケート調査」を行っているものを用いるため、プログラム修了者の進路、活躍状況と就職先企業などの本学卒業生に対する評価が可能である。上記の調査では、データサイエンス教育に関わる「情報機器の活用」「分析する力」「判断する力」「企画する力」「構想する力」の項目を収集している。さらに事業所に対しては「情報機器を活用する力」「情報を収集して適切に処理する力」なども収集しており、過去の調査結果も含め、データサイエンス学修プログラム実施前後の状況分析や現状分析により、本学の情報教育への評価がわかると考えられる。</t>
    <rPh sb="30" eb="33">
      <t>シュウリョウシャ</t>
    </rPh>
    <rPh sb="34" eb="36">
      <t>シンロ</t>
    </rPh>
    <rPh sb="37" eb="41">
      <t>カツヤクジョウキョウ</t>
    </rPh>
    <rPh sb="42" eb="45">
      <t>シュウショクサキ</t>
    </rPh>
    <rPh sb="45" eb="47">
      <t>キギョウ</t>
    </rPh>
    <rPh sb="50" eb="52">
      <t>ホンガク</t>
    </rPh>
    <rPh sb="52" eb="55">
      <t>ソツギョウセイ</t>
    </rPh>
    <rPh sb="56" eb="57">
      <t>タイ</t>
    </rPh>
    <rPh sb="59" eb="61">
      <t>ヒョウカ</t>
    </rPh>
    <rPh sb="62" eb="64">
      <t>カノウ</t>
    </rPh>
    <rPh sb="91" eb="92">
      <t>ネン</t>
    </rPh>
    <rPh sb="94" eb="95">
      <t>カイ</t>
    </rPh>
    <rPh sb="96" eb="98">
      <t>ワリアイ</t>
    </rPh>
    <rPh sb="103" eb="106">
      <t>ソツギョウセイ</t>
    </rPh>
    <rPh sb="107" eb="109">
      <t>シュウショク</t>
    </rPh>
    <rPh sb="111" eb="113">
      <t>キギョウ</t>
    </rPh>
    <rPh sb="116" eb="119">
      <t>ジギョウショ</t>
    </rPh>
    <rPh sb="121" eb="122">
      <t>タイ</t>
    </rPh>
    <rPh sb="124" eb="128">
      <t>ツイセキチョウサ</t>
    </rPh>
    <rPh sb="151" eb="152">
      <t>オコナ</t>
    </rPh>
    <rPh sb="159" eb="163">
      <t>チョウサコウモク</t>
    </rPh>
    <rPh sb="164" eb="165">
      <t>ナカ</t>
    </rPh>
    <rPh sb="166" eb="169">
      <t>ソツギョウセイ</t>
    </rPh>
    <rPh sb="170" eb="171">
      <t>タイ</t>
    </rPh>
    <rPh sb="175" eb="179">
      <t>ジョウホウキキ</t>
    </rPh>
    <rPh sb="180" eb="182">
      <t>カツヨウ</t>
    </rPh>
    <rPh sb="184" eb="186">
      <t>ブンセキ</t>
    </rPh>
    <rPh sb="188" eb="189">
      <t>チカラ</t>
    </rPh>
    <rPh sb="191" eb="193">
      <t>ハンダン</t>
    </rPh>
    <rPh sb="195" eb="196">
      <t>チカラ</t>
    </rPh>
    <rPh sb="198" eb="200">
      <t>キカク</t>
    </rPh>
    <rPh sb="202" eb="203">
      <t>チカラ</t>
    </rPh>
    <rPh sb="205" eb="207">
      <t>コウソウ</t>
    </rPh>
    <rPh sb="209" eb="210">
      <t>チカラ</t>
    </rPh>
    <rPh sb="215" eb="218">
      <t>ジギョウショ</t>
    </rPh>
    <rPh sb="219" eb="220">
      <t>タイ</t>
    </rPh>
    <rPh sb="262" eb="264">
      <t>キョウイク</t>
    </rPh>
    <rPh sb="265" eb="266">
      <t>カカ</t>
    </rPh>
    <rPh sb="268" eb="270">
      <t>コウモク</t>
    </rPh>
    <rPh sb="271" eb="273">
      <t>ソンザイ</t>
    </rPh>
    <rPh sb="276" eb="278">
      <t>カコ</t>
    </rPh>
    <rPh sb="279" eb="283">
      <t>チョウサケッカ</t>
    </rPh>
    <rPh sb="284" eb="285">
      <t>フク</t>
    </rPh>
    <rPh sb="295" eb="297">
      <t>ガクシュウ</t>
    </rPh>
    <rPh sb="302" eb="304">
      <t>ジッシ</t>
    </rPh>
    <rPh sb="304" eb="306">
      <t>ゼンゴ</t>
    </rPh>
    <rPh sb="307" eb="311">
      <t>ジョウキョウブンセキ</t>
    </rPh>
    <rPh sb="312" eb="316">
      <t>ゲンジョウブンセキ</t>
    </rPh>
    <rPh sb="317" eb="319">
      <t>カノウ</t>
    </rPh>
    <rPh sb="323" eb="324">
      <t>オモ</t>
    </rPh>
    <rPh sb="334" eb="336">
      <t>ホンガク</t>
    </rPh>
    <rPh sb="337" eb="341">
      <t>ジョウホウキョウイク</t>
    </rPh>
    <rPh sb="343" eb="345">
      <t>ヒョウカ</t>
    </rPh>
    <rPh sb="350" eb="351">
      <t>カンガ</t>
    </rPh>
    <phoneticPr fontId="1"/>
  </si>
  <si>
    <t>本教育プログラムを修了した卒業生と卒業生の就職先企業に対しての同時調査が可能な体制が整っている。そのため、産業界からの視点を含めた教育プログラム内容・手法等への意見を収集できる。そして、本学では収集したデータに基づいた本教育プログラムの改善に活用を行う。
さらに本学では３年に１度行う「卒業生・修了生・事業所へのアンケート調査」を利用することで、本教育プログラムを修了した卒業生における学生自身の自己評価と企業の採用状況や企業評価を同時に把握することができる。</t>
    <rPh sb="17" eb="20">
      <t>ソツギョウセイ</t>
    </rPh>
    <rPh sb="31" eb="35">
      <t>ドウジチョウサ</t>
    </rPh>
    <rPh sb="36" eb="38">
      <t>カノウ</t>
    </rPh>
    <rPh sb="39" eb="41">
      <t>タイセイ</t>
    </rPh>
    <rPh sb="42" eb="43">
      <t>トトノ</t>
    </rPh>
    <rPh sb="83" eb="85">
      <t>シュウシュウ</t>
    </rPh>
    <rPh sb="93" eb="95">
      <t xml:space="preserve">ホンガク </t>
    </rPh>
    <rPh sb="97" eb="99">
      <t xml:space="preserve">シュウシュウ </t>
    </rPh>
    <rPh sb="105" eb="106">
      <t xml:space="preserve">モトヅイタ </t>
    </rPh>
    <rPh sb="124" eb="125">
      <t xml:space="preserve">オコナウ </t>
    </rPh>
    <rPh sb="175" eb="177">
      <t>ドウジ</t>
    </rPh>
    <phoneticPr fontId="1"/>
  </si>
  <si>
    <t>本学では平成31年度（令和元年度）から数理・データサイエンス館（通称CeMDS＝セムズ館)を開設し、体験型学習と学生同士で問題解決を図るための仕組みとしてCeMDSサポートデスクを運営している。CeMDSサポートデスクでは、３Dプリンタなどの機器や実習・研修スペース、大学院学生スタッフが在学生の数理・データサイエンスに関する様々な問題を解決するための仕組みを提供している。さらに令和３年度からはデータサイエンス教育センターを設立し、データサイエンス学修プログラムの周知やデータサイエンスセミナーなど、在学生と教職員への啓蒙活動を行っている。</t>
    <rPh sb="0" eb="2">
      <t>ホンガク</t>
    </rPh>
    <rPh sb="4" eb="6">
      <t>ヘイセイ</t>
    </rPh>
    <rPh sb="8" eb="10">
      <t>ネンド</t>
    </rPh>
    <rPh sb="11" eb="13">
      <t>レイワ</t>
    </rPh>
    <rPh sb="13" eb="16">
      <t>ガンネンド</t>
    </rPh>
    <rPh sb="19" eb="21">
      <t>スウリ</t>
    </rPh>
    <rPh sb="30" eb="31">
      <t>カン</t>
    </rPh>
    <rPh sb="32" eb="34">
      <t>ツウショウ</t>
    </rPh>
    <rPh sb="43" eb="44">
      <t>カン</t>
    </rPh>
    <rPh sb="46" eb="48">
      <t>カイセツ</t>
    </rPh>
    <rPh sb="59" eb="61">
      <t>キキ</t>
    </rPh>
    <rPh sb="62" eb="64">
      <t>ジッシュウ</t>
    </rPh>
    <rPh sb="65" eb="67">
      <t>ケンシュウ</t>
    </rPh>
    <rPh sb="71" eb="73">
      <t>シク</t>
    </rPh>
    <rPh sb="78" eb="81">
      <t>ザイガクセイ</t>
    </rPh>
    <rPh sb="82" eb="84">
      <t>モンダイ</t>
    </rPh>
    <rPh sb="85" eb="87">
      <t xml:space="preserve">ウンエイ </t>
    </rPh>
    <rPh sb="92" eb="94">
      <t>カイケツ</t>
    </rPh>
    <rPh sb="114" eb="116">
      <t>スウリ</t>
    </rPh>
    <rPh sb="129" eb="131">
      <t>サマザマ</t>
    </rPh>
    <rPh sb="132" eb="134">
      <t>キカイ</t>
    </rPh>
    <rPh sb="135" eb="137">
      <t>テイキョウ</t>
    </rPh>
    <rPh sb="137" eb="139">
      <t>ガクセイ</t>
    </rPh>
    <rPh sb="150" eb="152">
      <t>セツリツ</t>
    </rPh>
    <rPh sb="162" eb="164">
      <t>ガクシュウ</t>
    </rPh>
    <rPh sb="170" eb="172">
      <t>シュウチ</t>
    </rPh>
    <rPh sb="176" eb="178">
      <t xml:space="preserve">シクミ </t>
    </rPh>
    <rPh sb="183" eb="186">
      <t>ザイガクセイ</t>
    </rPh>
    <rPh sb="187" eb="190">
      <t>キョウショクイン</t>
    </rPh>
    <rPh sb="192" eb="194">
      <t>ケイモウ</t>
    </rPh>
    <rPh sb="194" eb="196">
      <t>カツドウ</t>
    </rPh>
    <rPh sb="197" eb="198">
      <t>オコナキョウイクカカコウモクソンザイカコチョウサケッカフクガクシュウジッシゼンゴジョウキョウブンセキゲンジョウブンセキカノウオモ</t>
    </rPh>
    <phoneticPr fontId="1"/>
  </si>
  <si>
    <r>
      <t>内容・水準を維持・向上しつつ、より「分かりやすい」授業とすることができるよう、データサイエンス教育センターにてアンケート分析</t>
    </r>
    <r>
      <rPr>
        <sz val="12"/>
        <rFont val="ＭＳ Ｐゴシック"/>
        <family val="3"/>
        <charset val="128"/>
      </rPr>
      <t>した</t>
    </r>
    <r>
      <rPr>
        <sz val="12"/>
        <rFont val="ＭＳ Ｐゴシック"/>
        <family val="3"/>
        <charset val="128"/>
        <scheme val="minor"/>
      </rPr>
      <t xml:space="preserve">データに基づいて改善をする。
</t>
    </r>
    <r>
      <rPr>
        <sz val="12"/>
        <rFont val="ＭＳ Ｐゴシック"/>
        <family val="3"/>
        <charset val="128"/>
      </rPr>
      <t>さらに、</t>
    </r>
    <r>
      <rPr>
        <sz val="12"/>
        <rFont val="ＭＳ Ｐゴシック"/>
        <family val="3"/>
        <charset val="128"/>
        <scheme val="minor"/>
      </rPr>
      <t>データサイエンス教育センター</t>
    </r>
    <r>
      <rPr>
        <sz val="12"/>
        <rFont val="ＭＳ Ｐゴシック"/>
        <family val="3"/>
        <charset val="128"/>
      </rPr>
      <t>では</t>
    </r>
    <r>
      <rPr>
        <sz val="12"/>
        <rFont val="ＭＳ Ｐゴシック"/>
        <family val="3"/>
        <charset val="128"/>
        <scheme val="minor"/>
      </rPr>
      <t>、プログラム履修学生や卒業生とその就職先である事業所に対するアンケート結果を分析する。その結果は情報教育専門委員会を通じて各学部学科の授業担当者に伝達され、よりわかりやすい授業となるよう改善・進化に供される。</t>
    </r>
    <rPh sb="60" eb="62">
      <t>ブンセキ</t>
    </rPh>
    <rPh sb="68" eb="69">
      <t>モト</t>
    </rPh>
    <rPh sb="72" eb="74">
      <t>カイゼン</t>
    </rPh>
    <rPh sb="92" eb="94">
      <t>キョウイク</t>
    </rPh>
    <rPh sb="106" eb="110">
      <t>リシュウガクセイ</t>
    </rPh>
    <rPh sb="111" eb="114">
      <t>ソツギョウセイ</t>
    </rPh>
    <rPh sb="117" eb="120">
      <t>シュウショクサキ</t>
    </rPh>
    <rPh sb="123" eb="126">
      <t>ジギョウショ</t>
    </rPh>
    <rPh sb="127" eb="128">
      <t>タイ</t>
    </rPh>
    <rPh sb="135" eb="137">
      <t>ケッカ</t>
    </rPh>
    <rPh sb="138" eb="140">
      <t>ブンセキ</t>
    </rPh>
    <rPh sb="145" eb="147">
      <t>ケッカ</t>
    </rPh>
    <rPh sb="148" eb="157">
      <t>ジョウホウキョウイクセンモンイインカイ</t>
    </rPh>
    <rPh sb="158" eb="159">
      <t>ツウ</t>
    </rPh>
    <rPh sb="161" eb="164">
      <t>カクガクブ</t>
    </rPh>
    <rPh sb="164" eb="166">
      <t>ガッカ</t>
    </rPh>
    <rPh sb="167" eb="169">
      <t>ジュギョウ</t>
    </rPh>
    <rPh sb="169" eb="172">
      <t>タントウシャ</t>
    </rPh>
    <rPh sb="173" eb="175">
      <t>デンタツ</t>
    </rPh>
    <rPh sb="186" eb="188">
      <t>ジュギョウ</t>
    </rPh>
    <rPh sb="193" eb="195">
      <t>カイゼン</t>
    </rPh>
    <rPh sb="196" eb="198">
      <t>シンカ</t>
    </rPh>
    <rPh sb="199" eb="200">
      <t>キョウ</t>
    </rPh>
    <phoneticPr fontId="1"/>
  </si>
  <si>
    <r>
      <t xml:space="preserve">・ELSI（Ethical, Legal and Social Issues）（現代科学理解特殊講義第12回) </t>
    </r>
    <r>
      <rPr>
        <sz val="10"/>
        <color theme="1"/>
        <rFont val="ＭＳ Ｐゴシック"/>
        <family val="3"/>
        <charset val="128"/>
        <scheme val="minor"/>
      </rPr>
      <t xml:space="preserve">
・個人情報保護など（DSⅠ第8回、情報科学基礎第１－２回または第3-4回、現代科学理解特殊講義第12回)
・データ倫理：ねつ造、改ざん、盗用（現代科学理解特殊講義第12回)
・データバイアス、アルゴリズムバイアス（現代科学理解特殊講義第12回）
・AIサービスの責任論（現代科学理解特殊講義第12回）</t>
    </r>
    <rPh sb="58" eb="64">
      <t>コジンジョウホウホゴ</t>
    </rPh>
    <rPh sb="70" eb="71">
      <t>ダイ</t>
    </rPh>
    <rPh sb="72" eb="73">
      <t>カイ</t>
    </rPh>
    <rPh sb="74" eb="80">
      <t>ジョウホウカガクキソ</t>
    </rPh>
    <rPh sb="80" eb="81">
      <t>ダイ</t>
    </rPh>
    <rPh sb="84" eb="85">
      <t>カイ</t>
    </rPh>
    <rPh sb="88" eb="89">
      <t>ダイ</t>
    </rPh>
    <rPh sb="92" eb="93">
      <t>カイ</t>
    </rPh>
    <rPh sb="188" eb="191">
      <t>セキニンロン</t>
    </rPh>
    <phoneticPr fontId="1"/>
  </si>
  <si>
    <t>https://www.cemds.mie-u.ac.jp/folder/check/index.html</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</si>
</sst>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
  </numFmts>
  <fonts count="3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rgb="FF3333FF"/>
      <name val="ＭＳ Ｐゴシック"/>
      <family val="2"/>
      <charset val="128"/>
      <scheme val="minor"/>
    </font>
    <font>
      <sz val="12"/>
      <name val="ＭＳ Ｐゴシック"/>
      <family val="3"/>
      <charset val="128"/>
    </font>
    <font>
      <sz val="12"/>
      <color rgb="FFC00000"/>
      <name val="ＭＳ Ｐゴシック"/>
      <family val="2"/>
      <charset val="128"/>
      <scheme val="minor"/>
    </font>
    <font>
      <sz val="12"/>
      <color rgb="FFC00000"/>
      <name val="ＭＳ Ｐゴシック"/>
      <family val="3"/>
      <charset val="128"/>
      <scheme val="minor"/>
    </font>
    <font>
      <sz val="12"/>
      <color rgb="FF0070C0"/>
      <name val="ＭＳ Ｐゴシック"/>
      <family val="3"/>
      <charset val="128"/>
      <scheme val="minor"/>
    </font>
    <font>
      <b/>
      <sz val="12"/>
      <color theme="8" tint="-0.249977111117893"/>
      <name val="ＭＳ Ｐゴシック"/>
      <family val="3"/>
      <charset val="128"/>
      <scheme val="minor"/>
    </font>
    <font>
      <sz val="10"/>
      <color theme="1"/>
      <name val="ＭＳ Ｐゴシック"/>
      <family val="2"/>
      <charset val="128"/>
      <scheme val="minor"/>
    </font>
    <font>
      <sz val="11"/>
      <color rgb="FF9C5700"/>
      <name val="ＭＳ Ｐゴシック"/>
      <family val="2"/>
      <charset val="128"/>
      <scheme val="minor"/>
    </font>
    <font>
      <b/>
      <sz val="12"/>
      <color theme="8" tint="-0.499984740745262"/>
      <name val="ＭＳ Ｐゴシック"/>
      <family val="3"/>
      <charset val="128"/>
      <scheme val="minor"/>
    </font>
    <font>
      <b/>
      <sz val="12"/>
      <color rgb="FF002060"/>
      <name val="ＭＳ Ｐゴシック"/>
      <family val="3"/>
      <charset val="128"/>
      <scheme val="minor"/>
    </font>
    <font>
      <sz val="12"/>
      <color rgb="FF002060"/>
      <name val="ＭＳ Ｐゴシック"/>
      <family val="2"/>
      <charset val="128"/>
      <scheme val="minor"/>
    </font>
    <font>
      <sz val="12"/>
      <color theme="8" tint="-0.499984740745262"/>
      <name val="ＭＳ Ｐゴシック"/>
      <family val="3"/>
      <charset val="128"/>
      <scheme val="minor"/>
    </font>
    <font>
      <strike/>
      <sz val="12"/>
      <name val="ＭＳ Ｐゴシック"/>
      <family val="3"/>
      <charset val="128"/>
      <scheme val="minor"/>
    </font>
    <font>
      <u/>
      <sz val="11"/>
      <name val="ＭＳ Ｐゴシック"/>
      <family val="3"/>
      <charset val="128"/>
      <scheme val="minor"/>
    </font>
    <font>
      <b/>
      <sz val="12"/>
      <name val="ＭＳ Ｐゴシック"/>
      <family val="3"/>
      <charset val="128"/>
      <scheme val="minor"/>
    </font>
  </fonts>
  <fills count="4">
    <fill>
      <patternFill patternType="none"/>
    </fill>
    <fill>
      <patternFill patternType="gray125"/>
    </fill>
    <fill>
      <patternFill patternType="solid">
        <fgColor rgb="FFFF0000"/>
        <bgColor indexed="64"/>
      </patternFill>
    </fill>
    <fill>
      <patternFill patternType="solid">
        <fgColor rgb="FFFFEB9C"/>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0" fontId="4" fillId="0" borderId="0" applyNumberFormat="0" applyFill="0" applyBorder="0" applyAlignment="0" applyProtection="0">
      <alignment vertical="center"/>
    </xf>
    <xf numFmtId="0" fontId="26" fillId="3" borderId="0" applyNumberFormat="0" applyBorder="0" applyAlignment="0" applyProtection="0">
      <alignment vertical="center"/>
    </xf>
  </cellStyleXfs>
  <cellXfs count="357">
    <xf numFmtId="0" fontId="0" fillId="0" borderId="0" xfId="0">
      <alignment vertical="center"/>
    </xf>
    <xf numFmtId="0" fontId="2" fillId="0" borderId="0" xfId="0" applyFont="1">
      <alignment vertical="center"/>
    </xf>
    <xf numFmtId="0" fontId="3" fillId="0" borderId="0" xfId="0" applyFont="1">
      <alignment vertical="center"/>
    </xf>
    <xf numFmtId="176" fontId="5" fillId="0" borderId="0" xfId="0" applyNumberFormat="1" applyFont="1" applyBorder="1">
      <alignment vertical="center"/>
    </xf>
    <xf numFmtId="176" fontId="5" fillId="0" borderId="3" xfId="0" applyNumberFormat="1" applyFont="1" applyBorder="1" applyAlignment="1">
      <alignment vertical="center" shrinkToFit="1"/>
    </xf>
    <xf numFmtId="0" fontId="5" fillId="0" borderId="0" xfId="0" applyFont="1" applyBorder="1" applyAlignment="1">
      <alignment horizontal="center" vertical="center" shrinkToFit="1"/>
    </xf>
    <xf numFmtId="0" fontId="6" fillId="0" borderId="0" xfId="0" applyFont="1">
      <alignment vertical="center"/>
    </xf>
    <xf numFmtId="0" fontId="5" fillId="0" borderId="0" xfId="0" applyFont="1">
      <alignment vertical="center"/>
    </xf>
    <xf numFmtId="0" fontId="5" fillId="0" borderId="0" xfId="0" applyFont="1" applyAlignment="1">
      <alignment vertical="center"/>
    </xf>
    <xf numFmtId="0" fontId="5" fillId="0" borderId="0" xfId="0" applyFont="1" applyAlignment="1">
      <alignment horizontal="left" vertical="center"/>
    </xf>
    <xf numFmtId="0" fontId="5" fillId="0" borderId="0" xfId="0" applyFont="1" applyBorder="1" applyAlignment="1">
      <alignment vertical="center"/>
    </xf>
    <xf numFmtId="0" fontId="5" fillId="0" borderId="5" xfId="0" applyFont="1" applyBorder="1">
      <alignment vertical="center"/>
    </xf>
    <xf numFmtId="176" fontId="5" fillId="0" borderId="0" xfId="0" applyNumberFormat="1" applyFont="1" applyBorder="1" applyAlignment="1">
      <alignment vertical="center" wrapText="1"/>
    </xf>
    <xf numFmtId="0" fontId="5" fillId="0" borderId="0" xfId="0" applyFont="1" applyBorder="1">
      <alignment vertical="center"/>
    </xf>
    <xf numFmtId="176" fontId="5" fillId="0" borderId="5" xfId="0" applyNumberFormat="1" applyFont="1" applyBorder="1" applyAlignment="1">
      <alignment vertical="center"/>
    </xf>
    <xf numFmtId="176" fontId="5" fillId="0" borderId="0" xfId="0" applyNumberFormat="1" applyFont="1" applyAlignment="1">
      <alignment vertical="center" wrapText="1"/>
    </xf>
    <xf numFmtId="176" fontId="5" fillId="0" borderId="0" xfId="0" applyNumberFormat="1" applyFont="1" applyAlignment="1">
      <alignment horizontal="left" vertical="center" wrapText="1"/>
    </xf>
    <xf numFmtId="0" fontId="5" fillId="0" borderId="6" xfId="0" applyFont="1" applyBorder="1" applyAlignment="1">
      <alignment vertical="center" shrinkToFit="1"/>
    </xf>
    <xf numFmtId="0" fontId="5" fillId="0" borderId="1" xfId="0" applyFont="1" applyBorder="1">
      <alignment vertical="center"/>
    </xf>
    <xf numFmtId="0" fontId="5" fillId="0" borderId="0" xfId="0" applyFont="1" applyAlignment="1">
      <alignment horizontal="center" vertical="center"/>
    </xf>
    <xf numFmtId="0" fontId="5" fillId="0" borderId="1" xfId="0" applyFont="1" applyBorder="1" applyAlignment="1">
      <alignment vertical="center" shrinkToFit="1"/>
    </xf>
    <xf numFmtId="0" fontId="7" fillId="0" borderId="0" xfId="0" applyFont="1">
      <alignment vertical="center"/>
    </xf>
    <xf numFmtId="0" fontId="9" fillId="0" borderId="0" xfId="0" applyFont="1">
      <alignment vertical="center"/>
    </xf>
    <xf numFmtId="0" fontId="7" fillId="0" borderId="0" xfId="0" applyFont="1" applyAlignment="1">
      <alignment vertical="center"/>
    </xf>
    <xf numFmtId="0" fontId="5" fillId="0" borderId="0" xfId="0" applyFont="1" applyBorder="1" applyAlignment="1">
      <alignment horizontal="center" vertical="center"/>
    </xf>
    <xf numFmtId="0" fontId="5" fillId="0" borderId="0" xfId="0" applyFont="1" applyBorder="1" applyAlignment="1">
      <alignment vertical="center" shrinkToFit="1"/>
    </xf>
    <xf numFmtId="0" fontId="3" fillId="0" borderId="0" xfId="0" applyFont="1" applyAlignment="1">
      <alignment horizontal="center" vertical="center"/>
    </xf>
    <xf numFmtId="0" fontId="13" fillId="0" borderId="11" xfId="0" applyFont="1" applyBorder="1" applyAlignment="1">
      <alignment horizontal="center" vertical="center"/>
    </xf>
    <xf numFmtId="0" fontId="13" fillId="0" borderId="29" xfId="0" applyFont="1" applyBorder="1" applyAlignment="1">
      <alignment horizontal="center" vertical="center" wrapText="1"/>
    </xf>
    <xf numFmtId="0" fontId="13" fillId="0" borderId="30" xfId="0" applyFont="1" applyBorder="1" applyAlignment="1">
      <alignment horizontal="center" vertical="center"/>
    </xf>
    <xf numFmtId="0" fontId="13"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0" fontId="5" fillId="0" borderId="0" xfId="0" applyFont="1" applyBorder="1" applyAlignment="1">
      <alignment vertical="center" shrinkToFit="1"/>
    </xf>
    <xf numFmtId="0" fontId="5" fillId="0" borderId="0" xfId="0" applyFont="1" applyFill="1">
      <alignment vertical="center"/>
    </xf>
    <xf numFmtId="0" fontId="5" fillId="0" borderId="10" xfId="0" applyFont="1" applyBorder="1" applyAlignment="1">
      <alignment vertical="center" shrinkToFit="1"/>
    </xf>
    <xf numFmtId="49" fontId="15" fillId="0" borderId="1" xfId="0" applyNumberFormat="1" applyFont="1" applyBorder="1" applyAlignment="1">
      <alignment horizontal="center" vertical="center"/>
    </xf>
    <xf numFmtId="0" fontId="5" fillId="0" borderId="0" xfId="0" applyFont="1" applyAlignment="1">
      <alignment vertical="center" shrinkToFit="1"/>
    </xf>
    <xf numFmtId="0" fontId="5" fillId="0" borderId="0" xfId="0" applyFont="1" applyAlignment="1">
      <alignment vertical="top" wrapText="1"/>
    </xf>
    <xf numFmtId="0" fontId="6" fillId="0" borderId="2" xfId="0" applyFont="1" applyBorder="1">
      <alignment vertical="center"/>
    </xf>
    <xf numFmtId="0" fontId="6" fillId="0" borderId="4" xfId="0" applyFont="1" applyBorder="1">
      <alignment vertical="center"/>
    </xf>
    <xf numFmtId="49" fontId="15" fillId="0" borderId="47" xfId="0" applyNumberFormat="1" applyFont="1" applyBorder="1" applyAlignment="1">
      <alignment horizontal="center" vertical="center"/>
    </xf>
    <xf numFmtId="49" fontId="15" fillId="0" borderId="33" xfId="0" applyNumberFormat="1" applyFont="1" applyBorder="1" applyAlignment="1">
      <alignment horizontal="center" vertical="center"/>
    </xf>
    <xf numFmtId="49" fontId="15" fillId="0" borderId="50" xfId="0" applyNumberFormat="1" applyFont="1" applyBorder="1" applyAlignment="1">
      <alignment horizontal="center" vertical="center"/>
    </xf>
    <xf numFmtId="0" fontId="5" fillId="0" borderId="44" xfId="0" applyFont="1" applyBorder="1" applyAlignment="1">
      <alignment horizontal="center" vertical="center" shrinkToFit="1"/>
    </xf>
    <xf numFmtId="0" fontId="5" fillId="0" borderId="45" xfId="0" applyFont="1" applyBorder="1" applyAlignment="1">
      <alignment horizontal="center" vertical="center" shrinkToFit="1"/>
    </xf>
    <xf numFmtId="49" fontId="15"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5" fillId="0" borderId="7" xfId="0" applyFont="1" applyBorder="1" applyAlignment="1">
      <alignment horizontal="center" vertical="center" wrapText="1" shrinkToFit="1"/>
    </xf>
    <xf numFmtId="9" fontId="5" fillId="0" borderId="8" xfId="0" applyNumberFormat="1" applyFont="1" applyBorder="1" applyAlignment="1">
      <alignment horizontal="center" vertical="center" wrapText="1" shrinkToFit="1"/>
    </xf>
    <xf numFmtId="0" fontId="5" fillId="0" borderId="8" xfId="0" applyFont="1" applyBorder="1" applyAlignment="1">
      <alignment horizontal="center" vertical="center" wrapText="1" shrinkToFit="1"/>
    </xf>
    <xf numFmtId="9" fontId="5" fillId="0" borderId="8" xfId="0" applyNumberFormat="1" applyFont="1" applyBorder="1" applyAlignment="1">
      <alignment horizontal="center" vertical="center" shrinkToFit="1"/>
    </xf>
    <xf numFmtId="0" fontId="5" fillId="0" borderId="9" xfId="0" applyFont="1" applyBorder="1" applyAlignment="1">
      <alignment horizontal="center" vertical="center" shrinkToFit="1"/>
    </xf>
    <xf numFmtId="9" fontId="5" fillId="0" borderId="45" xfId="0" applyNumberFormat="1" applyFont="1" applyBorder="1" applyAlignment="1">
      <alignment horizontal="center" vertical="center" shrinkToFit="1"/>
    </xf>
    <xf numFmtId="176" fontId="5" fillId="0" borderId="45" xfId="0" applyNumberFormat="1" applyFont="1" applyBorder="1" applyAlignment="1">
      <alignment horizontal="center" vertical="center" shrinkToFit="1"/>
    </xf>
    <xf numFmtId="0" fontId="5" fillId="0" borderId="46" xfId="0" applyFont="1" applyBorder="1" applyAlignment="1">
      <alignment horizontal="center" vertical="center" shrinkToFit="1"/>
    </xf>
    <xf numFmtId="0" fontId="5" fillId="0" borderId="2" xfId="0" applyFont="1" applyBorder="1" applyAlignment="1">
      <alignment vertical="center"/>
    </xf>
    <xf numFmtId="0" fontId="5" fillId="0" borderId="3" xfId="0" applyFont="1" applyBorder="1" applyAlignment="1">
      <alignment vertical="center"/>
    </xf>
    <xf numFmtId="0" fontId="5" fillId="0" borderId="4" xfId="0" applyFont="1" applyBorder="1" applyAlignment="1">
      <alignment vertical="center"/>
    </xf>
    <xf numFmtId="49" fontId="15" fillId="0" borderId="52" xfId="0" applyNumberFormat="1" applyFont="1" applyBorder="1" applyAlignment="1">
      <alignment horizontal="center" vertical="center"/>
    </xf>
    <xf numFmtId="49" fontId="15" fillId="0" borderId="29" xfId="0" applyNumberFormat="1" applyFont="1" applyBorder="1" applyAlignment="1">
      <alignment horizontal="center" vertical="center"/>
    </xf>
    <xf numFmtId="0" fontId="18" fillId="0" borderId="4" xfId="0" applyFont="1" applyBorder="1" applyAlignment="1">
      <alignment horizontal="center" vertical="center" shrinkToFit="1"/>
    </xf>
    <xf numFmtId="0" fontId="5" fillId="0" borderId="14" xfId="0" applyFont="1" applyBorder="1" applyAlignment="1">
      <alignment horizontal="center" vertical="center" shrinkToFit="1"/>
    </xf>
    <xf numFmtId="0" fontId="5" fillId="0" borderId="23" xfId="0" applyFont="1" applyBorder="1" applyAlignment="1">
      <alignment horizontal="center" vertical="center" shrinkToFit="1"/>
    </xf>
    <xf numFmtId="0" fontId="5" fillId="0" borderId="13" xfId="0" applyFont="1" applyBorder="1" applyAlignment="1">
      <alignment horizontal="center" vertical="center" shrinkToFit="1"/>
    </xf>
    <xf numFmtId="0" fontId="3" fillId="0" borderId="0" xfId="0" applyFont="1" applyBorder="1" applyAlignment="1">
      <alignment vertical="center" shrinkToFit="1"/>
    </xf>
    <xf numFmtId="0" fontId="5" fillId="0" borderId="1" xfId="0" applyFont="1" applyBorder="1" applyAlignment="1">
      <alignment horizontal="center" vertical="center" shrinkToFit="1"/>
    </xf>
    <xf numFmtId="0" fontId="5" fillId="0" borderId="18" xfId="0" applyFont="1" applyBorder="1" applyAlignment="1">
      <alignment horizontal="center" vertical="center"/>
    </xf>
    <xf numFmtId="0" fontId="5" fillId="0" borderId="42" xfId="0" applyFont="1" applyBorder="1" applyAlignment="1">
      <alignment horizontal="center" vertical="center"/>
    </xf>
    <xf numFmtId="0" fontId="5" fillId="0" borderId="38" xfId="0" applyFont="1" applyBorder="1" applyAlignment="1">
      <alignment horizontal="center" vertical="center"/>
    </xf>
    <xf numFmtId="0" fontId="5" fillId="0" borderId="43" xfId="0" applyFont="1" applyBorder="1" applyAlignment="1">
      <alignment horizontal="center" vertical="center" shrinkToFit="1"/>
    </xf>
    <xf numFmtId="176" fontId="3" fillId="0" borderId="0" xfId="0" applyNumberFormat="1" applyFont="1" applyAlignment="1">
      <alignment horizontal="left" vertical="center" wrapText="1"/>
    </xf>
    <xf numFmtId="0" fontId="8" fillId="0" borderId="0" xfId="0" applyFont="1">
      <alignment vertical="center"/>
    </xf>
    <xf numFmtId="0" fontId="4" fillId="0" borderId="0" xfId="1">
      <alignment vertical="center"/>
    </xf>
    <xf numFmtId="0" fontId="19" fillId="0" borderId="0" xfId="0" applyFont="1">
      <alignment vertical="center"/>
    </xf>
    <xf numFmtId="0" fontId="7" fillId="0" borderId="0" xfId="0" applyFont="1" applyAlignment="1">
      <alignment vertical="center" wrapText="1"/>
    </xf>
    <xf numFmtId="0" fontId="21" fillId="0" borderId="0" xfId="0" applyFont="1" applyAlignment="1">
      <alignment vertical="center"/>
    </xf>
    <xf numFmtId="0" fontId="21" fillId="0" borderId="0" xfId="0" applyFont="1">
      <alignment vertical="center"/>
    </xf>
    <xf numFmtId="0" fontId="22" fillId="0" borderId="0" xfId="0" applyFont="1">
      <alignment vertical="center"/>
    </xf>
    <xf numFmtId="0" fontId="23" fillId="0" borderId="0" xfId="0" applyFont="1">
      <alignment vertical="center"/>
    </xf>
    <xf numFmtId="0" fontId="5" fillId="0" borderId="0" xfId="0" applyFont="1" applyBorder="1" applyAlignment="1">
      <alignment vertical="center" shrinkToFit="1"/>
    </xf>
    <xf numFmtId="0" fontId="6" fillId="2" borderId="0" xfId="0" applyFont="1" applyFill="1">
      <alignment vertical="center"/>
    </xf>
    <xf numFmtId="0" fontId="24" fillId="0" borderId="0" xfId="0" applyFont="1">
      <alignment vertical="center"/>
    </xf>
    <xf numFmtId="0" fontId="26" fillId="3" borderId="0" xfId="2">
      <alignment vertical="center"/>
    </xf>
    <xf numFmtId="0" fontId="5" fillId="0" borderId="18" xfId="0" applyFont="1" applyBorder="1" applyAlignment="1">
      <alignment horizontal="center" vertical="center"/>
    </xf>
    <xf numFmtId="0" fontId="5" fillId="0" borderId="18" xfId="0" applyFont="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30" fillId="0" borderId="23" xfId="0" applyFont="1" applyBorder="1" applyAlignment="1">
      <alignment horizontal="center" vertical="center" shrinkToFit="1"/>
    </xf>
    <xf numFmtId="177" fontId="3" fillId="0" borderId="27" xfId="0" applyNumberFormat="1" applyFont="1" applyBorder="1" applyAlignment="1">
      <alignment vertical="center" shrinkToFit="1"/>
    </xf>
    <xf numFmtId="177" fontId="5" fillId="0" borderId="8" xfId="0" applyNumberFormat="1" applyFont="1" applyBorder="1" applyAlignment="1">
      <alignment horizontal="center" vertical="center" wrapText="1" shrinkToFit="1"/>
    </xf>
    <xf numFmtId="0" fontId="5" fillId="0" borderId="0" xfId="0" applyFont="1" applyAlignment="1">
      <alignment horizontal="right" vertical="center"/>
    </xf>
    <xf numFmtId="0" fontId="5" fillId="0" borderId="0" xfId="0" applyFont="1" applyAlignment="1">
      <alignment vertical="center" wrapText="1"/>
    </xf>
    <xf numFmtId="0" fontId="14" fillId="0" borderId="0" xfId="0" applyFont="1" applyAlignment="1">
      <alignment horizontal="center" vertical="center"/>
    </xf>
    <xf numFmtId="0" fontId="9" fillId="0" borderId="1" xfId="0" applyFont="1" applyBorder="1">
      <alignment vertical="center"/>
    </xf>
    <xf numFmtId="0" fontId="3" fillId="0" borderId="23" xfId="0" applyFont="1" applyBorder="1" applyAlignment="1">
      <alignment horizontal="center" vertical="center" shrinkToFit="1"/>
    </xf>
    <xf numFmtId="0" fontId="15" fillId="0" borderId="0" xfId="0" applyFont="1">
      <alignment vertical="center"/>
    </xf>
    <xf numFmtId="0" fontId="15" fillId="0" borderId="0" xfId="0" applyFont="1" applyAlignment="1">
      <alignment vertical="top" wrapText="1"/>
    </xf>
    <xf numFmtId="0" fontId="31" fillId="0" borderId="0" xfId="0" applyFont="1" applyAlignment="1">
      <alignment vertical="center"/>
    </xf>
    <xf numFmtId="0" fontId="32" fillId="0" borderId="0" xfId="1" applyFont="1" applyAlignment="1">
      <alignment vertical="center"/>
    </xf>
    <xf numFmtId="0" fontId="32" fillId="0" borderId="0" xfId="1" applyFont="1">
      <alignment vertical="center"/>
    </xf>
    <xf numFmtId="0" fontId="33" fillId="0" borderId="0" xfId="0" applyFont="1">
      <alignment vertical="center"/>
    </xf>
    <xf numFmtId="0" fontId="17" fillId="3" borderId="0" xfId="2" applyFont="1">
      <alignment vertical="center"/>
    </xf>
    <xf numFmtId="0" fontId="15" fillId="0" borderId="0" xfId="0" applyFont="1" applyAlignment="1">
      <alignment vertical="top" shrinkToFit="1"/>
    </xf>
    <xf numFmtId="0" fontId="15" fillId="0" borderId="0" xfId="0" applyFont="1" applyAlignment="1">
      <alignment vertical="center" wrapText="1"/>
    </xf>
    <xf numFmtId="0" fontId="15" fillId="0" borderId="10" xfId="0" applyFont="1" applyBorder="1" applyAlignment="1">
      <alignment vertical="top" wrapText="1"/>
    </xf>
    <xf numFmtId="0" fontId="15" fillId="0" borderId="5" xfId="0" applyFont="1" applyBorder="1" applyAlignment="1">
      <alignment vertical="top" wrapText="1"/>
    </xf>
    <xf numFmtId="0" fontId="15" fillId="0" borderId="5" xfId="0" applyFont="1" applyFill="1" applyBorder="1" applyAlignment="1">
      <alignment vertical="top" wrapText="1"/>
    </xf>
    <xf numFmtId="0" fontId="5" fillId="0" borderId="16" xfId="0" applyFont="1" applyFill="1" applyBorder="1">
      <alignment vertical="center"/>
    </xf>
    <xf numFmtId="0" fontId="15" fillId="0" borderId="20" xfId="0" applyFont="1" applyFill="1" applyBorder="1" applyAlignment="1">
      <alignment vertical="top" wrapText="1"/>
    </xf>
    <xf numFmtId="0" fontId="15" fillId="0" borderId="18" xfId="0" applyFont="1" applyFill="1" applyBorder="1" applyAlignment="1">
      <alignment vertical="top" wrapText="1"/>
    </xf>
    <xf numFmtId="0" fontId="15" fillId="0" borderId="20" xfId="0" applyFont="1" applyFill="1" applyBorder="1" applyAlignment="1">
      <alignment vertical="top" shrinkToFit="1"/>
    </xf>
    <xf numFmtId="0" fontId="15" fillId="0" borderId="18" xfId="0" applyFont="1" applyFill="1" applyBorder="1" applyAlignment="1">
      <alignment vertical="top"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176" fontId="5" fillId="0" borderId="2" xfId="0" applyNumberFormat="1" applyFont="1" applyBorder="1" applyAlignment="1">
      <alignment horizontal="center" vertical="center"/>
    </xf>
    <xf numFmtId="176" fontId="5" fillId="0" borderId="3" xfId="0" applyNumberFormat="1" applyFont="1" applyBorder="1" applyAlignment="1">
      <alignment horizontal="center" vertical="center"/>
    </xf>
    <xf numFmtId="176" fontId="5" fillId="0" borderId="4" xfId="0" applyNumberFormat="1" applyFont="1" applyBorder="1" applyAlignment="1">
      <alignment horizontal="center" vertical="center"/>
    </xf>
    <xf numFmtId="0" fontId="5" fillId="0" borderId="0" xfId="0" applyFont="1" applyBorder="1" applyAlignment="1">
      <alignment horizontal="center" vertical="center"/>
    </xf>
    <xf numFmtId="0" fontId="5" fillId="0" borderId="0" xfId="0" applyFont="1" applyBorder="1" applyAlignment="1">
      <alignment horizontal="right" vertical="center" shrinkToFit="1"/>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0" fontId="3" fillId="0" borderId="5" xfId="0" applyFont="1" applyBorder="1" applyAlignment="1">
      <alignment horizontal="right" vertical="center" shrinkToFit="1"/>
    </xf>
    <xf numFmtId="0" fontId="3" fillId="0" borderId="0" xfId="0" applyFont="1" applyBorder="1" applyAlignment="1">
      <alignment horizontal="right" vertical="center" shrinkToFit="1"/>
    </xf>
    <xf numFmtId="0" fontId="3" fillId="0" borderId="10" xfId="0" applyFont="1" applyBorder="1" applyAlignment="1">
      <alignment horizontal="right" vertical="center" shrinkToFit="1"/>
    </xf>
    <xf numFmtId="176" fontId="5" fillId="0" borderId="2" xfId="0" applyNumberFormat="1" applyFont="1" applyBorder="1" applyAlignment="1">
      <alignment horizontal="center" vertical="center" shrinkToFit="1"/>
    </xf>
    <xf numFmtId="176" fontId="5" fillId="0" borderId="4" xfId="0" applyNumberFormat="1" applyFont="1" applyBorder="1" applyAlignment="1">
      <alignment horizontal="center" vertical="center" shrinkToFit="1"/>
    </xf>
    <xf numFmtId="0" fontId="5" fillId="0" borderId="0" xfId="0" applyFont="1" applyBorder="1" applyAlignment="1">
      <alignment vertical="center" shrinkToFit="1"/>
    </xf>
    <xf numFmtId="0" fontId="3" fillId="0" borderId="4" xfId="0" applyFont="1" applyBorder="1" applyAlignment="1">
      <alignment horizontal="center"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5" fillId="0" borderId="0" xfId="0" applyFont="1" applyAlignment="1">
      <alignment horizontal="right" vertical="center"/>
    </xf>
    <xf numFmtId="0" fontId="5" fillId="0" borderId="0" xfId="0" applyFont="1" applyBorder="1" applyAlignment="1">
      <alignment horizontal="right" vertical="center"/>
    </xf>
    <xf numFmtId="0" fontId="5" fillId="0" borderId="10" xfId="0" applyFont="1" applyBorder="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0" fillId="0" borderId="2" xfId="0" applyFont="1" applyBorder="1">
      <alignment vertical="center"/>
    </xf>
    <xf numFmtId="0" fontId="0" fillId="0" borderId="3" xfId="0" applyFont="1" applyBorder="1">
      <alignment vertical="center"/>
    </xf>
    <xf numFmtId="0" fontId="0" fillId="0" borderId="4" xfId="0" applyFont="1" applyBorder="1">
      <alignment vertical="center"/>
    </xf>
    <xf numFmtId="0" fontId="10" fillId="0" borderId="0" xfId="0" applyFont="1" applyAlignment="1">
      <alignment horizontal="center" vertical="center"/>
    </xf>
    <xf numFmtId="0" fontId="0" fillId="0" borderId="0" xfId="0" applyFont="1">
      <alignment vertical="center"/>
    </xf>
    <xf numFmtId="0" fontId="9" fillId="0" borderId="0" xfId="0" applyFont="1">
      <alignment vertical="center"/>
    </xf>
    <xf numFmtId="0" fontId="5" fillId="0" borderId="2" xfId="0" applyNumberFormat="1" applyFont="1" applyBorder="1" applyAlignment="1">
      <alignment horizontal="center" vertical="center"/>
    </xf>
    <xf numFmtId="0" fontId="5" fillId="0" borderId="4" xfId="0" applyNumberFormat="1" applyFont="1" applyBorder="1" applyAlignment="1">
      <alignment horizontal="center" vertical="center"/>
    </xf>
    <xf numFmtId="0" fontId="9" fillId="0" borderId="1" xfId="0" applyFont="1" applyBorder="1">
      <alignment vertical="center"/>
    </xf>
    <xf numFmtId="0" fontId="3" fillId="0" borderId="2" xfId="0" applyFont="1" applyBorder="1" applyAlignment="1">
      <alignment horizontal="center" vertical="center" wrapText="1" shrinkToFit="1"/>
    </xf>
    <xf numFmtId="0" fontId="5" fillId="0" borderId="37" xfId="0" applyFont="1" applyBorder="1" applyAlignment="1">
      <alignment vertical="center" shrinkToFit="1"/>
    </xf>
    <xf numFmtId="0" fontId="5" fillId="0" borderId="39" xfId="0" applyFont="1" applyBorder="1" applyAlignment="1">
      <alignment vertical="center" shrinkToFit="1"/>
    </xf>
    <xf numFmtId="0" fontId="5" fillId="0" borderId="38" xfId="0" applyFont="1" applyBorder="1" applyAlignment="1">
      <alignment vertical="center" shrinkToFit="1"/>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37" xfId="0" applyFont="1" applyBorder="1" applyAlignment="1">
      <alignment horizontal="center" vertical="center"/>
    </xf>
    <xf numFmtId="0" fontId="5" fillId="0" borderId="39" xfId="0" applyFont="1" applyBorder="1" applyAlignment="1">
      <alignment horizontal="center" vertical="center"/>
    </xf>
    <xf numFmtId="0" fontId="5" fillId="0" borderId="38" xfId="0" applyFont="1" applyBorder="1" applyAlignment="1">
      <alignment horizontal="center" vertical="center"/>
    </xf>
    <xf numFmtId="0" fontId="30" fillId="0" borderId="19" xfId="0" applyFont="1" applyBorder="1" applyAlignment="1">
      <alignment horizontal="center" vertical="center"/>
    </xf>
    <xf numFmtId="0" fontId="30" fillId="0" borderId="20" xfId="0" applyFont="1" applyBorder="1" applyAlignment="1">
      <alignment horizontal="center" vertical="center"/>
    </xf>
    <xf numFmtId="0" fontId="30" fillId="0" borderId="18" xfId="0" applyFont="1" applyBorder="1" applyAlignment="1">
      <alignment horizontal="center" vertical="center"/>
    </xf>
    <xf numFmtId="0" fontId="5" fillId="0" borderId="19" xfId="0" applyFont="1" applyBorder="1" applyAlignment="1">
      <alignment vertical="center" shrinkToFit="1"/>
    </xf>
    <xf numFmtId="0" fontId="5" fillId="0" borderId="20" xfId="0" applyFont="1" applyBorder="1" applyAlignment="1">
      <alignment vertical="center" shrinkToFit="1"/>
    </xf>
    <xf numFmtId="0" fontId="5" fillId="0" borderId="18" xfId="0" applyFont="1" applyBorder="1" applyAlignment="1">
      <alignment vertical="center" shrinkToFit="1"/>
    </xf>
    <xf numFmtId="0" fontId="30" fillId="0" borderId="19" xfId="0" applyFont="1" applyBorder="1" applyAlignment="1">
      <alignment vertical="center" shrinkToFit="1"/>
    </xf>
    <xf numFmtId="0" fontId="30" fillId="0" borderId="20" xfId="0" applyFont="1" applyBorder="1" applyAlignment="1">
      <alignment vertical="center" shrinkToFit="1"/>
    </xf>
    <xf numFmtId="0" fontId="30" fillId="0" borderId="18" xfId="0" applyFont="1" applyBorder="1" applyAlignment="1">
      <alignment vertical="center" shrinkToFit="1"/>
    </xf>
    <xf numFmtId="0" fontId="5" fillId="0" borderId="40" xfId="0" applyFont="1" applyBorder="1" applyAlignment="1">
      <alignment vertical="center" shrinkToFit="1"/>
    </xf>
    <xf numFmtId="0" fontId="5" fillId="0" borderId="41" xfId="0" applyFont="1" applyBorder="1" applyAlignment="1">
      <alignment vertical="center" shrinkToFit="1"/>
    </xf>
    <xf numFmtId="0" fontId="5" fillId="0" borderId="42" xfId="0" applyFont="1" applyBorder="1" applyAlignment="1">
      <alignment vertical="center" shrinkToFit="1"/>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18" xfId="0" applyFont="1" applyBorder="1" applyAlignment="1">
      <alignment horizontal="center" vertical="center"/>
    </xf>
    <xf numFmtId="0" fontId="5" fillId="0" borderId="40" xfId="0" applyFont="1" applyBorder="1" applyAlignment="1">
      <alignment horizontal="center" vertical="center"/>
    </xf>
    <xf numFmtId="0" fontId="5" fillId="0" borderId="41" xfId="0" applyFont="1" applyBorder="1" applyAlignment="1">
      <alignment horizontal="center" vertical="center"/>
    </xf>
    <xf numFmtId="0" fontId="5" fillId="0" borderId="42" xfId="0" applyFont="1" applyBorder="1" applyAlignment="1">
      <alignment horizontal="center" vertical="center"/>
    </xf>
    <xf numFmtId="0" fontId="3" fillId="0" borderId="19" xfId="0" applyFont="1" applyBorder="1" applyAlignment="1">
      <alignment vertical="center" shrinkToFit="1"/>
    </xf>
    <xf numFmtId="0" fontId="3" fillId="0" borderId="20" xfId="0" applyFont="1" applyBorder="1" applyAlignment="1">
      <alignment vertical="center" shrinkToFit="1"/>
    </xf>
    <xf numFmtId="0" fontId="3" fillId="0" borderId="18" xfId="0" applyFont="1" applyBorder="1" applyAlignment="1">
      <alignment vertical="center" shrinkToFit="1"/>
    </xf>
    <xf numFmtId="0" fontId="5" fillId="0" borderId="19" xfId="0" applyFont="1" applyBorder="1" applyAlignment="1">
      <alignment horizontal="left" vertical="center" shrinkToFit="1"/>
    </xf>
    <xf numFmtId="0" fontId="5" fillId="0" borderId="20" xfId="0" applyFont="1" applyBorder="1" applyAlignment="1">
      <alignment horizontal="left" vertical="center" shrinkToFit="1"/>
    </xf>
    <xf numFmtId="0" fontId="5" fillId="0" borderId="18" xfId="0" applyFont="1" applyBorder="1" applyAlignment="1">
      <alignment horizontal="left" vertical="center" shrinkToFit="1"/>
    </xf>
    <xf numFmtId="0" fontId="5" fillId="0" borderId="40" xfId="0" applyFont="1" applyBorder="1" applyAlignment="1">
      <alignment horizontal="left" vertical="center" shrinkToFit="1"/>
    </xf>
    <xf numFmtId="0" fontId="5" fillId="0" borderId="41" xfId="0" applyFont="1" applyBorder="1" applyAlignment="1">
      <alignment horizontal="left" vertical="center" shrinkToFit="1"/>
    </xf>
    <xf numFmtId="0" fontId="5" fillId="0" borderId="42" xfId="0" applyFont="1" applyBorder="1" applyAlignment="1">
      <alignment horizontal="left" vertical="center" shrinkToFit="1"/>
    </xf>
    <xf numFmtId="0" fontId="6" fillId="0" borderId="0" xfId="0" applyFont="1" applyAlignment="1">
      <alignment horizontal="center" vertical="center"/>
    </xf>
    <xf numFmtId="0" fontId="5" fillId="0" borderId="37" xfId="0" applyFont="1" applyBorder="1" applyAlignment="1">
      <alignment horizontal="left" vertical="center" shrinkToFit="1"/>
    </xf>
    <xf numFmtId="0" fontId="5" fillId="0" borderId="39" xfId="0" applyFont="1" applyBorder="1" applyAlignment="1">
      <alignment horizontal="left" vertical="center" shrinkToFit="1"/>
    </xf>
    <xf numFmtId="0" fontId="5" fillId="0" borderId="38" xfId="0" applyFont="1" applyBorder="1" applyAlignment="1">
      <alignment horizontal="left" vertical="center" shrinkToFit="1"/>
    </xf>
    <xf numFmtId="0" fontId="6" fillId="0" borderId="7" xfId="0" applyFont="1" applyBorder="1" applyAlignment="1">
      <alignment vertical="center" wrapText="1" shrinkToFit="1"/>
    </xf>
    <xf numFmtId="0" fontId="6" fillId="0" borderId="8" xfId="0" applyFont="1" applyBorder="1" applyAlignment="1">
      <alignment vertical="center" wrapText="1" shrinkToFit="1"/>
    </xf>
    <xf numFmtId="0" fontId="6" fillId="0" borderId="9" xfId="0" applyFont="1" applyBorder="1" applyAlignment="1">
      <alignment vertical="center" wrapText="1" shrinkToFit="1"/>
    </xf>
    <xf numFmtId="0" fontId="6" fillId="0" borderId="5" xfId="0" applyFont="1" applyBorder="1" applyAlignment="1">
      <alignment vertical="center" wrapText="1" shrinkToFit="1"/>
    </xf>
    <xf numFmtId="0" fontId="6" fillId="0" borderId="0" xfId="0" applyFont="1" applyBorder="1" applyAlignment="1">
      <alignment vertical="center" wrapText="1" shrinkToFit="1"/>
    </xf>
    <xf numFmtId="0" fontId="6" fillId="0" borderId="10" xfId="0" applyFont="1" applyBorder="1" applyAlignment="1">
      <alignment vertical="center" wrapText="1" shrinkToFit="1"/>
    </xf>
    <xf numFmtId="0" fontId="6" fillId="0" borderId="11" xfId="0" applyFont="1" applyBorder="1" applyAlignment="1">
      <alignment vertical="center" wrapText="1" shrinkToFit="1"/>
    </xf>
    <xf numFmtId="0" fontId="6" fillId="0" borderId="6" xfId="0" applyFont="1" applyBorder="1" applyAlignment="1">
      <alignment vertical="center" wrapText="1" shrinkToFit="1"/>
    </xf>
    <xf numFmtId="0" fontId="6" fillId="0" borderId="12" xfId="0" applyFont="1" applyBorder="1" applyAlignment="1">
      <alignment vertical="center" wrapText="1" shrinkToFit="1"/>
    </xf>
    <xf numFmtId="0" fontId="4" fillId="0" borderId="2" xfId="1" applyBorder="1" applyAlignment="1">
      <alignment vertical="center" shrinkToFit="1"/>
    </xf>
    <xf numFmtId="0" fontId="6" fillId="0" borderId="3" xfId="0" applyFont="1" applyBorder="1" applyAlignment="1">
      <alignment vertical="center" shrinkToFit="1"/>
    </xf>
    <xf numFmtId="0" fontId="6" fillId="0" borderId="4" xfId="0" applyFont="1" applyBorder="1" applyAlignment="1">
      <alignment vertical="center" shrinkToFit="1"/>
    </xf>
    <xf numFmtId="0" fontId="5" fillId="0" borderId="40" xfId="0" applyFont="1" applyBorder="1" applyAlignment="1">
      <alignment horizontal="center" vertical="center" shrinkToFit="1"/>
    </xf>
    <xf numFmtId="0" fontId="5" fillId="0" borderId="41" xfId="0" applyFont="1" applyBorder="1" applyAlignment="1">
      <alignment horizontal="center" vertical="center" shrinkToFit="1"/>
    </xf>
    <xf numFmtId="0" fontId="5" fillId="0" borderId="42"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39" xfId="0" applyFont="1" applyBorder="1" applyAlignment="1">
      <alignment horizontal="left" vertical="center" wrapText="1" shrinkToFit="1"/>
    </xf>
    <xf numFmtId="0" fontId="6" fillId="0" borderId="39" xfId="0" applyFont="1" applyBorder="1" applyAlignment="1">
      <alignment horizontal="left" vertical="center" shrinkToFit="1"/>
    </xf>
    <xf numFmtId="0" fontId="6" fillId="0" borderId="38" xfId="0" applyFont="1" applyBorder="1" applyAlignment="1">
      <alignment horizontal="left" vertical="center" shrinkToFit="1"/>
    </xf>
    <xf numFmtId="0" fontId="6" fillId="0" borderId="6" xfId="0" applyFont="1" applyBorder="1" applyAlignment="1">
      <alignment horizontal="left" vertical="center" wrapText="1" shrinkToFit="1"/>
    </xf>
    <xf numFmtId="0" fontId="6" fillId="0" borderId="6" xfId="0" applyFont="1" applyBorder="1" applyAlignment="1">
      <alignment horizontal="left" vertical="center" shrinkToFit="1"/>
    </xf>
    <xf numFmtId="0" fontId="6" fillId="0" borderId="12" xfId="0" applyFont="1" applyBorder="1" applyAlignment="1">
      <alignment horizontal="left" vertical="center" shrinkToFit="1"/>
    </xf>
    <xf numFmtId="0" fontId="5" fillId="0" borderId="41" xfId="0" applyFont="1" applyBorder="1" applyAlignment="1">
      <alignment horizontal="left" vertical="center" wrapText="1" shrinkToFit="1"/>
    </xf>
    <xf numFmtId="0" fontId="6" fillId="0" borderId="41" xfId="0" applyFont="1" applyBorder="1" applyAlignment="1">
      <alignment horizontal="left" vertical="center" shrinkToFit="1"/>
    </xf>
    <xf numFmtId="0" fontId="6" fillId="0" borderId="42" xfId="0" applyFont="1" applyBorder="1" applyAlignment="1">
      <alignment horizontal="left" vertical="center" shrinkToFit="1"/>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18" xfId="0" applyFont="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left" vertical="center" shrinkToFit="1"/>
    </xf>
    <xf numFmtId="0" fontId="3" fillId="0" borderId="20" xfId="0" applyFont="1" applyBorder="1" applyAlignment="1">
      <alignment horizontal="left" vertical="center" shrinkToFit="1"/>
    </xf>
    <xf numFmtId="0" fontId="3" fillId="0" borderId="18" xfId="0" applyFont="1" applyBorder="1" applyAlignment="1">
      <alignment horizontal="left" vertical="center" shrinkToFit="1"/>
    </xf>
    <xf numFmtId="0" fontId="5" fillId="0" borderId="0" xfId="0" applyFont="1" applyAlignment="1">
      <alignment vertical="center" wrapText="1"/>
    </xf>
    <xf numFmtId="0" fontId="14" fillId="0" borderId="0" xfId="0" applyFont="1" applyAlignment="1">
      <alignment horizontal="center" vertical="center"/>
    </xf>
    <xf numFmtId="0" fontId="5" fillId="0" borderId="7" xfId="0" applyFont="1" applyBorder="1" applyAlignment="1">
      <alignment horizontal="left" vertical="top" wrapText="1" shrinkToFit="1"/>
    </xf>
    <xf numFmtId="0" fontId="5" fillId="0" borderId="8" xfId="0" applyFont="1" applyBorder="1" applyAlignment="1">
      <alignment horizontal="left" vertical="top" wrapText="1" shrinkToFit="1"/>
    </xf>
    <xf numFmtId="0" fontId="5" fillId="0" borderId="9" xfId="0" applyFont="1" applyBorder="1" applyAlignment="1">
      <alignment horizontal="left" vertical="top" wrapText="1" shrinkToFit="1"/>
    </xf>
    <xf numFmtId="0" fontId="5" fillId="0" borderId="5" xfId="0" applyFont="1" applyBorder="1" applyAlignment="1">
      <alignment horizontal="left" vertical="top" wrapText="1" shrinkToFit="1"/>
    </xf>
    <xf numFmtId="0" fontId="5" fillId="0" borderId="0" xfId="0" applyFont="1" applyBorder="1" applyAlignment="1">
      <alignment horizontal="left" vertical="top" wrapText="1" shrinkToFit="1"/>
    </xf>
    <xf numFmtId="0" fontId="5" fillId="0" borderId="10" xfId="0" applyFont="1" applyBorder="1" applyAlignment="1">
      <alignment horizontal="left" vertical="top" wrapText="1" shrinkToFit="1"/>
    </xf>
    <xf numFmtId="0" fontId="5" fillId="0" borderId="0" xfId="0" applyFont="1" applyAlignment="1">
      <alignment horizontal="left" vertical="top" wrapText="1" shrinkToFit="1"/>
    </xf>
    <xf numFmtId="0" fontId="5" fillId="0" borderId="11" xfId="0" applyFont="1" applyBorder="1" applyAlignment="1">
      <alignment horizontal="left" vertical="top" wrapText="1" shrinkToFit="1"/>
    </xf>
    <xf numFmtId="0" fontId="5" fillId="0" borderId="6" xfId="0" applyFont="1" applyBorder="1" applyAlignment="1">
      <alignment horizontal="left" vertical="top" wrapText="1" shrinkToFit="1"/>
    </xf>
    <xf numFmtId="0" fontId="5" fillId="0" borderId="12" xfId="0" applyFont="1" applyBorder="1" applyAlignment="1">
      <alignment horizontal="left" vertical="top" wrapText="1" shrinkToFit="1"/>
    </xf>
    <xf numFmtId="0" fontId="5" fillId="0" borderId="37" xfId="0" applyFont="1" applyBorder="1" applyAlignment="1">
      <alignment horizontal="center" vertical="center" shrinkToFit="1"/>
    </xf>
    <xf numFmtId="0" fontId="5" fillId="0" borderId="39" xfId="0" applyFont="1" applyBorder="1" applyAlignment="1">
      <alignment horizontal="center" vertical="center" shrinkToFit="1"/>
    </xf>
    <xf numFmtId="0" fontId="5" fillId="0" borderId="38" xfId="0" applyFont="1" applyBorder="1" applyAlignment="1">
      <alignment horizontal="center" vertical="center" shrinkToFit="1"/>
    </xf>
    <xf numFmtId="0" fontId="2" fillId="0" borderId="19" xfId="0" applyFont="1" applyBorder="1" applyAlignment="1">
      <alignment vertical="center" wrapText="1" shrinkToFit="1"/>
    </xf>
    <xf numFmtId="0" fontId="17" fillId="0" borderId="48" xfId="0" applyFont="1" applyBorder="1" applyAlignment="1">
      <alignment vertical="center" wrapText="1"/>
    </xf>
    <xf numFmtId="0" fontId="17" fillId="0" borderId="49" xfId="0" applyFont="1" applyBorder="1" applyAlignment="1">
      <alignment vertical="center" wrapText="1"/>
    </xf>
    <xf numFmtId="0" fontId="16" fillId="0" borderId="48" xfId="0" applyFont="1" applyBorder="1" applyAlignment="1">
      <alignment vertical="center" wrapText="1"/>
    </xf>
    <xf numFmtId="0" fontId="16" fillId="0" borderId="32" xfId="0" applyFont="1" applyBorder="1" applyAlignment="1">
      <alignment vertical="center" wrapText="1"/>
    </xf>
    <xf numFmtId="0" fontId="25" fillId="0" borderId="39" xfId="0" applyFont="1" applyBorder="1" applyAlignment="1">
      <alignment vertical="center" wrapText="1" shrinkToFit="1"/>
    </xf>
    <xf numFmtId="0" fontId="12" fillId="0" borderId="39" xfId="0" applyFont="1" applyBorder="1" applyAlignment="1">
      <alignment vertical="center" shrinkToFit="1"/>
    </xf>
    <xf numFmtId="0" fontId="12" fillId="0" borderId="38" xfId="0" applyFont="1" applyBorder="1" applyAlignment="1">
      <alignment vertical="center" shrinkToFit="1"/>
    </xf>
    <xf numFmtId="0" fontId="2" fillId="0" borderId="6" xfId="0" applyFont="1" applyBorder="1" applyAlignment="1">
      <alignment vertical="center" wrapText="1" shrinkToFit="1"/>
    </xf>
    <xf numFmtId="0" fontId="3" fillId="0" borderId="6" xfId="0" applyFont="1" applyBorder="1" applyAlignment="1">
      <alignment vertical="center" shrinkToFit="1"/>
    </xf>
    <xf numFmtId="0" fontId="3" fillId="0" borderId="12" xfId="0" applyFont="1" applyBorder="1" applyAlignment="1">
      <alignment vertical="center" shrinkToFit="1"/>
    </xf>
    <xf numFmtId="0" fontId="17" fillId="0" borderId="32" xfId="0" applyFont="1" applyBorder="1" applyAlignment="1">
      <alignment vertical="center" wrapText="1"/>
    </xf>
    <xf numFmtId="0" fontId="25" fillId="0" borderId="8" xfId="0" applyFont="1" applyBorder="1" applyAlignment="1">
      <alignment horizontal="left" vertical="center" wrapText="1" shrinkToFit="1"/>
    </xf>
    <xf numFmtId="0" fontId="12" fillId="0" borderId="8" xfId="0" applyFont="1" applyBorder="1" applyAlignment="1">
      <alignment horizontal="left" vertical="center" shrinkToFit="1"/>
    </xf>
    <xf numFmtId="0" fontId="12" fillId="0" borderId="9" xfId="0" applyFont="1" applyBorder="1" applyAlignment="1">
      <alignment horizontal="left" vertical="center" shrinkToFit="1"/>
    </xf>
    <xf numFmtId="0" fontId="2" fillId="0" borderId="20" xfId="0" applyFont="1" applyBorder="1" applyAlignment="1">
      <alignment horizontal="left" vertical="center" wrapText="1" shrinkToFi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8"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5" fillId="0" borderId="22" xfId="0" applyFont="1" applyBorder="1" applyAlignment="1">
      <alignment horizontal="left" vertical="center" wrapText="1" shrinkToFit="1"/>
    </xf>
    <xf numFmtId="0" fontId="6" fillId="0" borderId="22" xfId="0" applyFont="1" applyBorder="1" applyAlignment="1">
      <alignment horizontal="left" vertical="center" shrinkToFit="1"/>
    </xf>
    <xf numFmtId="0" fontId="6" fillId="0" borderId="21" xfId="0" applyFont="1" applyBorder="1" applyAlignment="1">
      <alignment horizontal="left" vertical="center" shrinkToFit="1"/>
    </xf>
    <xf numFmtId="0" fontId="2" fillId="0" borderId="0" xfId="0" applyFont="1" applyAlignment="1">
      <alignment horizontal="right" vertical="center"/>
    </xf>
    <xf numFmtId="0" fontId="11"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2" fillId="0" borderId="8" xfId="0" applyFont="1" applyBorder="1" applyAlignment="1">
      <alignment horizontal="center" vertical="center" wrapText="1"/>
    </xf>
    <xf numFmtId="0" fontId="12" fillId="0" borderId="6" xfId="0" applyFont="1" applyBorder="1" applyAlignment="1">
      <alignment horizontal="center" vertical="center"/>
    </xf>
    <xf numFmtId="0" fontId="12" fillId="0" borderId="7" xfId="0" applyFont="1" applyBorder="1" applyAlignment="1">
      <alignment horizontal="center" vertical="center" wrapText="1"/>
    </xf>
    <xf numFmtId="0" fontId="12"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3" fillId="0" borderId="15" xfId="0" applyFont="1" applyBorder="1" applyAlignment="1">
      <alignment horizontal="center" vertical="center" wrapText="1"/>
    </xf>
    <xf numFmtId="0" fontId="13" fillId="0" borderId="13" xfId="0" applyFont="1" applyBorder="1" applyAlignment="1">
      <alignment horizontal="center" vertical="center"/>
    </xf>
    <xf numFmtId="0" fontId="12" fillId="0" borderId="9" xfId="0" applyFont="1" applyBorder="1" applyAlignment="1">
      <alignment horizontal="center" vertical="center"/>
    </xf>
    <xf numFmtId="0" fontId="12" fillId="0" borderId="12" xfId="0" applyFont="1" applyBorder="1" applyAlignment="1">
      <alignment horizontal="center" vertical="center"/>
    </xf>
    <xf numFmtId="0" fontId="5" fillId="0" borderId="7" xfId="0" applyFont="1" applyBorder="1" applyAlignment="1">
      <alignment vertical="top" wrapText="1" shrinkToFit="1"/>
    </xf>
    <xf numFmtId="0" fontId="5" fillId="0" borderId="8" xfId="0" applyFont="1" applyBorder="1" applyAlignment="1">
      <alignment vertical="top" wrapText="1" shrinkToFit="1"/>
    </xf>
    <xf numFmtId="0" fontId="5" fillId="0" borderId="9" xfId="0" applyFont="1" applyBorder="1" applyAlignment="1">
      <alignment vertical="top" wrapText="1" shrinkToFit="1"/>
    </xf>
    <xf numFmtId="0" fontId="5" fillId="0" borderId="5" xfId="0" applyFont="1" applyBorder="1" applyAlignment="1">
      <alignment vertical="top" wrapText="1" shrinkToFit="1"/>
    </xf>
    <xf numFmtId="0" fontId="5" fillId="0" borderId="0" xfId="0" applyFont="1" applyAlignment="1">
      <alignment vertical="top" wrapText="1" shrinkToFit="1"/>
    </xf>
    <xf numFmtId="0" fontId="5" fillId="0" borderId="10" xfId="0" applyFont="1" applyBorder="1" applyAlignment="1">
      <alignment vertical="top" wrapText="1" shrinkToFit="1"/>
    </xf>
    <xf numFmtId="0" fontId="5" fillId="0" borderId="11" xfId="0" applyFont="1" applyBorder="1" applyAlignment="1">
      <alignment vertical="top" wrapText="1" shrinkToFit="1"/>
    </xf>
    <xf numFmtId="0" fontId="5" fillId="0" borderId="6" xfId="0" applyFont="1" applyBorder="1" applyAlignment="1">
      <alignment vertical="top" wrapText="1" shrinkToFit="1"/>
    </xf>
    <xf numFmtId="0" fontId="5" fillId="0" borderId="12" xfId="0" applyFont="1" applyBorder="1" applyAlignment="1">
      <alignment vertical="top" wrapText="1" shrinkToFit="1"/>
    </xf>
    <xf numFmtId="0" fontId="5" fillId="0" borderId="8" xfId="0" applyFont="1" applyBorder="1" applyAlignment="1">
      <alignment vertical="top" shrinkToFit="1"/>
    </xf>
    <xf numFmtId="0" fontId="5" fillId="0" borderId="9" xfId="0" applyFont="1" applyBorder="1" applyAlignment="1">
      <alignment vertical="top" shrinkToFit="1"/>
    </xf>
    <xf numFmtId="0" fontId="5" fillId="0" borderId="5" xfId="0" applyFont="1" applyBorder="1" applyAlignment="1">
      <alignment vertical="top" shrinkToFit="1"/>
    </xf>
    <xf numFmtId="0" fontId="5" fillId="0" borderId="0" xfId="0" applyFont="1" applyAlignment="1">
      <alignment vertical="top" shrinkToFit="1"/>
    </xf>
    <xf numFmtId="0" fontId="5" fillId="0" borderId="10" xfId="0" applyFont="1" applyBorder="1" applyAlignment="1">
      <alignment vertical="top" shrinkToFit="1"/>
    </xf>
    <xf numFmtId="0" fontId="5" fillId="0" borderId="11" xfId="0" applyFont="1" applyBorder="1" applyAlignment="1">
      <alignment vertical="top" shrinkToFit="1"/>
    </xf>
    <xf numFmtId="0" fontId="5" fillId="0" borderId="6" xfId="0" applyFont="1" applyBorder="1" applyAlignment="1">
      <alignment vertical="top" shrinkToFit="1"/>
    </xf>
    <xf numFmtId="0" fontId="5" fillId="0" borderId="12" xfId="0" applyFont="1" applyBorder="1" applyAlignment="1">
      <alignment vertical="top" shrinkToFit="1"/>
    </xf>
    <xf numFmtId="0" fontId="5" fillId="0" borderId="6" xfId="0" applyFont="1" applyBorder="1">
      <alignment vertical="center"/>
    </xf>
    <xf numFmtId="0" fontId="5" fillId="0" borderId="16" xfId="0" applyFont="1" applyBorder="1" applyAlignment="1">
      <alignment vertical="top" wrapText="1" shrinkToFit="1"/>
    </xf>
    <xf numFmtId="0" fontId="5" fillId="0" borderId="22" xfId="0" applyFont="1" applyBorder="1" applyAlignment="1">
      <alignment vertical="top" wrapText="1" shrinkToFit="1"/>
    </xf>
    <xf numFmtId="0" fontId="5" fillId="0" borderId="21" xfId="0" applyFont="1" applyBorder="1" applyAlignment="1">
      <alignment vertical="top" wrapText="1" shrinkToFit="1"/>
    </xf>
    <xf numFmtId="0" fontId="5" fillId="0" borderId="2" xfId="0" applyFont="1" applyBorder="1" applyAlignment="1">
      <alignment vertical="center" shrinkToFit="1"/>
    </xf>
    <xf numFmtId="0" fontId="5" fillId="0" borderId="3" xfId="0" applyFont="1" applyBorder="1" applyAlignment="1">
      <alignment vertical="center" shrinkToFit="1"/>
    </xf>
    <xf numFmtId="0" fontId="5" fillId="0" borderId="4" xfId="0" applyFont="1" applyBorder="1" applyAlignment="1">
      <alignment vertical="center" shrinkToFit="1"/>
    </xf>
    <xf numFmtId="0" fontId="5" fillId="0" borderId="11" xfId="0" applyFont="1" applyFill="1" applyBorder="1" applyAlignment="1">
      <alignment vertical="center" wrapText="1"/>
    </xf>
    <xf numFmtId="0" fontId="5" fillId="0" borderId="6" xfId="0" applyFont="1" applyFill="1" applyBorder="1" applyAlignment="1">
      <alignment vertical="center" wrapText="1"/>
    </xf>
    <xf numFmtId="0" fontId="5" fillId="0" borderId="12" xfId="0" applyFont="1" applyFill="1" applyBorder="1" applyAlignment="1">
      <alignment vertical="center" wrapText="1"/>
    </xf>
    <xf numFmtId="0" fontId="5" fillId="0" borderId="6" xfId="0" applyFont="1" applyFill="1" applyBorder="1" applyAlignment="1">
      <alignment vertical="top" wrapText="1" shrinkToFit="1"/>
    </xf>
    <xf numFmtId="0" fontId="5" fillId="0" borderId="12" xfId="0" applyFont="1" applyFill="1" applyBorder="1" applyAlignment="1">
      <alignment vertical="top" wrapText="1" shrinkToFit="1"/>
    </xf>
    <xf numFmtId="0" fontId="4" fillId="0" borderId="2" xfId="1" applyBorder="1" applyAlignment="1">
      <alignment horizontal="center" vertical="center" shrinkToFit="1"/>
    </xf>
    <xf numFmtId="0" fontId="32" fillId="0" borderId="3" xfId="1" applyFont="1" applyBorder="1" applyAlignment="1">
      <alignment horizontal="center" vertical="center" shrinkToFit="1"/>
    </xf>
    <xf numFmtId="0" fontId="32" fillId="0" borderId="4" xfId="1" applyFont="1" applyBorder="1" applyAlignment="1">
      <alignment horizontal="center" vertical="center" shrinkToFit="1"/>
    </xf>
    <xf numFmtId="0" fontId="5" fillId="0" borderId="17" xfId="0" applyFont="1" applyFill="1" applyBorder="1" applyAlignment="1">
      <alignment vertical="center" wrapText="1"/>
    </xf>
    <xf numFmtId="0" fontId="5" fillId="0" borderId="18" xfId="0" applyFont="1" applyFill="1" applyBorder="1" applyAlignment="1">
      <alignment vertical="center" wrapText="1"/>
    </xf>
    <xf numFmtId="0" fontId="5" fillId="0" borderId="20" xfId="0" applyFont="1" applyFill="1" applyBorder="1" applyAlignment="1">
      <alignment vertical="top" wrapText="1" shrinkToFit="1"/>
    </xf>
    <xf numFmtId="0" fontId="5" fillId="0" borderId="18" xfId="0" applyFont="1" applyFill="1" applyBorder="1" applyAlignment="1">
      <alignment vertical="top" wrapText="1" shrinkToFit="1"/>
    </xf>
    <xf numFmtId="0" fontId="5" fillId="0" borderId="19" xfId="0" applyFont="1" applyFill="1" applyBorder="1" applyAlignment="1">
      <alignment vertical="center" wrapText="1"/>
    </xf>
    <xf numFmtId="0" fontId="5" fillId="0" borderId="20" xfId="0" applyFont="1" applyFill="1" applyBorder="1" applyAlignment="1">
      <alignment vertical="center" wrapText="1"/>
    </xf>
    <xf numFmtId="0" fontId="20" fillId="0" borderId="20" xfId="0" applyFont="1" applyFill="1" applyBorder="1" applyAlignment="1">
      <alignment vertical="top" wrapText="1" shrinkToFit="1"/>
    </xf>
    <xf numFmtId="0" fontId="5" fillId="0" borderId="17" xfId="0" applyFont="1" applyBorder="1" applyAlignment="1">
      <alignment vertical="center" wrapText="1"/>
    </xf>
    <xf numFmtId="0" fontId="5" fillId="0" borderId="18" xfId="0" applyFont="1" applyBorder="1" applyAlignment="1">
      <alignment vertical="center" wrapText="1"/>
    </xf>
    <xf numFmtId="0" fontId="5" fillId="0" borderId="19" xfId="0" applyFont="1" applyFill="1" applyBorder="1" applyAlignment="1">
      <alignment vertical="top" wrapText="1" shrinkToFit="1"/>
    </xf>
    <xf numFmtId="0" fontId="5" fillId="0" borderId="17" xfId="0" applyFont="1" applyBorder="1">
      <alignment vertical="center"/>
    </xf>
    <xf numFmtId="0" fontId="17" fillId="0" borderId="18" xfId="0" applyFont="1" applyBorder="1">
      <alignment vertical="center"/>
    </xf>
    <xf numFmtId="0" fontId="20" fillId="0" borderId="19" xfId="0" applyFont="1" applyBorder="1" applyAlignment="1">
      <alignment vertical="top" wrapText="1" shrinkToFit="1"/>
    </xf>
    <xf numFmtId="0" fontId="5" fillId="0" borderId="20" xfId="0" applyFont="1" applyBorder="1" applyAlignment="1">
      <alignment vertical="top" wrapText="1" shrinkToFit="1"/>
    </xf>
    <xf numFmtId="0" fontId="5" fillId="0" borderId="18" xfId="0" applyFont="1" applyBorder="1" applyAlignment="1">
      <alignment vertical="top" wrapText="1" shrinkToFit="1"/>
    </xf>
  </cellXfs>
  <cellStyles count="3">
    <cellStyle name="どちらでもない" xfId="2" builtinId="28"/>
    <cellStyle name="ハイパーリンク" xfId="1" builtinId="8"/>
    <cellStyle name="標準" xfId="0" builtinId="0"/>
  </cellStyles>
  <dxfs count="0"/>
  <tableStyles count="0" defaultTableStyle="TableStyleMedium9"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yoho@ab.mie-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cemds.mie-u.ac.jp/folde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emds.mie-u.ac.jp/folder/check/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topLeftCell="A16" zoomScaleNormal="100" zoomScaleSheetLayoutView="100" workbookViewId="0">
      <selection activeCell="Q37" sqref="Q37"/>
    </sheetView>
  </sheetViews>
  <sheetFormatPr defaultColWidth="9" defaultRowHeight="18.75" customHeight="1" x14ac:dyDescent="0.15"/>
  <cols>
    <col min="1" max="1" width="3.375" style="7" customWidth="1"/>
    <col min="2" max="2" width="11.125" style="7" customWidth="1"/>
    <col min="3" max="8" width="6.625" style="7" customWidth="1"/>
    <col min="9" max="9" width="3.375" style="7" customWidth="1"/>
    <col min="10" max="10" width="10" style="7" customWidth="1"/>
    <col min="11" max="11" width="3.375" style="7" customWidth="1"/>
    <col min="12" max="12" width="7.75" style="7" customWidth="1"/>
    <col min="13" max="13" width="3.375" style="7" customWidth="1"/>
    <col min="14" max="14" width="4.5" style="7" customWidth="1"/>
    <col min="15" max="15" width="9" style="21"/>
    <col min="16" max="16384" width="9" style="6"/>
  </cols>
  <sheetData>
    <row r="1" spans="1:15" ht="24" customHeight="1" x14ac:dyDescent="0.15">
      <c r="M1" s="162" t="s">
        <v>25</v>
      </c>
      <c r="N1" s="162"/>
    </row>
    <row r="2" spans="1:15" ht="24" customHeight="1" x14ac:dyDescent="0.15">
      <c r="A2" s="171" t="s">
        <v>83</v>
      </c>
      <c r="B2" s="171"/>
      <c r="C2" s="171"/>
      <c r="D2" s="171"/>
      <c r="E2" s="171"/>
      <c r="F2" s="171"/>
      <c r="G2" s="171"/>
      <c r="H2" s="171"/>
      <c r="I2" s="171"/>
      <c r="J2" s="171"/>
      <c r="K2" s="171"/>
      <c r="L2" s="171"/>
      <c r="M2" s="171"/>
      <c r="N2" s="171"/>
    </row>
    <row r="3" spans="1:15" ht="24" customHeight="1" x14ac:dyDescent="0.15"/>
    <row r="4" spans="1:15" ht="24" customHeight="1" x14ac:dyDescent="0.15">
      <c r="A4" s="7" t="s">
        <v>6</v>
      </c>
      <c r="B4" s="8" t="s">
        <v>16</v>
      </c>
      <c r="C4" s="165" t="s">
        <v>163</v>
      </c>
      <c r="D4" s="166"/>
      <c r="E4" s="166"/>
      <c r="F4" s="166"/>
      <c r="G4" s="166"/>
      <c r="H4" s="166"/>
      <c r="I4" s="166"/>
      <c r="J4" s="166"/>
      <c r="K4" s="166"/>
      <c r="L4" s="166"/>
      <c r="M4" s="166"/>
      <c r="N4" s="167"/>
      <c r="O4" s="21" t="str">
        <f>IF(C4="","入力してください","")</f>
        <v/>
      </c>
    </row>
    <row r="5" spans="1:15" ht="7.5" customHeight="1" x14ac:dyDescent="0.15">
      <c r="B5" s="8"/>
      <c r="C5" s="8"/>
      <c r="D5" s="8"/>
      <c r="E5" s="9"/>
      <c r="F5" s="25"/>
      <c r="G5" s="25"/>
      <c r="H5" s="25"/>
      <c r="I5" s="25"/>
      <c r="J5" s="25"/>
      <c r="K5" s="25"/>
      <c r="L5" s="25"/>
      <c r="M5" s="25"/>
      <c r="N5" s="25"/>
    </row>
    <row r="6" spans="1:15" ht="24" customHeight="1" x14ac:dyDescent="0.15">
      <c r="A6" s="7" t="s">
        <v>48</v>
      </c>
      <c r="B6" s="8" t="s">
        <v>49</v>
      </c>
      <c r="C6" s="8"/>
      <c r="D6" s="172" t="s">
        <v>185</v>
      </c>
      <c r="E6" s="173"/>
      <c r="F6" s="173"/>
      <c r="G6" s="173"/>
      <c r="H6" s="173"/>
      <c r="I6" s="10" t="s">
        <v>86</v>
      </c>
      <c r="J6" s="25" t="s">
        <v>87</v>
      </c>
      <c r="K6" s="165" t="s">
        <v>147</v>
      </c>
      <c r="L6" s="166"/>
      <c r="M6" s="166"/>
      <c r="N6" s="167"/>
    </row>
    <row r="7" spans="1:15" ht="7.5" customHeight="1" x14ac:dyDescent="0.15">
      <c r="B7" s="8"/>
      <c r="C7" s="8"/>
      <c r="D7" s="8"/>
      <c r="E7" s="9"/>
      <c r="F7" s="25"/>
      <c r="G7" s="25"/>
      <c r="H7" s="25"/>
      <c r="I7" s="25"/>
      <c r="J7" s="25"/>
      <c r="K7" s="25"/>
      <c r="L7" s="25"/>
      <c r="M7" s="25"/>
      <c r="N7" s="25"/>
    </row>
    <row r="8" spans="1:15" ht="24" customHeight="1" x14ac:dyDescent="0.15">
      <c r="A8" s="7" t="s">
        <v>13</v>
      </c>
      <c r="B8" s="8" t="s">
        <v>45</v>
      </c>
      <c r="C8" s="165" t="s">
        <v>148</v>
      </c>
      <c r="D8" s="166"/>
      <c r="E8" s="166"/>
      <c r="F8" s="166"/>
      <c r="G8" s="166"/>
      <c r="H8" s="166"/>
      <c r="I8" s="166"/>
      <c r="J8" s="166"/>
      <c r="K8" s="166"/>
      <c r="L8" s="166"/>
      <c r="M8" s="166"/>
      <c r="N8" s="167"/>
      <c r="O8" s="21" t="str">
        <f>IF(C8="","入力してください","")</f>
        <v/>
      </c>
    </row>
    <row r="9" spans="1:15" ht="7.5" customHeight="1" x14ac:dyDescent="0.15">
      <c r="B9" s="8"/>
      <c r="C9" s="8"/>
      <c r="D9" s="8"/>
      <c r="E9" s="9"/>
      <c r="F9" s="25"/>
      <c r="G9" s="25"/>
      <c r="H9" s="25"/>
      <c r="I9" s="25"/>
      <c r="J9" s="25"/>
      <c r="K9" s="25"/>
      <c r="L9" s="25"/>
      <c r="M9" s="25"/>
      <c r="N9" s="25"/>
    </row>
    <row r="10" spans="1:15" ht="24" customHeight="1" x14ac:dyDescent="0.15">
      <c r="A10" s="7" t="s">
        <v>11</v>
      </c>
      <c r="B10" s="8" t="s">
        <v>85</v>
      </c>
      <c r="C10" s="8"/>
      <c r="D10" s="8"/>
      <c r="E10" s="150" t="s">
        <v>166</v>
      </c>
      <c r="F10" s="151"/>
      <c r="G10" s="151"/>
      <c r="H10" s="151"/>
      <c r="I10" s="151"/>
      <c r="J10" s="151"/>
      <c r="K10" s="151"/>
      <c r="L10" s="151"/>
      <c r="M10" s="151"/>
      <c r="N10" s="158"/>
      <c r="O10" s="21" t="str">
        <f>IF(E10="","入力してください","")</f>
        <v/>
      </c>
    </row>
    <row r="11" spans="1:15" ht="7.5" customHeight="1" x14ac:dyDescent="0.15">
      <c r="B11" s="9"/>
      <c r="C11" s="9"/>
      <c r="D11" s="9"/>
      <c r="E11" s="9"/>
      <c r="F11" s="25"/>
      <c r="G11" s="25"/>
      <c r="H11" s="25"/>
      <c r="I11" s="25"/>
      <c r="J11" s="25"/>
      <c r="K11" s="25"/>
      <c r="L11" s="25"/>
      <c r="M11" s="25"/>
      <c r="N11" s="25"/>
    </row>
    <row r="12" spans="1:15" ht="24" customHeight="1" x14ac:dyDescent="0.15">
      <c r="A12" s="7" t="s">
        <v>58</v>
      </c>
      <c r="B12" s="9" t="s">
        <v>59</v>
      </c>
      <c r="C12" s="9"/>
      <c r="D12" s="9"/>
      <c r="E12" s="174" t="s">
        <v>164</v>
      </c>
      <c r="F12" s="175"/>
      <c r="G12" s="10" t="s">
        <v>96</v>
      </c>
      <c r="H12" s="7" t="s">
        <v>97</v>
      </c>
      <c r="N12" s="94" t="s">
        <v>149</v>
      </c>
      <c r="O12" s="21" t="str">
        <f>IF(E12="","入力してください","")</f>
        <v/>
      </c>
    </row>
    <row r="13" spans="1:15" ht="7.5" customHeight="1" x14ac:dyDescent="0.15">
      <c r="B13" s="9"/>
      <c r="C13" s="9"/>
      <c r="D13" s="9"/>
      <c r="E13" s="9"/>
      <c r="F13" s="25"/>
      <c r="G13" s="25"/>
      <c r="H13" s="25"/>
      <c r="I13" s="25"/>
      <c r="J13" s="25"/>
      <c r="K13" s="25"/>
      <c r="L13" s="25"/>
      <c r="M13" s="25"/>
      <c r="N13" s="25"/>
    </row>
    <row r="14" spans="1:15" ht="24" customHeight="1" x14ac:dyDescent="0.15">
      <c r="A14" s="7" t="s">
        <v>53</v>
      </c>
      <c r="B14" s="7" t="s">
        <v>0</v>
      </c>
      <c r="C14" s="163" t="s">
        <v>5</v>
      </c>
      <c r="D14" s="164"/>
      <c r="E14" s="168">
        <v>786</v>
      </c>
      <c r="F14" s="170"/>
      <c r="G14" s="11" t="s">
        <v>7</v>
      </c>
      <c r="I14" s="163" t="s">
        <v>8</v>
      </c>
      <c r="J14" s="164"/>
      <c r="K14" s="168">
        <v>567</v>
      </c>
      <c r="L14" s="169"/>
      <c r="M14" s="170"/>
      <c r="N14" s="12" t="s">
        <v>7</v>
      </c>
      <c r="O14" s="21" t="str">
        <f>IF(OR(E14="",K14=""),"入力してください","")</f>
        <v/>
      </c>
    </row>
    <row r="15" spans="1:15" ht="7.5" customHeight="1" x14ac:dyDescent="0.15">
      <c r="F15" s="13"/>
      <c r="G15" s="13"/>
      <c r="H15" s="13"/>
      <c r="I15" s="13"/>
      <c r="J15" s="13"/>
      <c r="K15" s="13"/>
      <c r="L15" s="13"/>
      <c r="M15" s="12"/>
      <c r="N15" s="12"/>
    </row>
    <row r="16" spans="1:15" ht="24" customHeight="1" x14ac:dyDescent="0.15">
      <c r="A16" s="7" t="s">
        <v>60</v>
      </c>
      <c r="B16" s="7" t="s">
        <v>70</v>
      </c>
      <c r="F16" s="13"/>
      <c r="G16" s="13"/>
      <c r="H16" s="13"/>
      <c r="I16" s="13"/>
      <c r="J16" s="13"/>
      <c r="K16" s="142">
        <v>25</v>
      </c>
      <c r="L16" s="143"/>
      <c r="M16" s="144"/>
      <c r="N16" s="12" t="s">
        <v>51</v>
      </c>
      <c r="O16" s="110"/>
    </row>
    <row r="17" spans="1:15" ht="7.5" customHeight="1" x14ac:dyDescent="0.15">
      <c r="F17" s="13"/>
      <c r="G17" s="13"/>
      <c r="H17" s="13"/>
      <c r="I17" s="13"/>
      <c r="J17" s="13"/>
      <c r="K17" s="13"/>
      <c r="L17" s="13"/>
      <c r="M17" s="12"/>
      <c r="N17" s="12"/>
    </row>
    <row r="18" spans="1:15" ht="24" customHeight="1" x14ac:dyDescent="0.15">
      <c r="A18" s="7" t="s">
        <v>24</v>
      </c>
      <c r="B18" s="7" t="s">
        <v>77</v>
      </c>
      <c r="E18" s="155">
        <v>1310</v>
      </c>
      <c r="F18" s="156"/>
      <c r="G18" s="14" t="s">
        <v>21</v>
      </c>
      <c r="H18" s="13"/>
      <c r="K18" s="157"/>
      <c r="L18" s="157"/>
      <c r="M18" s="157"/>
      <c r="N18" s="157"/>
      <c r="O18" s="114"/>
    </row>
    <row r="19" spans="1:15" ht="7.5" customHeight="1" x14ac:dyDescent="0.15">
      <c r="E19" s="3"/>
      <c r="F19" s="13"/>
      <c r="G19" s="13"/>
      <c r="L19" s="24"/>
      <c r="M19" s="24"/>
      <c r="N19" s="15"/>
    </row>
    <row r="20" spans="1:15" ht="24" customHeight="1" x14ac:dyDescent="0.15">
      <c r="A20" s="7" t="s">
        <v>76</v>
      </c>
      <c r="B20" s="7" t="s">
        <v>78</v>
      </c>
      <c r="E20" s="3"/>
      <c r="F20" s="13"/>
      <c r="G20" s="13"/>
      <c r="H20" s="7" t="s">
        <v>52</v>
      </c>
      <c r="J20" s="145">
        <v>5928</v>
      </c>
      <c r="K20" s="146"/>
      <c r="L20" s="147"/>
      <c r="M20" s="24" t="s">
        <v>51</v>
      </c>
      <c r="N20" s="15"/>
      <c r="O20" s="21" t="str">
        <f>IF(J20="","入力してください","")</f>
        <v/>
      </c>
    </row>
    <row r="21" spans="1:15" ht="7.5" customHeight="1" x14ac:dyDescent="0.15">
      <c r="E21" s="3"/>
      <c r="F21" s="13"/>
      <c r="G21" s="13"/>
      <c r="L21" s="24"/>
      <c r="M21" s="24"/>
      <c r="N21" s="15"/>
    </row>
    <row r="22" spans="1:15" ht="24" customHeight="1" x14ac:dyDescent="0.15">
      <c r="B22" s="19" t="s">
        <v>17</v>
      </c>
      <c r="C22" s="155">
        <v>1335</v>
      </c>
      <c r="D22" s="156"/>
      <c r="E22" s="3" t="s">
        <v>22</v>
      </c>
      <c r="F22" s="13"/>
      <c r="G22" s="148" t="s">
        <v>18</v>
      </c>
      <c r="H22" s="148"/>
      <c r="I22" s="155">
        <v>1343</v>
      </c>
      <c r="J22" s="156"/>
      <c r="K22" s="10" t="s">
        <v>22</v>
      </c>
      <c r="M22" s="24"/>
      <c r="N22" s="15"/>
    </row>
    <row r="23" spans="1:15" ht="7.5" customHeight="1" x14ac:dyDescent="0.15">
      <c r="B23" s="19"/>
      <c r="C23" s="4"/>
      <c r="D23" s="4"/>
      <c r="E23" s="3"/>
      <c r="F23" s="13"/>
      <c r="G23" s="24"/>
      <c r="H23" s="24"/>
      <c r="I23" s="4"/>
      <c r="J23" s="4"/>
      <c r="K23" s="10"/>
      <c r="M23" s="24"/>
      <c r="N23" s="15"/>
    </row>
    <row r="24" spans="1:15" ht="24" customHeight="1" x14ac:dyDescent="0.15">
      <c r="B24" s="19" t="s">
        <v>19</v>
      </c>
      <c r="C24" s="155">
        <v>1410</v>
      </c>
      <c r="D24" s="156"/>
      <c r="E24" s="3" t="s">
        <v>22</v>
      </c>
      <c r="F24" s="13"/>
      <c r="G24" s="148" t="s">
        <v>20</v>
      </c>
      <c r="H24" s="148"/>
      <c r="I24" s="155">
        <v>1593</v>
      </c>
      <c r="J24" s="156"/>
      <c r="K24" s="10" t="s">
        <v>22</v>
      </c>
      <c r="M24" s="24"/>
      <c r="N24" s="15"/>
    </row>
    <row r="25" spans="1:15" ht="7.5" customHeight="1" x14ac:dyDescent="0.15">
      <c r="B25" s="19"/>
      <c r="C25" s="4"/>
      <c r="D25" s="4"/>
      <c r="E25" s="3"/>
      <c r="F25" s="13"/>
      <c r="G25" s="24"/>
      <c r="H25" s="24"/>
      <c r="I25" s="4"/>
      <c r="J25" s="4"/>
      <c r="K25" s="10"/>
      <c r="M25" s="24"/>
      <c r="N25" s="15"/>
    </row>
    <row r="26" spans="1:15" ht="24" customHeight="1" x14ac:dyDescent="0.15">
      <c r="B26" s="19" t="s">
        <v>46</v>
      </c>
      <c r="C26" s="155">
        <v>132</v>
      </c>
      <c r="D26" s="156"/>
      <c r="E26" s="3" t="s">
        <v>7</v>
      </c>
      <c r="F26" s="13"/>
      <c r="G26" s="148" t="s">
        <v>47</v>
      </c>
      <c r="H26" s="148"/>
      <c r="I26" s="155">
        <v>115</v>
      </c>
      <c r="J26" s="156"/>
      <c r="K26" s="10" t="s">
        <v>7</v>
      </c>
      <c r="M26" s="24"/>
      <c r="N26" s="15"/>
    </row>
    <row r="27" spans="1:15" ht="7.5" customHeight="1" x14ac:dyDescent="0.15">
      <c r="F27" s="13"/>
      <c r="G27" s="13"/>
      <c r="M27" s="16"/>
      <c r="N27" s="16"/>
    </row>
    <row r="28" spans="1:15" ht="24" customHeight="1" x14ac:dyDescent="0.15">
      <c r="A28" s="7" t="s">
        <v>50</v>
      </c>
      <c r="B28" s="8" t="s">
        <v>75</v>
      </c>
      <c r="C28" s="8"/>
      <c r="D28" s="8"/>
      <c r="E28" s="8"/>
      <c r="F28" s="10"/>
      <c r="G28" s="25"/>
      <c r="H28" s="25"/>
      <c r="I28" s="25"/>
      <c r="J28" s="17"/>
      <c r="K28" s="17"/>
      <c r="L28" s="17"/>
      <c r="M28" s="17"/>
      <c r="N28" s="17"/>
    </row>
    <row r="29" spans="1:15" s="7" customFormat="1" ht="24" customHeight="1" x14ac:dyDescent="0.15">
      <c r="B29" s="149" t="s">
        <v>74</v>
      </c>
      <c r="C29" s="149"/>
      <c r="D29" s="150" t="s">
        <v>170</v>
      </c>
      <c r="E29" s="151"/>
      <c r="F29" s="151"/>
      <c r="G29" s="152" t="s">
        <v>23</v>
      </c>
      <c r="H29" s="153"/>
      <c r="I29" s="154"/>
      <c r="J29" s="177" t="s">
        <v>171</v>
      </c>
      <c r="K29" s="151"/>
      <c r="L29" s="151"/>
      <c r="M29" s="151"/>
      <c r="N29" s="158"/>
      <c r="O29" s="21" t="str">
        <f>IF(OR(D29="",J29=""),"入力してください","")</f>
        <v/>
      </c>
    </row>
    <row r="30" spans="1:15" ht="7.5" customHeight="1" x14ac:dyDescent="0.15">
      <c r="F30" s="13"/>
      <c r="G30" s="13"/>
      <c r="M30" s="16"/>
      <c r="N30" s="16"/>
    </row>
    <row r="31" spans="1:15" ht="24" customHeight="1" x14ac:dyDescent="0.15">
      <c r="A31" s="7" t="s">
        <v>54</v>
      </c>
      <c r="B31" s="8" t="s">
        <v>80</v>
      </c>
      <c r="C31" s="8"/>
      <c r="D31" s="8"/>
      <c r="E31" s="8"/>
      <c r="F31" s="10"/>
      <c r="G31" s="108"/>
      <c r="H31" s="108"/>
      <c r="I31" s="108"/>
      <c r="J31" s="108"/>
      <c r="K31" s="108"/>
      <c r="L31" s="108"/>
      <c r="M31" s="108"/>
      <c r="N31" s="108"/>
    </row>
    <row r="32" spans="1:15" ht="24" customHeight="1" x14ac:dyDescent="0.15">
      <c r="B32" s="159" t="s">
        <v>184</v>
      </c>
      <c r="C32" s="160"/>
      <c r="D32" s="160"/>
      <c r="E32" s="160"/>
      <c r="F32" s="160"/>
      <c r="G32" s="160"/>
      <c r="H32" s="160"/>
      <c r="I32" s="160"/>
      <c r="J32" s="160"/>
      <c r="K32" s="160"/>
      <c r="L32" s="160"/>
      <c r="M32" s="160"/>
      <c r="N32" s="161"/>
      <c r="O32" s="102"/>
    </row>
    <row r="33" spans="1:15" ht="7.5" customHeight="1" x14ac:dyDescent="0.15">
      <c r="B33" s="5"/>
      <c r="C33" s="5"/>
      <c r="D33" s="5"/>
      <c r="E33" s="5"/>
      <c r="F33" s="5"/>
      <c r="G33" s="5"/>
      <c r="H33" s="5"/>
      <c r="I33" s="5"/>
      <c r="J33" s="5"/>
      <c r="K33" s="5"/>
      <c r="L33" s="5"/>
      <c r="M33" s="5"/>
      <c r="N33" s="5"/>
    </row>
    <row r="34" spans="1:15" s="7" customFormat="1" ht="24" customHeight="1" x14ac:dyDescent="0.15">
      <c r="B34" s="153" t="s">
        <v>74</v>
      </c>
      <c r="C34" s="153"/>
      <c r="D34" s="150" t="s">
        <v>161</v>
      </c>
      <c r="E34" s="151"/>
      <c r="F34" s="151"/>
      <c r="G34" s="152" t="s">
        <v>55</v>
      </c>
      <c r="H34" s="153"/>
      <c r="I34" s="154"/>
      <c r="J34" s="150" t="s">
        <v>167</v>
      </c>
      <c r="K34" s="151"/>
      <c r="L34" s="151"/>
      <c r="M34" s="151"/>
      <c r="N34" s="158"/>
      <c r="O34" s="21"/>
    </row>
    <row r="35" spans="1:15" ht="7.5" customHeight="1" x14ac:dyDescent="0.15">
      <c r="B35" s="2"/>
      <c r="C35" s="2"/>
      <c r="D35" s="2"/>
      <c r="E35" s="2"/>
      <c r="F35" s="93"/>
      <c r="G35" s="93"/>
      <c r="H35" s="93"/>
      <c r="I35" s="93"/>
      <c r="J35" s="93"/>
      <c r="K35" s="93"/>
      <c r="L35" s="93"/>
      <c r="M35" s="93"/>
      <c r="N35" s="93"/>
    </row>
    <row r="36" spans="1:15" ht="24" customHeight="1" x14ac:dyDescent="0.15">
      <c r="A36" s="7" t="s">
        <v>61</v>
      </c>
      <c r="B36" s="2" t="s">
        <v>81</v>
      </c>
      <c r="C36" s="2"/>
      <c r="D36" s="2"/>
      <c r="E36" s="2"/>
      <c r="F36" s="2"/>
      <c r="G36" s="2"/>
      <c r="H36" s="2"/>
      <c r="I36" s="2"/>
      <c r="J36" s="2"/>
      <c r="K36" s="2"/>
      <c r="L36" s="2"/>
      <c r="M36" s="99"/>
      <c r="N36" s="99"/>
      <c r="O36" s="101"/>
    </row>
    <row r="37" spans="1:15" ht="24" customHeight="1" x14ac:dyDescent="0.15">
      <c r="B37" s="159" t="s">
        <v>186</v>
      </c>
      <c r="C37" s="160"/>
      <c r="D37" s="160"/>
      <c r="E37" s="160"/>
      <c r="F37" s="160"/>
      <c r="G37" s="160"/>
      <c r="H37" s="160"/>
      <c r="I37" s="160"/>
      <c r="J37" s="160"/>
      <c r="K37" s="160"/>
      <c r="L37" s="160"/>
      <c r="M37" s="160"/>
      <c r="N37" s="161"/>
    </row>
    <row r="38" spans="1:15" ht="7.5" customHeight="1" x14ac:dyDescent="0.15">
      <c r="B38" s="2"/>
      <c r="C38" s="2"/>
      <c r="D38" s="2"/>
      <c r="E38" s="2"/>
      <c r="F38" s="93"/>
      <c r="G38" s="93"/>
      <c r="H38" s="93"/>
      <c r="I38" s="93"/>
      <c r="J38" s="93"/>
      <c r="K38" s="93"/>
      <c r="L38" s="93"/>
      <c r="M38" s="93"/>
      <c r="N38" s="93"/>
    </row>
    <row r="39" spans="1:15" s="7" customFormat="1" ht="24" customHeight="1" x14ac:dyDescent="0.15">
      <c r="B39" s="153" t="s">
        <v>74</v>
      </c>
      <c r="C39" s="153"/>
      <c r="D39" s="150" t="s">
        <v>162</v>
      </c>
      <c r="E39" s="151"/>
      <c r="F39" s="151"/>
      <c r="G39" s="152" t="s">
        <v>55</v>
      </c>
      <c r="H39" s="153"/>
      <c r="I39" s="154"/>
      <c r="J39" s="150" t="s">
        <v>165</v>
      </c>
      <c r="K39" s="151"/>
      <c r="L39" s="151"/>
      <c r="M39" s="151"/>
      <c r="N39" s="158"/>
      <c r="O39" s="21"/>
    </row>
    <row r="40" spans="1:15" ht="7.5" customHeight="1" x14ac:dyDescent="0.15">
      <c r="F40" s="25"/>
      <c r="G40" s="25"/>
      <c r="H40" s="25"/>
      <c r="I40" s="25"/>
      <c r="J40" s="25"/>
      <c r="K40" s="25"/>
      <c r="L40" s="25"/>
      <c r="M40" s="25"/>
      <c r="N40" s="25"/>
    </row>
    <row r="41" spans="1:15" ht="24" customHeight="1" x14ac:dyDescent="0.15">
      <c r="A41" s="7" t="s">
        <v>88</v>
      </c>
      <c r="B41" s="56" t="s">
        <v>69</v>
      </c>
      <c r="E41" s="57"/>
      <c r="F41" s="165" t="s">
        <v>202</v>
      </c>
      <c r="G41" s="166"/>
      <c r="H41" s="166"/>
      <c r="I41" s="166"/>
      <c r="J41" s="166"/>
      <c r="K41" s="166"/>
      <c r="L41" s="166"/>
      <c r="M41" s="166"/>
      <c r="N41" s="167"/>
    </row>
    <row r="42" spans="1:15" ht="7.5" customHeight="1" x14ac:dyDescent="0.15">
      <c r="F42" s="25"/>
      <c r="G42" s="25"/>
      <c r="H42" s="25"/>
      <c r="I42" s="25"/>
      <c r="J42" s="25"/>
      <c r="K42" s="25"/>
      <c r="L42" s="25"/>
      <c r="M42" s="25"/>
      <c r="N42" s="25"/>
    </row>
    <row r="43" spans="1:15" ht="24" customHeight="1" x14ac:dyDescent="0.15">
      <c r="A43" s="7" t="s">
        <v>98</v>
      </c>
    </row>
    <row r="44" spans="1:15" ht="24" customHeight="1" x14ac:dyDescent="0.15">
      <c r="B44" s="20" t="s">
        <v>1</v>
      </c>
      <c r="C44" s="176" t="s">
        <v>180</v>
      </c>
      <c r="D44" s="176"/>
      <c r="E44" s="176"/>
      <c r="F44" s="176"/>
      <c r="G44" s="176"/>
      <c r="H44" s="176"/>
      <c r="I44" s="123" t="s">
        <v>2</v>
      </c>
      <c r="J44" s="123"/>
      <c r="K44" s="176" t="s">
        <v>181</v>
      </c>
      <c r="L44" s="176"/>
      <c r="M44" s="176"/>
      <c r="N44" s="176"/>
    </row>
    <row r="45" spans="1:15" ht="24" customHeight="1" x14ac:dyDescent="0.15">
      <c r="B45" s="18" t="s">
        <v>4</v>
      </c>
      <c r="C45" s="176" t="s">
        <v>182</v>
      </c>
      <c r="D45" s="176"/>
      <c r="E45" s="176"/>
      <c r="F45" s="176"/>
      <c r="G45" s="176"/>
      <c r="H45" s="176"/>
      <c r="I45" s="123" t="s">
        <v>3</v>
      </c>
      <c r="J45" s="123"/>
      <c r="K45" s="176" t="s">
        <v>183</v>
      </c>
      <c r="L45" s="176"/>
      <c r="M45" s="176"/>
      <c r="N45" s="176"/>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98"/>
  <sheetViews>
    <sheetView showZeros="0" tabSelected="1" view="pageBreakPreview" topLeftCell="A91" zoomScaleNormal="100" zoomScaleSheetLayoutView="100" workbookViewId="0">
      <selection activeCell="O45" sqref="O45"/>
    </sheetView>
  </sheetViews>
  <sheetFormatPr defaultColWidth="9" defaultRowHeight="18.75" customHeight="1" x14ac:dyDescent="0.15"/>
  <cols>
    <col min="1" max="1" width="2.5" style="6" customWidth="1"/>
    <col min="2" max="2" width="27.7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7" ht="15" customHeight="1" x14ac:dyDescent="0.15">
      <c r="W1" s="214" t="s">
        <v>113</v>
      </c>
      <c r="X1" s="214"/>
      <c r="Y1" s="214"/>
      <c r="Z1" s="214"/>
    </row>
    <row r="2" spans="1:27" ht="18" customHeight="1" x14ac:dyDescent="0.15">
      <c r="A2" s="255" t="s">
        <v>67</v>
      </c>
      <c r="B2" s="255"/>
      <c r="C2" s="255"/>
      <c r="D2" s="255"/>
      <c r="E2" s="255"/>
      <c r="F2" s="255"/>
      <c r="G2" s="255"/>
      <c r="H2" s="255"/>
      <c r="I2" s="255"/>
      <c r="J2" s="255"/>
      <c r="K2" s="255"/>
      <c r="L2" s="255"/>
      <c r="M2" s="255"/>
      <c r="N2" s="255"/>
      <c r="O2" s="255"/>
      <c r="P2" s="255"/>
      <c r="Q2" s="255"/>
      <c r="R2" s="255"/>
      <c r="S2" s="255"/>
      <c r="T2" s="255"/>
      <c r="U2" s="255"/>
      <c r="V2" s="255"/>
      <c r="W2" s="255"/>
      <c r="X2" s="255"/>
      <c r="Y2" s="255"/>
      <c r="Z2" s="255"/>
    </row>
    <row r="3" spans="1:27" ht="15" customHeight="1" x14ac:dyDescent="0.15">
      <c r="B3" s="19"/>
      <c r="C3" s="19"/>
      <c r="D3" s="19"/>
      <c r="E3" s="19"/>
      <c r="F3" s="19"/>
      <c r="G3" s="19"/>
      <c r="H3" s="19"/>
      <c r="I3" s="19"/>
      <c r="J3" s="19"/>
      <c r="K3" s="19"/>
      <c r="L3" s="19"/>
      <c r="M3" s="19"/>
      <c r="N3" s="19"/>
      <c r="O3" s="19"/>
      <c r="P3" s="19"/>
      <c r="Q3" s="19"/>
      <c r="R3" s="19"/>
      <c r="S3" s="19"/>
      <c r="T3" s="19"/>
      <c r="U3" s="19"/>
      <c r="V3" s="19"/>
      <c r="W3" s="19"/>
      <c r="X3" s="19"/>
      <c r="Y3" s="19"/>
      <c r="Z3" s="19"/>
    </row>
    <row r="4" spans="1:27" ht="18" customHeight="1" x14ac:dyDescent="0.15">
      <c r="A4" s="6" t="s">
        <v>99</v>
      </c>
      <c r="B4" s="19"/>
      <c r="C4" s="19"/>
      <c r="D4" s="19"/>
      <c r="E4" s="19"/>
      <c r="F4" s="19"/>
      <c r="G4" s="19"/>
      <c r="H4" s="8" t="s">
        <v>112</v>
      </c>
      <c r="I4" s="19"/>
      <c r="J4" s="19"/>
      <c r="K4" s="19"/>
      <c r="L4" s="19"/>
      <c r="M4" s="19"/>
      <c r="N4" s="19"/>
      <c r="O4" s="142" t="s">
        <v>150</v>
      </c>
      <c r="P4" s="143"/>
      <c r="Q4" s="143"/>
      <c r="R4" s="143"/>
      <c r="S4" s="143"/>
      <c r="T4" s="143"/>
      <c r="U4" s="143"/>
      <c r="V4" s="143"/>
      <c r="W4" s="143"/>
      <c r="X4" s="143"/>
      <c r="Y4" s="143"/>
      <c r="Z4" s="144"/>
    </row>
    <row r="5" spans="1:27" ht="6" customHeight="1" x14ac:dyDescent="0.15">
      <c r="B5" s="19"/>
      <c r="C5" s="19"/>
      <c r="D5" s="19"/>
      <c r="E5" s="19"/>
      <c r="F5" s="19"/>
      <c r="G5" s="19"/>
      <c r="H5" s="19"/>
      <c r="I5" s="19"/>
      <c r="J5" s="19"/>
      <c r="K5" s="19"/>
      <c r="L5" s="19"/>
      <c r="M5" s="19"/>
      <c r="N5" s="19"/>
      <c r="O5" s="9"/>
      <c r="P5" s="19"/>
      <c r="Q5" s="19"/>
      <c r="R5" s="19"/>
      <c r="S5" s="19"/>
      <c r="T5" s="19"/>
      <c r="U5" s="19"/>
      <c r="V5" s="19"/>
      <c r="W5" s="19"/>
      <c r="X5" s="19"/>
      <c r="Y5" s="19"/>
      <c r="Z5" s="19"/>
    </row>
    <row r="6" spans="1:27" ht="18" customHeight="1" x14ac:dyDescent="0.15">
      <c r="B6" s="256" t="s">
        <v>206</v>
      </c>
      <c r="C6" s="257"/>
      <c r="D6" s="257"/>
      <c r="E6" s="257"/>
      <c r="F6" s="257"/>
      <c r="G6" s="257"/>
      <c r="H6" s="257"/>
      <c r="I6" s="257"/>
      <c r="J6" s="257"/>
      <c r="K6" s="257"/>
      <c r="L6" s="257"/>
      <c r="M6" s="257"/>
      <c r="N6" s="257"/>
      <c r="O6" s="257"/>
      <c r="P6" s="257"/>
      <c r="Q6" s="257"/>
      <c r="R6" s="257"/>
      <c r="S6" s="257"/>
      <c r="T6" s="257"/>
      <c r="U6" s="257"/>
      <c r="V6" s="257"/>
      <c r="W6" s="257"/>
      <c r="X6" s="257"/>
      <c r="Y6" s="257"/>
      <c r="Z6" s="258"/>
      <c r="AA6" s="107"/>
    </row>
    <row r="7" spans="1:27" ht="18" customHeight="1" x14ac:dyDescent="0.15">
      <c r="B7" s="259"/>
      <c r="C7" s="260"/>
      <c r="D7" s="260"/>
      <c r="E7" s="260"/>
      <c r="F7" s="260"/>
      <c r="G7" s="260"/>
      <c r="H7" s="260"/>
      <c r="I7" s="260"/>
      <c r="J7" s="260"/>
      <c r="K7" s="260"/>
      <c r="L7" s="260"/>
      <c r="M7" s="260"/>
      <c r="N7" s="260"/>
      <c r="O7" s="260"/>
      <c r="P7" s="260"/>
      <c r="Q7" s="260"/>
      <c r="R7" s="260"/>
      <c r="S7" s="260"/>
      <c r="T7" s="260"/>
      <c r="U7" s="260"/>
      <c r="V7" s="260"/>
      <c r="W7" s="260"/>
      <c r="X7" s="260"/>
      <c r="Y7" s="260"/>
      <c r="Z7" s="261"/>
    </row>
    <row r="8" spans="1:27" ht="18" customHeight="1" x14ac:dyDescent="0.15">
      <c r="B8" s="259"/>
      <c r="C8" s="260"/>
      <c r="D8" s="260"/>
      <c r="E8" s="260"/>
      <c r="F8" s="260"/>
      <c r="G8" s="260"/>
      <c r="H8" s="260"/>
      <c r="I8" s="260"/>
      <c r="J8" s="260"/>
      <c r="K8" s="260"/>
      <c r="L8" s="260"/>
      <c r="M8" s="260"/>
      <c r="N8" s="260"/>
      <c r="O8" s="260"/>
      <c r="P8" s="260"/>
      <c r="Q8" s="260"/>
      <c r="R8" s="260"/>
      <c r="S8" s="260"/>
      <c r="T8" s="260"/>
      <c r="U8" s="260"/>
      <c r="V8" s="260"/>
      <c r="W8" s="260"/>
      <c r="X8" s="260"/>
      <c r="Y8" s="260"/>
      <c r="Z8" s="261"/>
      <c r="AA8" s="111"/>
    </row>
    <row r="9" spans="1:27" ht="18" customHeight="1" x14ac:dyDescent="0.15">
      <c r="B9" s="259"/>
      <c r="C9" s="260"/>
      <c r="D9" s="260"/>
      <c r="E9" s="260"/>
      <c r="F9" s="260"/>
      <c r="G9" s="260"/>
      <c r="H9" s="260"/>
      <c r="I9" s="260"/>
      <c r="J9" s="260"/>
      <c r="K9" s="260"/>
      <c r="L9" s="260"/>
      <c r="M9" s="260"/>
      <c r="N9" s="260"/>
      <c r="O9" s="260"/>
      <c r="P9" s="260"/>
      <c r="Q9" s="260"/>
      <c r="R9" s="260"/>
      <c r="S9" s="260"/>
      <c r="T9" s="260"/>
      <c r="U9" s="260"/>
      <c r="V9" s="260"/>
      <c r="W9" s="260"/>
      <c r="X9" s="260"/>
      <c r="Y9" s="260"/>
      <c r="Z9" s="261"/>
      <c r="AA9" s="115"/>
    </row>
    <row r="10" spans="1:27" ht="18" customHeight="1" x14ac:dyDescent="0.15">
      <c r="B10" s="259"/>
      <c r="C10" s="262"/>
      <c r="D10" s="262"/>
      <c r="E10" s="262"/>
      <c r="F10" s="262"/>
      <c r="G10" s="262"/>
      <c r="H10" s="262"/>
      <c r="I10" s="262"/>
      <c r="J10" s="262"/>
      <c r="K10" s="262"/>
      <c r="L10" s="262"/>
      <c r="M10" s="262"/>
      <c r="N10" s="262"/>
      <c r="O10" s="262"/>
      <c r="P10" s="262"/>
      <c r="Q10" s="262"/>
      <c r="R10" s="262"/>
      <c r="S10" s="262"/>
      <c r="T10" s="262"/>
      <c r="U10" s="262"/>
      <c r="V10" s="262"/>
      <c r="W10" s="262"/>
      <c r="X10" s="262"/>
      <c r="Y10" s="262"/>
      <c r="Z10" s="261"/>
    </row>
    <row r="11" spans="1:27" ht="18" customHeight="1" x14ac:dyDescent="0.15">
      <c r="B11" s="263"/>
      <c r="C11" s="264"/>
      <c r="D11" s="264"/>
      <c r="E11" s="264"/>
      <c r="F11" s="264"/>
      <c r="G11" s="264"/>
      <c r="H11" s="264"/>
      <c r="I11" s="264"/>
      <c r="J11" s="264"/>
      <c r="K11" s="264"/>
      <c r="L11" s="264"/>
      <c r="M11" s="264"/>
      <c r="N11" s="264"/>
      <c r="O11" s="264"/>
      <c r="P11" s="264"/>
      <c r="Q11" s="264"/>
      <c r="R11" s="264"/>
      <c r="S11" s="264"/>
      <c r="T11" s="264"/>
      <c r="U11" s="264"/>
      <c r="V11" s="264"/>
      <c r="W11" s="264"/>
      <c r="X11" s="264"/>
      <c r="Y11" s="264"/>
      <c r="Z11" s="265"/>
    </row>
    <row r="12" spans="1:27" ht="7.5" customHeight="1" x14ac:dyDescent="0.15">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7" ht="18" customHeight="1" x14ac:dyDescent="0.15">
      <c r="A13" s="254" t="s">
        <v>124</v>
      </c>
      <c r="B13" s="254"/>
      <c r="C13" s="254"/>
      <c r="D13" s="254"/>
      <c r="E13" s="254"/>
      <c r="F13" s="254"/>
      <c r="G13" s="254"/>
      <c r="H13" s="254"/>
      <c r="I13" s="254"/>
      <c r="J13" s="254"/>
      <c r="K13" s="254"/>
      <c r="L13" s="254"/>
      <c r="M13" s="254"/>
      <c r="N13" s="254"/>
      <c r="O13" s="254"/>
      <c r="P13" s="254"/>
      <c r="Q13" s="254"/>
      <c r="R13" s="254"/>
      <c r="S13" s="254"/>
      <c r="T13" s="254"/>
      <c r="U13" s="254"/>
      <c r="V13" s="254"/>
      <c r="W13" s="254"/>
      <c r="X13" s="254"/>
      <c r="Y13" s="254"/>
      <c r="Z13" s="254"/>
    </row>
    <row r="14" spans="1:27" ht="18" customHeight="1" x14ac:dyDescent="0.15">
      <c r="A14" s="254"/>
      <c r="B14" s="254"/>
      <c r="C14" s="254"/>
      <c r="D14" s="254"/>
      <c r="E14" s="254"/>
      <c r="F14" s="254"/>
      <c r="G14" s="254"/>
      <c r="H14" s="254"/>
      <c r="I14" s="254"/>
      <c r="J14" s="254"/>
      <c r="K14" s="254"/>
      <c r="L14" s="254"/>
      <c r="M14" s="254"/>
      <c r="N14" s="254"/>
      <c r="O14" s="254"/>
      <c r="P14" s="254"/>
      <c r="Q14" s="254"/>
      <c r="R14" s="254"/>
      <c r="S14" s="254"/>
      <c r="T14" s="254"/>
      <c r="U14" s="254"/>
      <c r="V14" s="254"/>
      <c r="W14" s="254"/>
      <c r="X14" s="254"/>
      <c r="Y14" s="254"/>
      <c r="Z14" s="254"/>
    </row>
    <row r="15" spans="1:27" ht="18" customHeight="1" x14ac:dyDescent="0.15">
      <c r="A15" s="7"/>
      <c r="B15" s="142" t="s">
        <v>100</v>
      </c>
      <c r="C15" s="143"/>
      <c r="D15" s="143"/>
      <c r="E15" s="143"/>
      <c r="F15" s="144"/>
      <c r="G15" s="20" t="s">
        <v>140</v>
      </c>
      <c r="H15" s="89" t="s">
        <v>139</v>
      </c>
      <c r="I15" s="143" t="s">
        <v>101</v>
      </c>
      <c r="J15" s="143"/>
      <c r="K15" s="143"/>
      <c r="L15" s="58" t="s">
        <v>104</v>
      </c>
      <c r="M15" s="58" t="s">
        <v>107</v>
      </c>
      <c r="N15" s="142" t="s">
        <v>100</v>
      </c>
      <c r="O15" s="143"/>
      <c r="P15" s="143"/>
      <c r="Q15" s="143"/>
      <c r="R15" s="143"/>
      <c r="S15" s="144"/>
      <c r="T15" s="20" t="s">
        <v>140</v>
      </c>
      <c r="U15" s="89" t="s">
        <v>139</v>
      </c>
      <c r="V15" s="143" t="s">
        <v>101</v>
      </c>
      <c r="W15" s="143"/>
      <c r="X15" s="143"/>
      <c r="Y15" s="58" t="s">
        <v>104</v>
      </c>
      <c r="Z15" s="58" t="s">
        <v>107</v>
      </c>
    </row>
    <row r="16" spans="1:27" ht="18" customHeight="1" x14ac:dyDescent="0.15">
      <c r="A16" s="7"/>
      <c r="B16" s="215" t="s">
        <v>199</v>
      </c>
      <c r="C16" s="216"/>
      <c r="D16" s="216"/>
      <c r="E16" s="216"/>
      <c r="F16" s="217"/>
      <c r="G16" s="90">
        <v>2</v>
      </c>
      <c r="H16" s="90" t="s">
        <v>152</v>
      </c>
      <c r="I16" s="184" t="s">
        <v>151</v>
      </c>
      <c r="J16" s="185"/>
      <c r="K16" s="186"/>
      <c r="L16" s="90" t="s">
        <v>152</v>
      </c>
      <c r="M16" s="90" t="s">
        <v>152</v>
      </c>
      <c r="N16" s="178"/>
      <c r="O16" s="179"/>
      <c r="P16" s="179"/>
      <c r="Q16" s="179"/>
      <c r="R16" s="179"/>
      <c r="S16" s="180"/>
      <c r="T16" s="90"/>
      <c r="U16" s="90"/>
      <c r="V16" s="184"/>
      <c r="W16" s="185"/>
      <c r="X16" s="186"/>
      <c r="Y16" s="90"/>
      <c r="Z16" s="90"/>
      <c r="AA16" s="110"/>
    </row>
    <row r="17" spans="1:27" ht="18" customHeight="1" x14ac:dyDescent="0.15">
      <c r="A17" s="7"/>
      <c r="B17" s="208" t="s">
        <v>153</v>
      </c>
      <c r="C17" s="209"/>
      <c r="D17" s="209"/>
      <c r="E17" s="209"/>
      <c r="F17" s="210"/>
      <c r="G17" s="91">
        <v>2</v>
      </c>
      <c r="H17" s="91" t="s">
        <v>152</v>
      </c>
      <c r="I17" s="199" t="s">
        <v>151</v>
      </c>
      <c r="J17" s="200"/>
      <c r="K17" s="201"/>
      <c r="L17" s="91" t="s">
        <v>152</v>
      </c>
      <c r="M17" s="91" t="s">
        <v>152</v>
      </c>
      <c r="N17" s="190"/>
      <c r="O17" s="191"/>
      <c r="P17" s="191"/>
      <c r="Q17" s="191"/>
      <c r="R17" s="191"/>
      <c r="S17" s="192"/>
      <c r="T17" s="91"/>
      <c r="U17" s="91"/>
      <c r="V17" s="199"/>
      <c r="W17" s="200"/>
      <c r="X17" s="201"/>
      <c r="Y17" s="91"/>
      <c r="Z17" s="91"/>
      <c r="AA17" s="111"/>
    </row>
    <row r="18" spans="1:27" ht="18" customHeight="1" x14ac:dyDescent="0.15">
      <c r="A18" s="7"/>
      <c r="B18" s="208"/>
      <c r="C18" s="209"/>
      <c r="D18" s="209"/>
      <c r="E18" s="209"/>
      <c r="F18" s="210"/>
      <c r="G18" s="91"/>
      <c r="H18" s="91"/>
      <c r="I18" s="199"/>
      <c r="J18" s="200"/>
      <c r="K18" s="201"/>
      <c r="L18" s="91"/>
      <c r="M18" s="91"/>
      <c r="N18" s="190"/>
      <c r="O18" s="191"/>
      <c r="P18" s="191"/>
      <c r="Q18" s="191"/>
      <c r="R18" s="191"/>
      <c r="S18" s="192"/>
      <c r="T18" s="91"/>
      <c r="U18" s="91"/>
      <c r="V18" s="199"/>
      <c r="W18" s="200"/>
      <c r="X18" s="201"/>
      <c r="Y18" s="91"/>
      <c r="Z18" s="91"/>
      <c r="AA18" s="21"/>
    </row>
    <row r="19" spans="1:27" ht="18" customHeight="1" x14ac:dyDescent="0.15">
      <c r="A19" s="7"/>
      <c r="B19" s="208"/>
      <c r="C19" s="209"/>
      <c r="D19" s="209"/>
      <c r="E19" s="209"/>
      <c r="F19" s="210"/>
      <c r="G19" s="91"/>
      <c r="H19" s="91"/>
      <c r="I19" s="199"/>
      <c r="J19" s="200"/>
      <c r="K19" s="201"/>
      <c r="L19" s="91"/>
      <c r="M19" s="91"/>
      <c r="N19" s="190"/>
      <c r="O19" s="191"/>
      <c r="P19" s="191"/>
      <c r="Q19" s="191"/>
      <c r="R19" s="191"/>
      <c r="S19" s="192"/>
      <c r="T19" s="91"/>
      <c r="U19" s="91"/>
      <c r="V19" s="199"/>
      <c r="W19" s="200"/>
      <c r="X19" s="201"/>
      <c r="Y19" s="91"/>
      <c r="Z19" s="91"/>
      <c r="AA19" s="102"/>
    </row>
    <row r="20" spans="1:27" ht="18" customHeight="1" x14ac:dyDescent="0.15">
      <c r="A20" s="7"/>
      <c r="B20" s="208"/>
      <c r="C20" s="209"/>
      <c r="D20" s="209"/>
      <c r="E20" s="209"/>
      <c r="F20" s="210"/>
      <c r="G20" s="91"/>
      <c r="H20" s="91"/>
      <c r="I20" s="199"/>
      <c r="J20" s="200"/>
      <c r="K20" s="201"/>
      <c r="L20" s="91"/>
      <c r="M20" s="91"/>
      <c r="N20" s="190"/>
      <c r="O20" s="191"/>
      <c r="P20" s="191"/>
      <c r="Q20" s="191"/>
      <c r="R20" s="191"/>
      <c r="S20" s="192"/>
      <c r="T20" s="91"/>
      <c r="U20" s="91"/>
      <c r="V20" s="199"/>
      <c r="W20" s="200"/>
      <c r="X20" s="201"/>
      <c r="Y20" s="91"/>
      <c r="Z20" s="91"/>
    </row>
    <row r="21" spans="1:27" ht="18" customHeight="1" x14ac:dyDescent="0.15">
      <c r="A21" s="19"/>
      <c r="B21" s="208"/>
      <c r="C21" s="209"/>
      <c r="D21" s="209"/>
      <c r="E21" s="209"/>
      <c r="F21" s="210"/>
      <c r="G21" s="91"/>
      <c r="H21" s="91"/>
      <c r="I21" s="199"/>
      <c r="J21" s="200"/>
      <c r="K21" s="201"/>
      <c r="L21" s="91"/>
      <c r="M21" s="91"/>
      <c r="N21" s="190"/>
      <c r="O21" s="191"/>
      <c r="P21" s="191"/>
      <c r="Q21" s="191"/>
      <c r="R21" s="191"/>
      <c r="S21" s="192"/>
      <c r="T21" s="91"/>
      <c r="U21" s="91"/>
      <c r="V21" s="199"/>
      <c r="W21" s="200"/>
      <c r="X21" s="201"/>
      <c r="Y21" s="91"/>
      <c r="Z21" s="91"/>
    </row>
    <row r="22" spans="1:27" ht="18" customHeight="1" x14ac:dyDescent="0.15">
      <c r="A22" s="19"/>
      <c r="B22" s="211"/>
      <c r="C22" s="212"/>
      <c r="D22" s="212"/>
      <c r="E22" s="212"/>
      <c r="F22" s="213"/>
      <c r="G22" s="92"/>
      <c r="H22" s="92"/>
      <c r="I22" s="202"/>
      <c r="J22" s="203"/>
      <c r="K22" s="204"/>
      <c r="L22" s="98"/>
      <c r="M22" s="98"/>
      <c r="N22" s="196"/>
      <c r="O22" s="197"/>
      <c r="P22" s="197"/>
      <c r="Q22" s="197"/>
      <c r="R22" s="197"/>
      <c r="S22" s="198"/>
      <c r="T22" s="92"/>
      <c r="U22" s="92"/>
      <c r="V22" s="202"/>
      <c r="W22" s="203"/>
      <c r="X22" s="204"/>
      <c r="Y22" s="98"/>
      <c r="Z22" s="98"/>
    </row>
    <row r="23" spans="1:27" ht="7.5" customHeight="1" x14ac:dyDescent="0.15">
      <c r="A23" s="19"/>
      <c r="B23" s="59"/>
      <c r="C23" s="59"/>
      <c r="D23" s="19"/>
      <c r="E23" s="19"/>
      <c r="F23" s="19"/>
      <c r="G23" s="19"/>
      <c r="H23" s="19"/>
      <c r="I23" s="19"/>
      <c r="J23" s="19"/>
      <c r="K23" s="19"/>
      <c r="L23" s="59"/>
      <c r="M23" s="59"/>
      <c r="N23" s="59"/>
      <c r="O23" s="59"/>
      <c r="P23" s="59"/>
      <c r="Q23" s="59"/>
      <c r="R23" s="59"/>
      <c r="S23" s="59"/>
      <c r="T23" s="59"/>
      <c r="U23" s="59"/>
      <c r="V23" s="59"/>
      <c r="W23" s="59"/>
      <c r="X23" s="59"/>
      <c r="Y23" s="59"/>
      <c r="Z23" s="19"/>
    </row>
    <row r="24" spans="1:27" ht="18" customHeight="1" x14ac:dyDescent="0.15">
      <c r="A24" s="254" t="s">
        <v>125</v>
      </c>
      <c r="B24" s="254"/>
      <c r="C24" s="254"/>
      <c r="D24" s="254"/>
      <c r="E24" s="254"/>
      <c r="F24" s="254"/>
      <c r="G24" s="254"/>
      <c r="H24" s="254"/>
      <c r="I24" s="254"/>
      <c r="J24" s="254"/>
      <c r="K24" s="254"/>
      <c r="L24" s="254"/>
      <c r="M24" s="254"/>
      <c r="N24" s="254"/>
      <c r="O24" s="254"/>
      <c r="P24" s="254"/>
      <c r="Q24" s="254"/>
      <c r="R24" s="254"/>
      <c r="S24" s="254"/>
      <c r="T24" s="254"/>
      <c r="U24" s="254"/>
      <c r="V24" s="254"/>
      <c r="W24" s="254"/>
      <c r="X24" s="254"/>
      <c r="Y24" s="254"/>
      <c r="Z24" s="254"/>
    </row>
    <row r="25" spans="1:27" ht="18" customHeight="1" x14ac:dyDescent="0.15">
      <c r="A25" s="254"/>
      <c r="B25" s="254"/>
      <c r="C25" s="254"/>
      <c r="D25" s="254"/>
      <c r="E25" s="254"/>
      <c r="F25" s="254"/>
      <c r="G25" s="254"/>
      <c r="H25" s="254"/>
      <c r="I25" s="254"/>
      <c r="J25" s="254"/>
      <c r="K25" s="254"/>
      <c r="L25" s="254"/>
      <c r="M25" s="254"/>
      <c r="N25" s="254"/>
      <c r="O25" s="254"/>
      <c r="P25" s="254"/>
      <c r="Q25" s="254"/>
      <c r="R25" s="254"/>
      <c r="S25" s="254"/>
      <c r="T25" s="254"/>
      <c r="U25" s="254"/>
      <c r="V25" s="254"/>
      <c r="W25" s="254"/>
      <c r="X25" s="254"/>
      <c r="Y25" s="254"/>
      <c r="Z25" s="254"/>
    </row>
    <row r="26" spans="1:27" ht="18" customHeight="1" x14ac:dyDescent="0.15">
      <c r="A26" s="7"/>
      <c r="B26" s="142" t="s">
        <v>100</v>
      </c>
      <c r="C26" s="143"/>
      <c r="D26" s="143"/>
      <c r="E26" s="143"/>
      <c r="F26" s="144"/>
      <c r="G26" s="20" t="s">
        <v>140</v>
      </c>
      <c r="H26" s="89" t="s">
        <v>139</v>
      </c>
      <c r="I26" s="143" t="s">
        <v>101</v>
      </c>
      <c r="J26" s="143"/>
      <c r="K26" s="143"/>
      <c r="L26" s="58" t="s">
        <v>126</v>
      </c>
      <c r="M26" s="58" t="s">
        <v>127</v>
      </c>
      <c r="N26" s="142" t="s">
        <v>100</v>
      </c>
      <c r="O26" s="143"/>
      <c r="P26" s="143"/>
      <c r="Q26" s="143"/>
      <c r="R26" s="143"/>
      <c r="S26" s="144"/>
      <c r="T26" s="20" t="s">
        <v>140</v>
      </c>
      <c r="U26" s="89" t="s">
        <v>139</v>
      </c>
      <c r="V26" s="143" t="s">
        <v>101</v>
      </c>
      <c r="W26" s="143"/>
      <c r="X26" s="143"/>
      <c r="Y26" s="58" t="s">
        <v>126</v>
      </c>
      <c r="Z26" s="58" t="s">
        <v>127</v>
      </c>
    </row>
    <row r="27" spans="1:27" ht="18" customHeight="1" x14ac:dyDescent="0.15">
      <c r="A27" s="7"/>
      <c r="B27" s="215" t="s">
        <v>200</v>
      </c>
      <c r="C27" s="216"/>
      <c r="D27" s="216"/>
      <c r="E27" s="216"/>
      <c r="F27" s="217"/>
      <c r="G27" s="90">
        <v>2</v>
      </c>
      <c r="H27" s="90" t="s">
        <v>152</v>
      </c>
      <c r="I27" s="184" t="s">
        <v>151</v>
      </c>
      <c r="J27" s="185"/>
      <c r="K27" s="186"/>
      <c r="L27" s="90" t="s">
        <v>152</v>
      </c>
      <c r="M27" s="90" t="s">
        <v>152</v>
      </c>
      <c r="N27" s="178"/>
      <c r="O27" s="179"/>
      <c r="P27" s="179"/>
      <c r="Q27" s="179"/>
      <c r="R27" s="179"/>
      <c r="S27" s="180"/>
      <c r="T27" s="90"/>
      <c r="U27" s="90"/>
      <c r="V27" s="184"/>
      <c r="W27" s="185"/>
      <c r="X27" s="186"/>
      <c r="Y27" s="90"/>
      <c r="Z27" s="90"/>
    </row>
    <row r="28" spans="1:27" ht="18" customHeight="1" x14ac:dyDescent="0.15">
      <c r="A28" s="7"/>
      <c r="B28" s="251" t="s">
        <v>203</v>
      </c>
      <c r="C28" s="252"/>
      <c r="D28" s="252"/>
      <c r="E28" s="252"/>
      <c r="F28" s="253"/>
      <c r="G28" s="124">
        <v>2</v>
      </c>
      <c r="H28" s="124" t="s">
        <v>152</v>
      </c>
      <c r="I28" s="248" t="s">
        <v>151</v>
      </c>
      <c r="J28" s="249"/>
      <c r="K28" s="250"/>
      <c r="L28" s="91" t="s">
        <v>152</v>
      </c>
      <c r="M28" s="91" t="s">
        <v>152</v>
      </c>
      <c r="N28" s="190"/>
      <c r="O28" s="191"/>
      <c r="P28" s="191"/>
      <c r="Q28" s="191"/>
      <c r="R28" s="191"/>
      <c r="S28" s="192"/>
      <c r="T28" s="91"/>
      <c r="U28" s="91"/>
      <c r="V28" s="199"/>
      <c r="W28" s="200"/>
      <c r="X28" s="201"/>
      <c r="Y28" s="91"/>
      <c r="Z28" s="91"/>
      <c r="AA28" s="21"/>
    </row>
    <row r="29" spans="1:27" ht="18" customHeight="1" x14ac:dyDescent="0.15">
      <c r="A29" s="7"/>
      <c r="B29" s="208"/>
      <c r="C29" s="209"/>
      <c r="D29" s="209"/>
      <c r="E29" s="209"/>
      <c r="F29" s="210"/>
      <c r="G29" s="91"/>
      <c r="H29" s="91"/>
      <c r="I29" s="199"/>
      <c r="J29" s="200"/>
      <c r="K29" s="201"/>
      <c r="L29" s="91"/>
      <c r="M29" s="91"/>
      <c r="N29" s="190"/>
      <c r="O29" s="191"/>
      <c r="P29" s="191"/>
      <c r="Q29" s="191"/>
      <c r="R29" s="191"/>
      <c r="S29" s="192"/>
      <c r="T29" s="91"/>
      <c r="U29" s="91"/>
      <c r="V29" s="199"/>
      <c r="W29" s="200"/>
      <c r="X29" s="201"/>
      <c r="Y29" s="91"/>
      <c r="Z29" s="91"/>
      <c r="AA29" s="102"/>
    </row>
    <row r="30" spans="1:27" ht="18" customHeight="1" x14ac:dyDescent="0.15">
      <c r="A30" s="7"/>
      <c r="B30" s="208"/>
      <c r="C30" s="209"/>
      <c r="D30" s="209"/>
      <c r="E30" s="209"/>
      <c r="F30" s="210"/>
      <c r="G30" s="91"/>
      <c r="H30" s="91"/>
      <c r="I30" s="199"/>
      <c r="J30" s="200"/>
      <c r="K30" s="201"/>
      <c r="L30" s="91"/>
      <c r="M30" s="91"/>
      <c r="N30" s="190"/>
      <c r="O30" s="191"/>
      <c r="P30" s="191"/>
      <c r="Q30" s="191"/>
      <c r="R30" s="191"/>
      <c r="S30" s="192"/>
      <c r="T30" s="91"/>
      <c r="U30" s="91"/>
      <c r="V30" s="199"/>
      <c r="W30" s="200"/>
      <c r="X30" s="201"/>
      <c r="Y30" s="91"/>
      <c r="Z30" s="91"/>
    </row>
    <row r="31" spans="1:27" ht="18" customHeight="1" x14ac:dyDescent="0.15">
      <c r="A31" s="7"/>
      <c r="B31" s="208"/>
      <c r="C31" s="209"/>
      <c r="D31" s="209"/>
      <c r="E31" s="209"/>
      <c r="F31" s="210"/>
      <c r="G31" s="91"/>
      <c r="H31" s="91"/>
      <c r="I31" s="199"/>
      <c r="J31" s="200"/>
      <c r="K31" s="201"/>
      <c r="L31" s="91"/>
      <c r="M31" s="91"/>
      <c r="N31" s="190"/>
      <c r="O31" s="191"/>
      <c r="P31" s="191"/>
      <c r="Q31" s="191"/>
      <c r="R31" s="191"/>
      <c r="S31" s="192"/>
      <c r="T31" s="91"/>
      <c r="U31" s="91"/>
      <c r="V31" s="199"/>
      <c r="W31" s="200"/>
      <c r="X31" s="201"/>
      <c r="Y31" s="91"/>
      <c r="Z31" s="91"/>
    </row>
    <row r="32" spans="1:27" ht="18" customHeight="1" x14ac:dyDescent="0.15">
      <c r="A32" s="7"/>
      <c r="B32" s="208"/>
      <c r="C32" s="209"/>
      <c r="D32" s="209"/>
      <c r="E32" s="209"/>
      <c r="F32" s="210"/>
      <c r="G32" s="91"/>
      <c r="H32" s="91"/>
      <c r="I32" s="199"/>
      <c r="J32" s="200"/>
      <c r="K32" s="201"/>
      <c r="L32" s="91"/>
      <c r="M32" s="91"/>
      <c r="N32" s="190"/>
      <c r="O32" s="191"/>
      <c r="P32" s="191"/>
      <c r="Q32" s="191"/>
      <c r="R32" s="191"/>
      <c r="S32" s="192"/>
      <c r="T32" s="91"/>
      <c r="U32" s="91"/>
      <c r="V32" s="199"/>
      <c r="W32" s="200"/>
      <c r="X32" s="201"/>
      <c r="Y32" s="91"/>
      <c r="Z32" s="91"/>
    </row>
    <row r="33" spans="1:27" ht="18" customHeight="1" x14ac:dyDescent="0.15">
      <c r="A33" s="7"/>
      <c r="B33" s="211"/>
      <c r="C33" s="212"/>
      <c r="D33" s="212"/>
      <c r="E33" s="212"/>
      <c r="F33" s="213"/>
      <c r="G33" s="92"/>
      <c r="H33" s="92"/>
      <c r="I33" s="202"/>
      <c r="J33" s="203"/>
      <c r="K33" s="204"/>
      <c r="L33" s="98"/>
      <c r="M33" s="98"/>
      <c r="N33" s="196"/>
      <c r="O33" s="197"/>
      <c r="P33" s="197"/>
      <c r="Q33" s="197"/>
      <c r="R33" s="197"/>
      <c r="S33" s="198"/>
      <c r="T33" s="92"/>
      <c r="U33" s="92"/>
      <c r="V33" s="202"/>
      <c r="W33" s="203"/>
      <c r="X33" s="204"/>
      <c r="Y33" s="98"/>
      <c r="Z33" s="98"/>
    </row>
    <row r="34" spans="1:27" ht="7.5" customHeight="1" x14ac:dyDescent="0.15">
      <c r="A34" s="19"/>
      <c r="B34" s="59"/>
      <c r="C34" s="59"/>
      <c r="D34" s="19"/>
      <c r="E34" s="19"/>
      <c r="F34" s="19"/>
      <c r="G34" s="19"/>
      <c r="H34" s="19"/>
      <c r="I34" s="19"/>
      <c r="J34" s="19"/>
      <c r="K34" s="19"/>
      <c r="L34" s="59"/>
      <c r="M34" s="59"/>
      <c r="N34" s="59"/>
      <c r="O34" s="59"/>
      <c r="P34" s="59"/>
      <c r="Q34" s="59"/>
      <c r="R34" s="59"/>
      <c r="S34" s="59"/>
      <c r="T34" s="59"/>
      <c r="U34" s="59"/>
      <c r="V34" s="59"/>
      <c r="W34" s="59"/>
      <c r="X34" s="59"/>
      <c r="Y34" s="59"/>
      <c r="Z34" s="19"/>
    </row>
    <row r="35" spans="1:27" ht="18" customHeight="1" x14ac:dyDescent="0.15">
      <c r="A35" s="254" t="s">
        <v>128</v>
      </c>
      <c r="B35" s="254"/>
      <c r="C35" s="254"/>
      <c r="D35" s="254"/>
      <c r="E35" s="254"/>
      <c r="F35" s="254"/>
      <c r="G35" s="254"/>
      <c r="H35" s="254"/>
      <c r="I35" s="254"/>
      <c r="J35" s="254"/>
      <c r="K35" s="254"/>
      <c r="L35" s="254"/>
      <c r="M35" s="254"/>
      <c r="N35" s="254"/>
      <c r="O35" s="254"/>
      <c r="P35" s="254"/>
      <c r="Q35" s="254"/>
      <c r="R35" s="254"/>
      <c r="S35" s="254"/>
      <c r="T35" s="254"/>
      <c r="U35" s="254"/>
      <c r="V35" s="254"/>
      <c r="W35" s="254"/>
      <c r="X35" s="254"/>
      <c r="Y35" s="254"/>
      <c r="Z35" s="254"/>
    </row>
    <row r="36" spans="1:27" ht="18" customHeight="1" x14ac:dyDescent="0.15">
      <c r="A36" s="254"/>
      <c r="B36" s="254"/>
      <c r="C36" s="254"/>
      <c r="D36" s="254"/>
      <c r="E36" s="254"/>
      <c r="F36" s="254"/>
      <c r="G36" s="254"/>
      <c r="H36" s="254"/>
      <c r="I36" s="254"/>
      <c r="J36" s="254"/>
      <c r="K36" s="254"/>
      <c r="L36" s="254"/>
      <c r="M36" s="254"/>
      <c r="N36" s="254"/>
      <c r="O36" s="254"/>
      <c r="P36" s="254"/>
      <c r="Q36" s="254"/>
      <c r="R36" s="254"/>
      <c r="S36" s="254"/>
      <c r="T36" s="254"/>
      <c r="U36" s="254"/>
      <c r="V36" s="254"/>
      <c r="W36" s="254"/>
      <c r="X36" s="254"/>
      <c r="Y36" s="254"/>
      <c r="Z36" s="254"/>
    </row>
    <row r="37" spans="1:27" ht="18" customHeight="1" x14ac:dyDescent="0.15">
      <c r="A37" s="7"/>
      <c r="B37" s="142" t="s">
        <v>100</v>
      </c>
      <c r="C37" s="143"/>
      <c r="D37" s="143"/>
      <c r="E37" s="143"/>
      <c r="F37" s="144"/>
      <c r="G37" s="20" t="s">
        <v>140</v>
      </c>
      <c r="H37" s="89" t="s">
        <v>139</v>
      </c>
      <c r="I37" s="142" t="s">
        <v>101</v>
      </c>
      <c r="J37" s="143"/>
      <c r="K37" s="144"/>
      <c r="L37" s="58" t="s">
        <v>129</v>
      </c>
      <c r="M37" s="58" t="s">
        <v>130</v>
      </c>
      <c r="N37" s="142" t="s">
        <v>100</v>
      </c>
      <c r="O37" s="143"/>
      <c r="P37" s="143"/>
      <c r="Q37" s="143"/>
      <c r="R37" s="143"/>
      <c r="S37" s="144"/>
      <c r="T37" s="20" t="s">
        <v>140</v>
      </c>
      <c r="U37" s="89" t="s">
        <v>139</v>
      </c>
      <c r="V37" s="142" t="s">
        <v>101</v>
      </c>
      <c r="W37" s="143"/>
      <c r="X37" s="144"/>
      <c r="Y37" s="58" t="s">
        <v>129</v>
      </c>
      <c r="Z37" s="58" t="s">
        <v>130</v>
      </c>
    </row>
    <row r="38" spans="1:27" ht="18" customHeight="1" x14ac:dyDescent="0.15">
      <c r="A38" s="19"/>
      <c r="B38" s="215" t="s">
        <v>200</v>
      </c>
      <c r="C38" s="216"/>
      <c r="D38" s="216"/>
      <c r="E38" s="216"/>
      <c r="F38" s="217"/>
      <c r="G38" s="90">
        <v>2</v>
      </c>
      <c r="H38" s="90" t="s">
        <v>152</v>
      </c>
      <c r="I38" s="184" t="s">
        <v>151</v>
      </c>
      <c r="J38" s="185"/>
      <c r="K38" s="186"/>
      <c r="L38" s="90" t="s">
        <v>152</v>
      </c>
      <c r="M38" s="90"/>
      <c r="N38" s="178"/>
      <c r="O38" s="179"/>
      <c r="P38" s="179"/>
      <c r="Q38" s="179"/>
      <c r="R38" s="179"/>
      <c r="S38" s="180"/>
      <c r="T38" s="90"/>
      <c r="U38" s="90"/>
      <c r="V38" s="184"/>
      <c r="W38" s="185"/>
      <c r="X38" s="186"/>
      <c r="Y38" s="90"/>
      <c r="Z38" s="90"/>
      <c r="AA38" s="102"/>
    </row>
    <row r="39" spans="1:27" ht="18" customHeight="1" x14ac:dyDescent="0.15">
      <c r="A39" s="19"/>
      <c r="B39" s="208" t="s">
        <v>153</v>
      </c>
      <c r="C39" s="209"/>
      <c r="D39" s="209"/>
      <c r="E39" s="209"/>
      <c r="F39" s="210"/>
      <c r="G39" s="124">
        <v>2</v>
      </c>
      <c r="H39" s="124" t="s">
        <v>152</v>
      </c>
      <c r="I39" s="248" t="s">
        <v>151</v>
      </c>
      <c r="J39" s="249"/>
      <c r="K39" s="250"/>
      <c r="L39" s="91" t="s">
        <v>152</v>
      </c>
      <c r="M39" s="91" t="s">
        <v>152</v>
      </c>
      <c r="N39" s="190"/>
      <c r="O39" s="191"/>
      <c r="P39" s="191"/>
      <c r="Q39" s="191"/>
      <c r="R39" s="191"/>
      <c r="S39" s="192"/>
      <c r="T39" s="91"/>
      <c r="U39" s="91"/>
      <c r="V39" s="199"/>
      <c r="W39" s="200"/>
      <c r="X39" s="201"/>
      <c r="Y39" s="91"/>
      <c r="Z39" s="91"/>
    </row>
    <row r="40" spans="1:27" ht="18" customHeight="1" x14ac:dyDescent="0.15">
      <c r="A40" s="19"/>
      <c r="B40" s="208"/>
      <c r="C40" s="209"/>
      <c r="D40" s="209"/>
      <c r="E40" s="209"/>
      <c r="F40" s="210"/>
      <c r="G40" s="91"/>
      <c r="H40" s="91"/>
      <c r="I40" s="199"/>
      <c r="J40" s="200"/>
      <c r="K40" s="201"/>
      <c r="L40" s="91"/>
      <c r="M40" s="91"/>
      <c r="N40" s="190"/>
      <c r="O40" s="191"/>
      <c r="P40" s="191"/>
      <c r="Q40" s="191"/>
      <c r="R40" s="191"/>
      <c r="S40" s="192"/>
      <c r="T40" s="91"/>
      <c r="U40" s="91"/>
      <c r="V40" s="199"/>
      <c r="W40" s="200"/>
      <c r="X40" s="201"/>
      <c r="Y40" s="91"/>
      <c r="Z40" s="91"/>
      <c r="AA40" s="21"/>
    </row>
    <row r="41" spans="1:27" ht="18" customHeight="1" x14ac:dyDescent="0.15">
      <c r="A41" s="19"/>
      <c r="B41" s="208"/>
      <c r="C41" s="209"/>
      <c r="D41" s="209"/>
      <c r="E41" s="209"/>
      <c r="F41" s="210"/>
      <c r="G41" s="91"/>
      <c r="H41" s="91"/>
      <c r="I41" s="199"/>
      <c r="J41" s="200"/>
      <c r="K41" s="201"/>
      <c r="L41" s="91"/>
      <c r="M41" s="91"/>
      <c r="N41" s="190"/>
      <c r="O41" s="191"/>
      <c r="P41" s="191"/>
      <c r="Q41" s="191"/>
      <c r="R41" s="191"/>
      <c r="S41" s="192"/>
      <c r="T41" s="91"/>
      <c r="U41" s="91"/>
      <c r="V41" s="199"/>
      <c r="W41" s="200"/>
      <c r="X41" s="201"/>
      <c r="Y41" s="91"/>
      <c r="Z41" s="91"/>
    </row>
    <row r="42" spans="1:27" ht="18" customHeight="1" x14ac:dyDescent="0.15">
      <c r="A42" s="19"/>
      <c r="B42" s="208"/>
      <c r="C42" s="209"/>
      <c r="D42" s="209"/>
      <c r="E42" s="209"/>
      <c r="F42" s="210"/>
      <c r="G42" s="91"/>
      <c r="H42" s="91"/>
      <c r="I42" s="199"/>
      <c r="J42" s="200"/>
      <c r="K42" s="201"/>
      <c r="L42" s="91"/>
      <c r="M42" s="91"/>
      <c r="N42" s="190"/>
      <c r="O42" s="191"/>
      <c r="P42" s="191"/>
      <c r="Q42" s="191"/>
      <c r="R42" s="191"/>
      <c r="S42" s="192"/>
      <c r="T42" s="91"/>
      <c r="U42" s="91"/>
      <c r="V42" s="199"/>
      <c r="W42" s="200"/>
      <c r="X42" s="201"/>
      <c r="Y42" s="91"/>
      <c r="Z42" s="91"/>
    </row>
    <row r="43" spans="1:27" ht="18" customHeight="1" x14ac:dyDescent="0.15">
      <c r="A43" s="19"/>
      <c r="B43" s="208"/>
      <c r="C43" s="209"/>
      <c r="D43" s="209"/>
      <c r="E43" s="209"/>
      <c r="F43" s="210"/>
      <c r="G43" s="91"/>
      <c r="H43" s="91"/>
      <c r="I43" s="199"/>
      <c r="J43" s="200"/>
      <c r="K43" s="201"/>
      <c r="L43" s="91"/>
      <c r="M43" s="91"/>
      <c r="N43" s="190"/>
      <c r="O43" s="191"/>
      <c r="P43" s="191"/>
      <c r="Q43" s="191"/>
      <c r="R43" s="191"/>
      <c r="S43" s="192"/>
      <c r="T43" s="91"/>
      <c r="U43" s="91"/>
      <c r="V43" s="199"/>
      <c r="W43" s="200"/>
      <c r="X43" s="201"/>
      <c r="Y43" s="91"/>
      <c r="Z43" s="91"/>
    </row>
    <row r="44" spans="1:27" ht="18" customHeight="1" x14ac:dyDescent="0.15">
      <c r="A44" s="19"/>
      <c r="B44" s="211"/>
      <c r="C44" s="212"/>
      <c r="D44" s="212"/>
      <c r="E44" s="212"/>
      <c r="F44" s="213"/>
      <c r="G44" s="92"/>
      <c r="H44" s="92"/>
      <c r="I44" s="202"/>
      <c r="J44" s="203"/>
      <c r="K44" s="204"/>
      <c r="L44" s="98"/>
      <c r="M44" s="98"/>
      <c r="N44" s="196"/>
      <c r="O44" s="197"/>
      <c r="P44" s="197"/>
      <c r="Q44" s="197"/>
      <c r="R44" s="197"/>
      <c r="S44" s="198"/>
      <c r="T44" s="92"/>
      <c r="U44" s="92"/>
      <c r="V44" s="202"/>
      <c r="W44" s="203"/>
      <c r="X44" s="204"/>
      <c r="Y44" s="98"/>
      <c r="Z44" s="98"/>
    </row>
    <row r="45" spans="1:27" ht="7.5" customHeight="1" x14ac:dyDescent="0.15">
      <c r="B45" s="60"/>
      <c r="C45" s="60"/>
      <c r="D45" s="60"/>
      <c r="E45" s="60"/>
      <c r="F45" s="60"/>
      <c r="G45" s="60"/>
      <c r="H45" s="60"/>
      <c r="I45" s="60"/>
      <c r="J45" s="60"/>
      <c r="K45" s="60"/>
      <c r="L45" s="60"/>
      <c r="M45" s="60"/>
      <c r="N45" s="60"/>
      <c r="O45" s="60"/>
      <c r="P45" s="60"/>
      <c r="Q45" s="60"/>
      <c r="R45" s="60"/>
      <c r="S45" s="60"/>
      <c r="T45" s="60"/>
      <c r="U45" s="60"/>
      <c r="V45" s="60"/>
      <c r="W45" s="60"/>
      <c r="X45" s="60"/>
      <c r="Y45" s="60"/>
    </row>
    <row r="46" spans="1:27" ht="18" customHeight="1" x14ac:dyDescent="0.15">
      <c r="A46" s="254" t="s">
        <v>131</v>
      </c>
      <c r="B46" s="254"/>
      <c r="C46" s="254"/>
      <c r="D46" s="254"/>
      <c r="E46" s="254"/>
      <c r="F46" s="254"/>
      <c r="G46" s="254"/>
      <c r="H46" s="254"/>
      <c r="I46" s="254"/>
      <c r="J46" s="254"/>
      <c r="K46" s="254"/>
      <c r="L46" s="254"/>
      <c r="M46" s="254"/>
      <c r="N46" s="254"/>
      <c r="O46" s="254"/>
      <c r="P46" s="254"/>
      <c r="Q46" s="254"/>
      <c r="R46" s="254"/>
      <c r="S46" s="254"/>
      <c r="T46" s="254"/>
      <c r="U46" s="254"/>
      <c r="V46" s="254"/>
      <c r="W46" s="254"/>
      <c r="X46" s="254"/>
      <c r="Y46" s="254"/>
      <c r="Z46" s="254"/>
    </row>
    <row r="47" spans="1:27" ht="18" customHeight="1" x14ac:dyDescent="0.15">
      <c r="A47" s="254"/>
      <c r="B47" s="254"/>
      <c r="C47" s="254"/>
      <c r="D47" s="254"/>
      <c r="E47" s="254"/>
      <c r="F47" s="254"/>
      <c r="G47" s="254"/>
      <c r="H47" s="254"/>
      <c r="I47" s="254"/>
      <c r="J47" s="254"/>
      <c r="K47" s="254"/>
      <c r="L47" s="254"/>
      <c r="M47" s="254"/>
      <c r="N47" s="254"/>
      <c r="O47" s="254"/>
      <c r="P47" s="254"/>
      <c r="Q47" s="254"/>
      <c r="R47" s="254"/>
      <c r="S47" s="254"/>
      <c r="T47" s="254"/>
      <c r="U47" s="254"/>
      <c r="V47" s="254"/>
      <c r="W47" s="254"/>
      <c r="X47" s="254"/>
      <c r="Y47" s="254"/>
      <c r="Z47" s="254"/>
    </row>
    <row r="48" spans="1:27" ht="18" customHeight="1" x14ac:dyDescent="0.15">
      <c r="A48" s="7"/>
      <c r="B48" s="142" t="s">
        <v>100</v>
      </c>
      <c r="C48" s="143"/>
      <c r="D48" s="143"/>
      <c r="E48" s="143"/>
      <c r="F48" s="144"/>
      <c r="G48" s="20" t="s">
        <v>140</v>
      </c>
      <c r="H48" s="89" t="s">
        <v>139</v>
      </c>
      <c r="I48" s="142" t="s">
        <v>101</v>
      </c>
      <c r="J48" s="143"/>
      <c r="K48" s="144"/>
      <c r="L48" s="58" t="s">
        <v>106</v>
      </c>
      <c r="M48" s="58" t="s">
        <v>108</v>
      </c>
      <c r="N48" s="142" t="s">
        <v>100</v>
      </c>
      <c r="O48" s="143"/>
      <c r="P48" s="143"/>
      <c r="Q48" s="143"/>
      <c r="R48" s="143"/>
      <c r="S48" s="144"/>
      <c r="T48" s="20" t="s">
        <v>140</v>
      </c>
      <c r="U48" s="89" t="s">
        <v>139</v>
      </c>
      <c r="V48" s="142" t="s">
        <v>101</v>
      </c>
      <c r="W48" s="143"/>
      <c r="X48" s="144"/>
      <c r="Y48" s="58" t="s">
        <v>106</v>
      </c>
      <c r="Z48" s="58" t="s">
        <v>108</v>
      </c>
    </row>
    <row r="49" spans="1:27" ht="18" customHeight="1" x14ac:dyDescent="0.15">
      <c r="A49" s="19"/>
      <c r="B49" s="215" t="s">
        <v>200</v>
      </c>
      <c r="C49" s="216"/>
      <c r="D49" s="216"/>
      <c r="E49" s="216"/>
      <c r="F49" s="217"/>
      <c r="G49" s="90">
        <v>2</v>
      </c>
      <c r="H49" s="90" t="s">
        <v>152</v>
      </c>
      <c r="I49" s="184" t="s">
        <v>151</v>
      </c>
      <c r="J49" s="185"/>
      <c r="K49" s="186"/>
      <c r="L49" s="90" t="s">
        <v>152</v>
      </c>
      <c r="M49" s="90" t="s">
        <v>152</v>
      </c>
      <c r="N49" s="178"/>
      <c r="O49" s="179"/>
      <c r="P49" s="179"/>
      <c r="Q49" s="179"/>
      <c r="R49" s="179"/>
      <c r="S49" s="180"/>
      <c r="T49" s="90"/>
      <c r="U49" s="90"/>
      <c r="V49" s="184"/>
      <c r="W49" s="185"/>
      <c r="X49" s="186"/>
      <c r="Y49" s="90"/>
      <c r="Z49" s="90"/>
    </row>
    <row r="50" spans="1:27" ht="18" customHeight="1" x14ac:dyDescent="0.15">
      <c r="A50" s="19"/>
      <c r="B50" s="251" t="s">
        <v>201</v>
      </c>
      <c r="C50" s="252"/>
      <c r="D50" s="252"/>
      <c r="E50" s="252"/>
      <c r="F50" s="253"/>
      <c r="G50" s="124">
        <v>2</v>
      </c>
      <c r="H50" s="124" t="s">
        <v>152</v>
      </c>
      <c r="I50" s="248" t="s">
        <v>151</v>
      </c>
      <c r="J50" s="249"/>
      <c r="K50" s="250"/>
      <c r="L50" s="124" t="s">
        <v>152</v>
      </c>
      <c r="M50" s="124" t="s">
        <v>152</v>
      </c>
      <c r="N50" s="205"/>
      <c r="O50" s="206"/>
      <c r="P50" s="206"/>
      <c r="Q50" s="206"/>
      <c r="R50" s="206"/>
      <c r="S50" s="207"/>
      <c r="T50" s="91"/>
      <c r="U50" s="91"/>
      <c r="V50" s="199"/>
      <c r="W50" s="200"/>
      <c r="X50" s="201"/>
      <c r="Y50" s="91"/>
      <c r="Z50" s="91"/>
    </row>
    <row r="51" spans="1:27" ht="18" customHeight="1" x14ac:dyDescent="0.15">
      <c r="A51" s="19"/>
      <c r="B51" s="208" t="s">
        <v>153</v>
      </c>
      <c r="C51" s="209"/>
      <c r="D51" s="209"/>
      <c r="E51" s="209"/>
      <c r="F51" s="210"/>
      <c r="G51" s="91">
        <v>2</v>
      </c>
      <c r="H51" s="91" t="s">
        <v>152</v>
      </c>
      <c r="I51" s="199" t="s">
        <v>151</v>
      </c>
      <c r="J51" s="200"/>
      <c r="K51" s="201"/>
      <c r="L51" s="91" t="s">
        <v>152</v>
      </c>
      <c r="M51" s="91" t="s">
        <v>152</v>
      </c>
      <c r="N51" s="190"/>
      <c r="O51" s="191"/>
      <c r="P51" s="191"/>
      <c r="Q51" s="191"/>
      <c r="R51" s="191"/>
      <c r="S51" s="192"/>
      <c r="T51" s="91"/>
      <c r="U51" s="91"/>
      <c r="V51" s="199"/>
      <c r="W51" s="200"/>
      <c r="X51" s="201"/>
      <c r="Y51" s="91"/>
      <c r="Z51" s="91"/>
      <c r="AA51" s="21"/>
    </row>
    <row r="52" spans="1:27" ht="18" customHeight="1" x14ac:dyDescent="0.15">
      <c r="A52" s="19"/>
      <c r="B52" s="208"/>
      <c r="C52" s="209"/>
      <c r="D52" s="209"/>
      <c r="E52" s="209"/>
      <c r="F52" s="210"/>
      <c r="G52" s="91"/>
      <c r="H52" s="91"/>
      <c r="I52" s="199"/>
      <c r="J52" s="200"/>
      <c r="K52" s="201"/>
      <c r="L52" s="91"/>
      <c r="M52" s="91"/>
      <c r="N52" s="190"/>
      <c r="O52" s="191"/>
      <c r="P52" s="191"/>
      <c r="Q52" s="191"/>
      <c r="R52" s="191"/>
      <c r="S52" s="192"/>
      <c r="T52" s="91"/>
      <c r="U52" s="91"/>
      <c r="V52" s="199"/>
      <c r="W52" s="200"/>
      <c r="X52" s="201"/>
      <c r="Y52" s="91"/>
      <c r="Z52" s="91"/>
      <c r="AA52" s="102"/>
    </row>
    <row r="53" spans="1:27" ht="18" customHeight="1" x14ac:dyDescent="0.15">
      <c r="A53" s="19"/>
      <c r="B53" s="208"/>
      <c r="C53" s="209"/>
      <c r="D53" s="209"/>
      <c r="E53" s="209"/>
      <c r="F53" s="210"/>
      <c r="G53" s="91"/>
      <c r="H53" s="91"/>
      <c r="I53" s="199"/>
      <c r="J53" s="200"/>
      <c r="K53" s="201"/>
      <c r="L53" s="91"/>
      <c r="M53" s="91"/>
      <c r="N53" s="190"/>
      <c r="O53" s="191"/>
      <c r="P53" s="191"/>
      <c r="Q53" s="191"/>
      <c r="R53" s="191"/>
      <c r="S53" s="192"/>
      <c r="T53" s="91"/>
      <c r="U53" s="91"/>
      <c r="V53" s="199"/>
      <c r="W53" s="200"/>
      <c r="X53" s="201"/>
      <c r="Y53" s="91"/>
      <c r="Z53" s="91"/>
    </row>
    <row r="54" spans="1:27" ht="18" customHeight="1" x14ac:dyDescent="0.15">
      <c r="A54" s="19"/>
      <c r="B54" s="208"/>
      <c r="C54" s="209"/>
      <c r="D54" s="209"/>
      <c r="E54" s="209"/>
      <c r="F54" s="210"/>
      <c r="G54" s="91"/>
      <c r="H54" s="91"/>
      <c r="I54" s="199"/>
      <c r="J54" s="200"/>
      <c r="K54" s="201"/>
      <c r="L54" s="91"/>
      <c r="M54" s="91"/>
      <c r="N54" s="190"/>
      <c r="O54" s="191"/>
      <c r="P54" s="191"/>
      <c r="Q54" s="191"/>
      <c r="R54" s="191"/>
      <c r="S54" s="192"/>
      <c r="T54" s="91"/>
      <c r="U54" s="91"/>
      <c r="V54" s="199"/>
      <c r="W54" s="200"/>
      <c r="X54" s="201"/>
      <c r="Y54" s="91"/>
      <c r="Z54" s="91"/>
    </row>
    <row r="55" spans="1:27" ht="18" customHeight="1" x14ac:dyDescent="0.15">
      <c r="A55" s="19"/>
      <c r="B55" s="211"/>
      <c r="C55" s="212"/>
      <c r="D55" s="212"/>
      <c r="E55" s="212"/>
      <c r="F55" s="213"/>
      <c r="G55" s="92"/>
      <c r="H55" s="92"/>
      <c r="I55" s="202"/>
      <c r="J55" s="203"/>
      <c r="K55" s="204"/>
      <c r="L55" s="98"/>
      <c r="M55" s="98"/>
      <c r="N55" s="196"/>
      <c r="O55" s="197"/>
      <c r="P55" s="197"/>
      <c r="Q55" s="197"/>
      <c r="R55" s="197"/>
      <c r="S55" s="198"/>
      <c r="T55" s="92"/>
      <c r="U55" s="92"/>
      <c r="V55" s="202"/>
      <c r="W55" s="203"/>
      <c r="X55" s="204"/>
      <c r="Y55" s="98"/>
      <c r="Z55" s="98"/>
    </row>
    <row r="56" spans="1:27" ht="7.5" customHeight="1" x14ac:dyDescent="0.15">
      <c r="B56" s="60"/>
      <c r="C56" s="60"/>
      <c r="D56" s="60"/>
      <c r="E56" s="60"/>
      <c r="F56" s="60"/>
      <c r="G56" s="60"/>
      <c r="H56" s="60"/>
      <c r="I56" s="60"/>
      <c r="J56" s="60"/>
      <c r="K56" s="60"/>
      <c r="L56" s="60"/>
      <c r="M56" s="60"/>
      <c r="N56" s="60"/>
      <c r="O56" s="60"/>
      <c r="P56" s="60"/>
      <c r="Q56" s="60"/>
      <c r="R56" s="60"/>
      <c r="S56" s="60"/>
      <c r="T56" s="60"/>
      <c r="U56" s="60"/>
      <c r="V56" s="60"/>
      <c r="W56" s="60"/>
      <c r="X56" s="60"/>
      <c r="Y56" s="60"/>
    </row>
    <row r="57" spans="1:27" ht="18" customHeight="1" x14ac:dyDescent="0.15">
      <c r="A57" s="254" t="s">
        <v>132</v>
      </c>
      <c r="B57" s="254"/>
      <c r="C57" s="254"/>
      <c r="D57" s="254"/>
      <c r="E57" s="254"/>
      <c r="F57" s="254"/>
      <c r="G57" s="254"/>
      <c r="H57" s="254"/>
      <c r="I57" s="254"/>
      <c r="J57" s="254"/>
      <c r="K57" s="254"/>
      <c r="L57" s="254"/>
      <c r="M57" s="254"/>
      <c r="N57" s="254"/>
      <c r="O57" s="254"/>
      <c r="P57" s="254"/>
      <c r="Q57" s="254"/>
      <c r="R57" s="254"/>
      <c r="S57" s="254"/>
      <c r="T57" s="254"/>
      <c r="U57" s="254"/>
      <c r="V57" s="254"/>
      <c r="W57" s="254"/>
      <c r="X57" s="254"/>
      <c r="Y57" s="254"/>
      <c r="Z57" s="254"/>
    </row>
    <row r="58" spans="1:27" ht="18" customHeight="1" x14ac:dyDescent="0.15">
      <c r="A58" s="254"/>
      <c r="B58" s="254"/>
      <c r="C58" s="254"/>
      <c r="D58" s="254"/>
      <c r="E58" s="254"/>
      <c r="F58" s="254"/>
      <c r="G58" s="254"/>
      <c r="H58" s="254"/>
      <c r="I58" s="254"/>
      <c r="J58" s="254"/>
      <c r="K58" s="254"/>
      <c r="L58" s="254"/>
      <c r="M58" s="254"/>
      <c r="N58" s="254"/>
      <c r="O58" s="254"/>
      <c r="P58" s="254"/>
      <c r="Q58" s="254"/>
      <c r="R58" s="254"/>
      <c r="S58" s="254"/>
      <c r="T58" s="254"/>
      <c r="U58" s="254"/>
      <c r="V58" s="254"/>
      <c r="W58" s="254"/>
      <c r="X58" s="254"/>
      <c r="Y58" s="254"/>
      <c r="Z58" s="254"/>
    </row>
    <row r="59" spans="1:27" ht="18" customHeight="1" x14ac:dyDescent="0.15">
      <c r="A59" s="7"/>
      <c r="B59" s="142" t="s">
        <v>100</v>
      </c>
      <c r="C59" s="143"/>
      <c r="D59" s="143"/>
      <c r="E59" s="144"/>
      <c r="F59" s="20" t="s">
        <v>140</v>
      </c>
      <c r="G59" s="89" t="s">
        <v>139</v>
      </c>
      <c r="H59" s="84" t="s">
        <v>101</v>
      </c>
      <c r="I59" s="85"/>
      <c r="J59" s="86"/>
      <c r="K59" s="58" t="s">
        <v>105</v>
      </c>
      <c r="L59" s="58" t="s">
        <v>133</v>
      </c>
      <c r="M59" s="58" t="s">
        <v>134</v>
      </c>
      <c r="N59" s="142" t="s">
        <v>100</v>
      </c>
      <c r="O59" s="143"/>
      <c r="P59" s="143"/>
      <c r="Q59" s="143"/>
      <c r="R59" s="144"/>
      <c r="S59" s="20" t="s">
        <v>140</v>
      </c>
      <c r="T59" s="89" t="s">
        <v>139</v>
      </c>
      <c r="U59" s="84" t="s">
        <v>101</v>
      </c>
      <c r="V59" s="85"/>
      <c r="W59" s="86"/>
      <c r="X59" s="58" t="s">
        <v>105</v>
      </c>
      <c r="Y59" s="58" t="s">
        <v>133</v>
      </c>
      <c r="Z59" s="58" t="s">
        <v>134</v>
      </c>
    </row>
    <row r="60" spans="1:27" ht="18" customHeight="1" x14ac:dyDescent="0.15">
      <c r="A60" s="19"/>
      <c r="B60" s="190" t="s">
        <v>154</v>
      </c>
      <c r="C60" s="191"/>
      <c r="D60" s="191"/>
      <c r="E60" s="192"/>
      <c r="F60" s="90">
        <v>2</v>
      </c>
      <c r="G60" s="90" t="s">
        <v>152</v>
      </c>
      <c r="H60" s="184" t="s">
        <v>151</v>
      </c>
      <c r="I60" s="185"/>
      <c r="J60" s="186"/>
      <c r="K60" s="113" t="s">
        <v>168</v>
      </c>
      <c r="L60" s="91" t="s">
        <v>152</v>
      </c>
      <c r="M60" s="91" t="s">
        <v>152</v>
      </c>
      <c r="N60" s="178"/>
      <c r="O60" s="179"/>
      <c r="P60" s="179"/>
      <c r="Q60" s="179"/>
      <c r="R60" s="180"/>
      <c r="S60" s="90"/>
      <c r="T60" s="90"/>
      <c r="U60" s="184"/>
      <c r="V60" s="185"/>
      <c r="W60" s="186"/>
      <c r="X60" s="97"/>
      <c r="Y60" s="90"/>
      <c r="Z60" s="90"/>
    </row>
    <row r="61" spans="1:27" ht="18" customHeight="1" x14ac:dyDescent="0.15">
      <c r="A61" s="19"/>
      <c r="B61" s="193"/>
      <c r="C61" s="194"/>
      <c r="D61" s="194"/>
      <c r="E61" s="195"/>
      <c r="F61" s="117"/>
      <c r="G61" s="117"/>
      <c r="H61" s="187"/>
      <c r="I61" s="188"/>
      <c r="J61" s="189"/>
      <c r="K61" s="95"/>
      <c r="L61" s="91"/>
      <c r="M61" s="91"/>
      <c r="N61" s="190"/>
      <c r="O61" s="191"/>
      <c r="P61" s="191"/>
      <c r="Q61" s="191"/>
      <c r="R61" s="192"/>
      <c r="S61" s="91"/>
      <c r="T61" s="91"/>
      <c r="U61" s="199"/>
      <c r="V61" s="200"/>
      <c r="W61" s="201"/>
      <c r="X61" s="95"/>
      <c r="Y61" s="91"/>
      <c r="Z61" s="91"/>
    </row>
    <row r="62" spans="1:27" ht="18" customHeight="1" x14ac:dyDescent="0.15">
      <c r="A62" s="19"/>
      <c r="B62" s="190"/>
      <c r="C62" s="191"/>
      <c r="D62" s="191"/>
      <c r="E62" s="192"/>
      <c r="F62" s="91"/>
      <c r="G62" s="91"/>
      <c r="H62" s="199"/>
      <c r="I62" s="200"/>
      <c r="J62" s="201"/>
      <c r="K62" s="112"/>
      <c r="L62" s="91"/>
      <c r="M62" s="91"/>
      <c r="N62" s="190"/>
      <c r="O62" s="191"/>
      <c r="P62" s="191"/>
      <c r="Q62" s="191"/>
      <c r="R62" s="192"/>
      <c r="S62" s="91"/>
      <c r="T62" s="91"/>
      <c r="U62" s="199"/>
      <c r="V62" s="200"/>
      <c r="W62" s="201"/>
      <c r="X62" s="95"/>
      <c r="Y62" s="91"/>
      <c r="Z62" s="91"/>
      <c r="AA62" s="21"/>
    </row>
    <row r="63" spans="1:27" ht="18" customHeight="1" x14ac:dyDescent="0.15">
      <c r="A63" s="19"/>
      <c r="B63" s="190"/>
      <c r="C63" s="191"/>
      <c r="D63" s="191"/>
      <c r="E63" s="192"/>
      <c r="F63" s="91"/>
      <c r="G63" s="91"/>
      <c r="H63" s="199"/>
      <c r="I63" s="200"/>
      <c r="J63" s="201"/>
      <c r="K63" s="95"/>
      <c r="L63" s="91"/>
      <c r="M63" s="91"/>
      <c r="N63" s="190"/>
      <c r="O63" s="191"/>
      <c r="P63" s="191"/>
      <c r="Q63" s="191"/>
      <c r="R63" s="192"/>
      <c r="S63" s="91"/>
      <c r="T63" s="91"/>
      <c r="U63" s="199"/>
      <c r="V63" s="200"/>
      <c r="W63" s="201"/>
      <c r="X63" s="95"/>
      <c r="Y63" s="91"/>
      <c r="Z63" s="91"/>
      <c r="AA63" s="102"/>
    </row>
    <row r="64" spans="1:27" ht="18" customHeight="1" x14ac:dyDescent="0.15">
      <c r="A64" s="19"/>
      <c r="B64" s="190"/>
      <c r="C64" s="191"/>
      <c r="D64" s="191"/>
      <c r="E64" s="192"/>
      <c r="F64" s="91"/>
      <c r="G64" s="91"/>
      <c r="H64" s="199"/>
      <c r="I64" s="200"/>
      <c r="J64" s="201"/>
      <c r="K64" s="95"/>
      <c r="L64" s="91"/>
      <c r="M64" s="91"/>
      <c r="N64" s="190"/>
      <c r="O64" s="191"/>
      <c r="P64" s="191"/>
      <c r="Q64" s="191"/>
      <c r="R64" s="192"/>
      <c r="S64" s="91"/>
      <c r="T64" s="91"/>
      <c r="U64" s="199"/>
      <c r="V64" s="200"/>
      <c r="W64" s="201"/>
      <c r="X64" s="95"/>
      <c r="Y64" s="91"/>
      <c r="Z64" s="91"/>
    </row>
    <row r="65" spans="1:27" ht="18" customHeight="1" x14ac:dyDescent="0.15">
      <c r="A65" s="19"/>
      <c r="B65" s="190"/>
      <c r="C65" s="191"/>
      <c r="D65" s="191"/>
      <c r="E65" s="192"/>
      <c r="F65" s="91"/>
      <c r="G65" s="91"/>
      <c r="H65" s="199"/>
      <c r="I65" s="200"/>
      <c r="J65" s="201"/>
      <c r="K65" s="95"/>
      <c r="L65" s="91"/>
      <c r="M65" s="91"/>
      <c r="N65" s="190"/>
      <c r="O65" s="191"/>
      <c r="P65" s="191"/>
      <c r="Q65" s="191"/>
      <c r="R65" s="192"/>
      <c r="S65" s="91"/>
      <c r="T65" s="91"/>
      <c r="U65" s="199"/>
      <c r="V65" s="200"/>
      <c r="W65" s="201"/>
      <c r="X65" s="95"/>
      <c r="Y65" s="91"/>
      <c r="Z65" s="91"/>
    </row>
    <row r="66" spans="1:27" ht="18" customHeight="1" x14ac:dyDescent="0.15">
      <c r="A66" s="19"/>
      <c r="B66" s="196"/>
      <c r="C66" s="197"/>
      <c r="D66" s="197"/>
      <c r="E66" s="198"/>
      <c r="F66" s="92"/>
      <c r="G66" s="92"/>
      <c r="H66" s="202"/>
      <c r="I66" s="203"/>
      <c r="J66" s="204"/>
      <c r="K66" s="96"/>
      <c r="L66" s="98"/>
      <c r="M66" s="98"/>
      <c r="N66" s="196"/>
      <c r="O66" s="197"/>
      <c r="P66" s="197"/>
      <c r="Q66" s="197"/>
      <c r="R66" s="198"/>
      <c r="S66" s="92"/>
      <c r="T66" s="92"/>
      <c r="U66" s="202"/>
      <c r="V66" s="203"/>
      <c r="W66" s="204"/>
      <c r="X66" s="96"/>
      <c r="Y66" s="98"/>
      <c r="Z66" s="98"/>
    </row>
    <row r="67" spans="1:27" ht="7.5" customHeight="1" x14ac:dyDescent="0.15">
      <c r="B67" s="60"/>
      <c r="C67" s="60"/>
      <c r="D67" s="60"/>
      <c r="E67" s="60"/>
      <c r="F67" s="60"/>
      <c r="G67" s="60"/>
      <c r="H67" s="60"/>
      <c r="I67" s="60"/>
      <c r="J67" s="60"/>
      <c r="K67" s="60"/>
      <c r="L67" s="60"/>
      <c r="M67" s="60"/>
      <c r="N67" s="60"/>
      <c r="O67" s="60"/>
      <c r="P67" s="60"/>
      <c r="Q67" s="60"/>
      <c r="R67" s="60"/>
      <c r="S67" s="60"/>
      <c r="T67" s="60"/>
      <c r="U67" s="60"/>
      <c r="V67" s="60"/>
      <c r="W67" s="60"/>
      <c r="X67" s="60"/>
      <c r="Y67" s="60"/>
    </row>
    <row r="68" spans="1:27" ht="18" customHeight="1" x14ac:dyDescent="0.15">
      <c r="A68" s="7" t="s">
        <v>135</v>
      </c>
      <c r="B68" s="7"/>
      <c r="C68" s="7"/>
      <c r="D68" s="7"/>
      <c r="E68" s="7"/>
      <c r="F68" s="7"/>
      <c r="G68" s="7"/>
      <c r="H68" s="7"/>
      <c r="I68" s="7"/>
      <c r="J68" s="7"/>
      <c r="K68" s="7"/>
      <c r="L68" s="19"/>
      <c r="M68" s="19"/>
      <c r="N68" s="19"/>
      <c r="O68" s="19"/>
      <c r="P68" s="19"/>
      <c r="Q68" s="19"/>
      <c r="R68" s="19"/>
      <c r="S68" s="19"/>
      <c r="T68" s="19"/>
      <c r="U68" s="19"/>
      <c r="V68" s="19"/>
      <c r="W68" s="19"/>
      <c r="X68" s="19"/>
      <c r="Y68" s="19"/>
      <c r="Z68" s="19"/>
    </row>
    <row r="69" spans="1:27" ht="18" customHeight="1" x14ac:dyDescent="0.15">
      <c r="A69" s="7"/>
      <c r="B69" s="142" t="s">
        <v>100</v>
      </c>
      <c r="C69" s="143"/>
      <c r="D69" s="143"/>
      <c r="E69" s="143"/>
      <c r="F69" s="144"/>
      <c r="G69" s="142" t="s">
        <v>145</v>
      </c>
      <c r="H69" s="143"/>
      <c r="I69" s="143"/>
      <c r="J69" s="143"/>
      <c r="K69" s="143"/>
      <c r="L69" s="143"/>
      <c r="M69" s="144"/>
      <c r="N69" s="181" t="s">
        <v>100</v>
      </c>
      <c r="O69" s="182"/>
      <c r="P69" s="182"/>
      <c r="Q69" s="182"/>
      <c r="R69" s="182"/>
      <c r="S69" s="183"/>
      <c r="T69" s="142" t="s">
        <v>145</v>
      </c>
      <c r="U69" s="143"/>
      <c r="V69" s="143"/>
      <c r="W69" s="143"/>
      <c r="X69" s="143"/>
      <c r="Y69" s="143"/>
      <c r="Z69" s="144"/>
    </row>
    <row r="70" spans="1:27" ht="18" customHeight="1" x14ac:dyDescent="0.15">
      <c r="A70" s="19"/>
      <c r="B70" s="178" t="s">
        <v>154</v>
      </c>
      <c r="C70" s="179"/>
      <c r="D70" s="179"/>
      <c r="E70" s="179"/>
      <c r="F70" s="180"/>
      <c r="G70" s="266" t="s">
        <v>155</v>
      </c>
      <c r="H70" s="267"/>
      <c r="I70" s="267"/>
      <c r="J70" s="267"/>
      <c r="K70" s="267"/>
      <c r="L70" s="267"/>
      <c r="M70" s="268"/>
      <c r="N70" s="178"/>
      <c r="O70" s="179"/>
      <c r="P70" s="179"/>
      <c r="Q70" s="179"/>
      <c r="R70" s="179"/>
      <c r="S70" s="180"/>
      <c r="T70" s="266"/>
      <c r="U70" s="267"/>
      <c r="V70" s="267"/>
      <c r="W70" s="267"/>
      <c r="X70" s="267"/>
      <c r="Y70" s="267"/>
      <c r="Z70" s="268"/>
    </row>
    <row r="71" spans="1:27" ht="18" customHeight="1" x14ac:dyDescent="0.15">
      <c r="A71" s="19"/>
      <c r="B71" s="190" t="s">
        <v>187</v>
      </c>
      <c r="C71" s="191"/>
      <c r="D71" s="191"/>
      <c r="E71" s="191"/>
      <c r="F71" s="192"/>
      <c r="G71" s="233" t="s">
        <v>156</v>
      </c>
      <c r="H71" s="234"/>
      <c r="I71" s="234"/>
      <c r="J71" s="234"/>
      <c r="K71" s="234"/>
      <c r="L71" s="234"/>
      <c r="M71" s="235"/>
      <c r="N71" s="190"/>
      <c r="O71" s="191"/>
      <c r="P71" s="191"/>
      <c r="Q71" s="191"/>
      <c r="R71" s="191"/>
      <c r="S71" s="192"/>
      <c r="T71" s="233"/>
      <c r="U71" s="234"/>
      <c r="V71" s="234"/>
      <c r="W71" s="234"/>
      <c r="X71" s="234"/>
      <c r="Y71" s="234"/>
      <c r="Z71" s="235"/>
    </row>
    <row r="72" spans="1:27" ht="18" customHeight="1" x14ac:dyDescent="0.15">
      <c r="A72" s="19"/>
      <c r="B72" s="190" t="s">
        <v>188</v>
      </c>
      <c r="C72" s="191"/>
      <c r="D72" s="191"/>
      <c r="E72" s="191"/>
      <c r="F72" s="192"/>
      <c r="G72" s="233" t="s">
        <v>157</v>
      </c>
      <c r="H72" s="234"/>
      <c r="I72" s="234"/>
      <c r="J72" s="234"/>
      <c r="K72" s="234"/>
      <c r="L72" s="234"/>
      <c r="M72" s="235"/>
      <c r="N72" s="190"/>
      <c r="O72" s="191"/>
      <c r="P72" s="191"/>
      <c r="Q72" s="191"/>
      <c r="R72" s="191"/>
      <c r="S72" s="192"/>
      <c r="T72" s="233"/>
      <c r="U72" s="234"/>
      <c r="V72" s="234"/>
      <c r="W72" s="234"/>
      <c r="X72" s="234"/>
      <c r="Y72" s="234"/>
      <c r="Z72" s="235"/>
    </row>
    <row r="73" spans="1:27" ht="18" customHeight="1" x14ac:dyDescent="0.15">
      <c r="A73" s="19"/>
      <c r="B73" s="190"/>
      <c r="C73" s="191"/>
      <c r="D73" s="191"/>
      <c r="E73" s="191"/>
      <c r="F73" s="192"/>
      <c r="G73" s="233"/>
      <c r="H73" s="234"/>
      <c r="I73" s="234"/>
      <c r="J73" s="234"/>
      <c r="K73" s="234"/>
      <c r="L73" s="234"/>
      <c r="M73" s="235"/>
      <c r="N73" s="190"/>
      <c r="O73" s="191"/>
      <c r="P73" s="191"/>
      <c r="Q73" s="191"/>
      <c r="R73" s="191"/>
      <c r="S73" s="192"/>
      <c r="T73" s="233"/>
      <c r="U73" s="234"/>
      <c r="V73" s="234"/>
      <c r="W73" s="234"/>
      <c r="X73" s="234"/>
      <c r="Y73" s="234"/>
      <c r="Z73" s="235"/>
    </row>
    <row r="74" spans="1:27" ht="18" customHeight="1" x14ac:dyDescent="0.15">
      <c r="A74" s="19"/>
      <c r="B74" s="245"/>
      <c r="C74" s="246"/>
      <c r="D74" s="246"/>
      <c r="E74" s="246"/>
      <c r="F74" s="247"/>
      <c r="G74" s="233"/>
      <c r="H74" s="234"/>
      <c r="I74" s="234"/>
      <c r="J74" s="234"/>
      <c r="K74" s="234"/>
      <c r="L74" s="234"/>
      <c r="M74" s="235"/>
      <c r="N74" s="190"/>
      <c r="O74" s="191"/>
      <c r="P74" s="191"/>
      <c r="Q74" s="191"/>
      <c r="R74" s="191"/>
      <c r="S74" s="192"/>
      <c r="T74" s="233"/>
      <c r="U74" s="234"/>
      <c r="V74" s="234"/>
      <c r="W74" s="234"/>
      <c r="X74" s="234"/>
      <c r="Y74" s="234"/>
      <c r="Z74" s="235"/>
    </row>
    <row r="75" spans="1:27" ht="18" customHeight="1" x14ac:dyDescent="0.15">
      <c r="A75" s="19"/>
      <c r="B75" s="190"/>
      <c r="C75" s="191"/>
      <c r="D75" s="191"/>
      <c r="E75" s="191"/>
      <c r="F75" s="192"/>
      <c r="G75" s="233"/>
      <c r="H75" s="234"/>
      <c r="I75" s="234"/>
      <c r="J75" s="234"/>
      <c r="K75" s="234"/>
      <c r="L75" s="234"/>
      <c r="M75" s="235"/>
      <c r="N75" s="190"/>
      <c r="O75" s="191"/>
      <c r="P75" s="191"/>
      <c r="Q75" s="191"/>
      <c r="R75" s="191"/>
      <c r="S75" s="192"/>
      <c r="T75" s="233"/>
      <c r="U75" s="234"/>
      <c r="V75" s="234"/>
      <c r="W75" s="234"/>
      <c r="X75" s="234"/>
      <c r="Y75" s="234"/>
      <c r="Z75" s="235"/>
    </row>
    <row r="76" spans="1:27" ht="18" customHeight="1" x14ac:dyDescent="0.15">
      <c r="A76" s="19"/>
      <c r="B76" s="196"/>
      <c r="C76" s="197"/>
      <c r="D76" s="197"/>
      <c r="E76" s="197"/>
      <c r="F76" s="198"/>
      <c r="G76" s="230"/>
      <c r="H76" s="231"/>
      <c r="I76" s="231"/>
      <c r="J76" s="231"/>
      <c r="K76" s="231"/>
      <c r="L76" s="231"/>
      <c r="M76" s="232"/>
      <c r="N76" s="196"/>
      <c r="O76" s="197"/>
      <c r="P76" s="197"/>
      <c r="Q76" s="197"/>
      <c r="R76" s="197"/>
      <c r="S76" s="198"/>
      <c r="T76" s="230"/>
      <c r="U76" s="231"/>
      <c r="V76" s="231"/>
      <c r="W76" s="231"/>
      <c r="X76" s="231"/>
      <c r="Y76" s="231"/>
      <c r="Z76" s="232"/>
    </row>
    <row r="77" spans="1:27" ht="18" customHeight="1" x14ac:dyDescent="0.15">
      <c r="A77" s="19"/>
      <c r="B77" s="55"/>
      <c r="C77" s="55"/>
      <c r="D77" s="55"/>
      <c r="E77" s="55"/>
      <c r="F77" s="55"/>
      <c r="G77" s="5"/>
      <c r="H77" s="5"/>
      <c r="I77" s="5"/>
      <c r="J77" s="5"/>
      <c r="K77" s="5"/>
      <c r="L77" s="5"/>
      <c r="M77" s="5"/>
      <c r="N77" s="55"/>
      <c r="O77" s="55"/>
      <c r="P77" s="55"/>
      <c r="Q77" s="55"/>
      <c r="R77" s="55"/>
      <c r="S77" s="55"/>
      <c r="T77" s="5"/>
      <c r="U77" s="5"/>
      <c r="V77" s="5"/>
      <c r="W77" s="5"/>
      <c r="X77" s="5"/>
      <c r="Y77" s="5"/>
      <c r="Z77" s="5"/>
    </row>
    <row r="78" spans="1:27" ht="18.75" customHeight="1" x14ac:dyDescent="0.15">
      <c r="A78" s="6" t="s">
        <v>141</v>
      </c>
    </row>
    <row r="79" spans="1:27" ht="18.75" customHeight="1" x14ac:dyDescent="0.15">
      <c r="B79" s="61" t="s">
        <v>102</v>
      </c>
      <c r="C79" s="62"/>
      <c r="D79" s="285" t="s">
        <v>103</v>
      </c>
      <c r="E79" s="285"/>
      <c r="F79" s="285"/>
      <c r="G79" s="285"/>
      <c r="H79" s="285"/>
      <c r="I79" s="285"/>
      <c r="J79" s="285"/>
      <c r="K79" s="285"/>
      <c r="L79" s="285"/>
      <c r="M79" s="285"/>
      <c r="N79" s="285"/>
      <c r="O79" s="285"/>
      <c r="P79" s="285"/>
      <c r="Q79" s="285"/>
      <c r="R79" s="285"/>
      <c r="S79" s="285"/>
      <c r="T79" s="285"/>
      <c r="U79" s="285"/>
      <c r="V79" s="285"/>
      <c r="W79" s="285"/>
      <c r="X79" s="285"/>
      <c r="Y79" s="285"/>
      <c r="Z79" s="286"/>
      <c r="AA79" s="105"/>
    </row>
    <row r="80" spans="1:27" ht="78" customHeight="1" x14ac:dyDescent="0.15">
      <c r="B80" s="272" t="s">
        <v>109</v>
      </c>
      <c r="C80" s="68" t="s">
        <v>104</v>
      </c>
      <c r="D80" s="287" t="s">
        <v>190</v>
      </c>
      <c r="E80" s="288"/>
      <c r="F80" s="288"/>
      <c r="G80" s="288"/>
      <c r="H80" s="288"/>
      <c r="I80" s="288"/>
      <c r="J80" s="288"/>
      <c r="K80" s="288"/>
      <c r="L80" s="288"/>
      <c r="M80" s="288"/>
      <c r="N80" s="288"/>
      <c r="O80" s="288"/>
      <c r="P80" s="288"/>
      <c r="Q80" s="288"/>
      <c r="R80" s="288"/>
      <c r="S80" s="288"/>
      <c r="T80" s="288"/>
      <c r="U80" s="288"/>
      <c r="V80" s="288"/>
      <c r="W80" s="288"/>
      <c r="X80" s="288"/>
      <c r="Y80" s="288"/>
      <c r="Z80" s="289"/>
      <c r="AA80" s="23"/>
    </row>
    <row r="81" spans="1:29" ht="78" customHeight="1" x14ac:dyDescent="0.15">
      <c r="B81" s="273"/>
      <c r="C81" s="87" t="s">
        <v>136</v>
      </c>
      <c r="D81" s="290" t="s">
        <v>191</v>
      </c>
      <c r="E81" s="291"/>
      <c r="F81" s="291"/>
      <c r="G81" s="291"/>
      <c r="H81" s="291"/>
      <c r="I81" s="291"/>
      <c r="J81" s="291"/>
      <c r="K81" s="291"/>
      <c r="L81" s="291"/>
      <c r="M81" s="291"/>
      <c r="N81" s="291"/>
      <c r="O81" s="291"/>
      <c r="P81" s="291"/>
      <c r="Q81" s="291"/>
      <c r="R81" s="291"/>
      <c r="S81" s="291"/>
      <c r="T81" s="291"/>
      <c r="U81" s="291"/>
      <c r="V81" s="291"/>
      <c r="W81" s="291"/>
      <c r="X81" s="291"/>
      <c r="Y81" s="291"/>
      <c r="Z81" s="292"/>
      <c r="AA81" s="103"/>
      <c r="AB81" s="105"/>
      <c r="AC81" s="109"/>
    </row>
    <row r="82" spans="1:29" ht="78" customHeight="1" x14ac:dyDescent="0.15">
      <c r="B82" s="270" t="s">
        <v>110</v>
      </c>
      <c r="C82" s="63" t="s">
        <v>126</v>
      </c>
      <c r="D82" s="236" t="s">
        <v>192</v>
      </c>
      <c r="E82" s="237"/>
      <c r="F82" s="237"/>
      <c r="G82" s="237"/>
      <c r="H82" s="237"/>
      <c r="I82" s="237"/>
      <c r="J82" s="237"/>
      <c r="K82" s="237"/>
      <c r="L82" s="237"/>
      <c r="M82" s="237"/>
      <c r="N82" s="237"/>
      <c r="O82" s="237"/>
      <c r="P82" s="237"/>
      <c r="Q82" s="237"/>
      <c r="R82" s="237"/>
      <c r="S82" s="237"/>
      <c r="T82" s="237"/>
      <c r="U82" s="237"/>
      <c r="V82" s="237"/>
      <c r="W82" s="237"/>
      <c r="X82" s="237"/>
      <c r="Y82" s="237"/>
      <c r="Z82" s="238"/>
      <c r="AA82" s="105"/>
    </row>
    <row r="83" spans="1:29" ht="78" customHeight="1" x14ac:dyDescent="0.15">
      <c r="B83" s="271"/>
      <c r="C83" s="88" t="s">
        <v>127</v>
      </c>
      <c r="D83" s="242" t="s">
        <v>193</v>
      </c>
      <c r="E83" s="243"/>
      <c r="F83" s="243"/>
      <c r="G83" s="243"/>
      <c r="H83" s="243"/>
      <c r="I83" s="243"/>
      <c r="J83" s="243"/>
      <c r="K83" s="243"/>
      <c r="L83" s="243"/>
      <c r="M83" s="243"/>
      <c r="N83" s="243"/>
      <c r="O83" s="243"/>
      <c r="P83" s="243"/>
      <c r="Q83" s="243"/>
      <c r="R83" s="243"/>
      <c r="S83" s="243"/>
      <c r="T83" s="243"/>
      <c r="U83" s="243"/>
      <c r="V83" s="243"/>
      <c r="W83" s="243"/>
      <c r="X83" s="243"/>
      <c r="Y83" s="243"/>
      <c r="Z83" s="244"/>
      <c r="AA83" s="105"/>
    </row>
    <row r="84" spans="1:29" ht="66" customHeight="1" x14ac:dyDescent="0.15">
      <c r="B84" s="270" t="s">
        <v>111</v>
      </c>
      <c r="C84" s="63" t="s">
        <v>129</v>
      </c>
      <c r="D84" s="236" t="s">
        <v>194</v>
      </c>
      <c r="E84" s="237"/>
      <c r="F84" s="237"/>
      <c r="G84" s="237"/>
      <c r="H84" s="237"/>
      <c r="I84" s="237"/>
      <c r="J84" s="237"/>
      <c r="K84" s="237"/>
      <c r="L84" s="237"/>
      <c r="M84" s="237"/>
      <c r="N84" s="237"/>
      <c r="O84" s="237"/>
      <c r="P84" s="237"/>
      <c r="Q84" s="237"/>
      <c r="R84" s="237"/>
      <c r="S84" s="237"/>
      <c r="T84" s="237"/>
      <c r="U84" s="237"/>
      <c r="V84" s="237"/>
      <c r="W84" s="237"/>
      <c r="X84" s="237"/>
      <c r="Y84" s="237"/>
      <c r="Z84" s="238"/>
      <c r="AA84" s="23"/>
    </row>
    <row r="85" spans="1:29" ht="66" customHeight="1" x14ac:dyDescent="0.15">
      <c r="B85" s="271"/>
      <c r="C85" s="65" t="s">
        <v>130</v>
      </c>
      <c r="D85" s="239" t="s">
        <v>195</v>
      </c>
      <c r="E85" s="240"/>
      <c r="F85" s="240"/>
      <c r="G85" s="240"/>
      <c r="H85" s="240"/>
      <c r="I85" s="240"/>
      <c r="J85" s="240"/>
      <c r="K85" s="240"/>
      <c r="L85" s="240"/>
      <c r="M85" s="240"/>
      <c r="N85" s="240"/>
      <c r="O85" s="240"/>
      <c r="P85" s="240"/>
      <c r="Q85" s="240"/>
      <c r="R85" s="240"/>
      <c r="S85" s="240"/>
      <c r="T85" s="240"/>
      <c r="U85" s="240"/>
      <c r="V85" s="240"/>
      <c r="W85" s="240"/>
      <c r="X85" s="240"/>
      <c r="Y85" s="240"/>
      <c r="Z85" s="241"/>
      <c r="AA85" s="23"/>
    </row>
    <row r="86" spans="1:29" ht="66" customHeight="1" x14ac:dyDescent="0.15">
      <c r="B86" s="272" t="s">
        <v>137</v>
      </c>
      <c r="C86" s="68" t="s">
        <v>106</v>
      </c>
      <c r="D86" s="281" t="s">
        <v>222</v>
      </c>
      <c r="E86" s="282"/>
      <c r="F86" s="282"/>
      <c r="G86" s="282"/>
      <c r="H86" s="282"/>
      <c r="I86" s="282"/>
      <c r="J86" s="282"/>
      <c r="K86" s="282"/>
      <c r="L86" s="282"/>
      <c r="M86" s="282"/>
      <c r="N86" s="282"/>
      <c r="O86" s="282"/>
      <c r="P86" s="282"/>
      <c r="Q86" s="282"/>
      <c r="R86" s="282"/>
      <c r="S86" s="282"/>
      <c r="T86" s="282"/>
      <c r="U86" s="282"/>
      <c r="V86" s="282"/>
      <c r="W86" s="282"/>
      <c r="X86" s="282"/>
      <c r="Y86" s="282"/>
      <c r="Z86" s="283"/>
      <c r="AA86" s="103"/>
      <c r="AB86" s="105"/>
    </row>
    <row r="87" spans="1:29" ht="66" customHeight="1" x14ac:dyDescent="0.15">
      <c r="B87" s="280"/>
      <c r="C87" s="64" t="s">
        <v>108</v>
      </c>
      <c r="D87" s="284" t="s">
        <v>204</v>
      </c>
      <c r="E87" s="252"/>
      <c r="F87" s="252"/>
      <c r="G87" s="252"/>
      <c r="H87" s="252"/>
      <c r="I87" s="252"/>
      <c r="J87" s="252"/>
      <c r="K87" s="252"/>
      <c r="L87" s="252"/>
      <c r="M87" s="252"/>
      <c r="N87" s="252"/>
      <c r="O87" s="252"/>
      <c r="P87" s="252"/>
      <c r="Q87" s="252"/>
      <c r="R87" s="252"/>
      <c r="S87" s="252"/>
      <c r="T87" s="252"/>
      <c r="U87" s="252"/>
      <c r="V87" s="252"/>
      <c r="W87" s="252"/>
      <c r="X87" s="252"/>
      <c r="Y87" s="252"/>
      <c r="Z87" s="253"/>
      <c r="AA87" s="100"/>
      <c r="AB87" s="106"/>
    </row>
    <row r="88" spans="1:29" ht="66" customHeight="1" x14ac:dyDescent="0.15">
      <c r="B88" s="272" t="s">
        <v>138</v>
      </c>
      <c r="C88" s="63" t="s">
        <v>105</v>
      </c>
      <c r="D88" s="274" t="s">
        <v>198</v>
      </c>
      <c r="E88" s="275"/>
      <c r="F88" s="275"/>
      <c r="G88" s="275"/>
      <c r="H88" s="275"/>
      <c r="I88" s="275"/>
      <c r="J88" s="275"/>
      <c r="K88" s="275"/>
      <c r="L88" s="275"/>
      <c r="M88" s="275"/>
      <c r="N88" s="275"/>
      <c r="O88" s="275"/>
      <c r="P88" s="275"/>
      <c r="Q88" s="275"/>
      <c r="R88" s="275"/>
      <c r="S88" s="275"/>
      <c r="T88" s="275"/>
      <c r="U88" s="275"/>
      <c r="V88" s="275"/>
      <c r="W88" s="275"/>
      <c r="X88" s="275"/>
      <c r="Y88" s="275"/>
      <c r="Z88" s="276"/>
      <c r="AA88" s="104"/>
    </row>
    <row r="89" spans="1:29" ht="66" customHeight="1" x14ac:dyDescent="0.15">
      <c r="B89" s="273"/>
      <c r="C89" s="64" t="s">
        <v>133</v>
      </c>
      <c r="D89" s="269" t="s">
        <v>197</v>
      </c>
      <c r="E89" s="206"/>
      <c r="F89" s="206"/>
      <c r="G89" s="206"/>
      <c r="H89" s="206"/>
      <c r="I89" s="206"/>
      <c r="J89" s="206"/>
      <c r="K89" s="206"/>
      <c r="L89" s="206"/>
      <c r="M89" s="206"/>
      <c r="N89" s="206"/>
      <c r="O89" s="206"/>
      <c r="P89" s="206"/>
      <c r="Q89" s="206"/>
      <c r="R89" s="206"/>
      <c r="S89" s="206"/>
      <c r="T89" s="206"/>
      <c r="U89" s="206"/>
      <c r="V89" s="206"/>
      <c r="W89" s="206"/>
      <c r="X89" s="206"/>
      <c r="Y89" s="206"/>
      <c r="Z89" s="207"/>
      <c r="AA89" s="105"/>
    </row>
    <row r="90" spans="1:29" ht="66" customHeight="1" x14ac:dyDescent="0.15">
      <c r="B90" s="271"/>
      <c r="C90" s="65" t="s">
        <v>134</v>
      </c>
      <c r="D90" s="277" t="s">
        <v>196</v>
      </c>
      <c r="E90" s="278"/>
      <c r="F90" s="278"/>
      <c r="G90" s="278"/>
      <c r="H90" s="278"/>
      <c r="I90" s="278"/>
      <c r="J90" s="278"/>
      <c r="K90" s="278"/>
      <c r="L90" s="278"/>
      <c r="M90" s="278"/>
      <c r="N90" s="278"/>
      <c r="O90" s="278"/>
      <c r="P90" s="278"/>
      <c r="Q90" s="278"/>
      <c r="R90" s="278"/>
      <c r="S90" s="278"/>
      <c r="T90" s="278"/>
      <c r="U90" s="278"/>
      <c r="V90" s="278"/>
      <c r="W90" s="278"/>
      <c r="X90" s="278"/>
      <c r="Y90" s="278"/>
      <c r="Z90" s="279"/>
      <c r="AA90" s="105"/>
    </row>
    <row r="91" spans="1:29" ht="6" customHeight="1" x14ac:dyDescent="0.15"/>
    <row r="92" spans="1:29" ht="18.75" customHeight="1" x14ac:dyDescent="0.15">
      <c r="A92" s="6" t="s">
        <v>142</v>
      </c>
    </row>
    <row r="93" spans="1:29" ht="18.75" customHeight="1" x14ac:dyDescent="0.15">
      <c r="B93" s="218" t="s">
        <v>189</v>
      </c>
      <c r="C93" s="219"/>
      <c r="D93" s="219"/>
      <c r="E93" s="219"/>
      <c r="F93" s="219"/>
      <c r="G93" s="219"/>
      <c r="H93" s="219"/>
      <c r="I93" s="219"/>
      <c r="J93" s="219"/>
      <c r="K93" s="219"/>
      <c r="L93" s="219"/>
      <c r="M93" s="219"/>
      <c r="N93" s="219"/>
      <c r="O93" s="219"/>
      <c r="P93" s="219"/>
      <c r="Q93" s="219"/>
      <c r="R93" s="219"/>
      <c r="S93" s="219"/>
      <c r="T93" s="219"/>
      <c r="U93" s="219"/>
      <c r="V93" s="219"/>
      <c r="W93" s="219"/>
      <c r="X93" s="219"/>
      <c r="Y93" s="219"/>
      <c r="Z93" s="220"/>
    </row>
    <row r="94" spans="1:29" ht="18.75" customHeight="1" x14ac:dyDescent="0.15">
      <c r="B94" s="221"/>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3"/>
    </row>
    <row r="95" spans="1:29" ht="18.75" customHeight="1" x14ac:dyDescent="0.15">
      <c r="B95" s="224"/>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6"/>
    </row>
    <row r="96" spans="1:29" ht="6" customHeight="1" x14ac:dyDescent="0.15"/>
    <row r="97" spans="1:26" ht="15" customHeight="1" x14ac:dyDescent="0.15">
      <c r="A97" s="6" t="s">
        <v>143</v>
      </c>
    </row>
    <row r="98" spans="1:26" ht="15" customHeight="1" x14ac:dyDescent="0.15">
      <c r="B98" s="227" t="s">
        <v>176</v>
      </c>
      <c r="C98" s="228"/>
      <c r="D98" s="228"/>
      <c r="E98" s="228"/>
      <c r="F98" s="228"/>
      <c r="G98" s="228"/>
      <c r="H98" s="228"/>
      <c r="I98" s="228"/>
      <c r="J98" s="228"/>
      <c r="K98" s="228"/>
      <c r="L98" s="228"/>
      <c r="M98" s="228"/>
      <c r="N98" s="228"/>
      <c r="O98" s="228"/>
      <c r="P98" s="228"/>
      <c r="Q98" s="228"/>
      <c r="R98" s="228"/>
      <c r="S98" s="228"/>
      <c r="T98" s="228"/>
      <c r="U98" s="228"/>
      <c r="V98" s="228"/>
      <c r="W98" s="228"/>
      <c r="X98" s="228"/>
      <c r="Y98" s="228"/>
      <c r="Z98" s="229"/>
    </row>
  </sheetData>
  <mergeCells count="218">
    <mergeCell ref="T70:Z70"/>
    <mergeCell ref="T69:Z69"/>
    <mergeCell ref="B70:F70"/>
    <mergeCell ref="G70:M70"/>
    <mergeCell ref="D89:Z89"/>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D81:Z81"/>
    <mergeCell ref="B69:F69"/>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B93:Z95"/>
    <mergeCell ref="B98:Z98"/>
    <mergeCell ref="T76:Z76"/>
    <mergeCell ref="B71:F71"/>
    <mergeCell ref="G71:M71"/>
    <mergeCell ref="N71:S71"/>
    <mergeCell ref="T71:Z71"/>
    <mergeCell ref="B73:F73"/>
    <mergeCell ref="G74:M74"/>
    <mergeCell ref="N74:S74"/>
    <mergeCell ref="T74:Z74"/>
    <mergeCell ref="B72:F72"/>
    <mergeCell ref="D82:Z82"/>
    <mergeCell ref="D85:Z85"/>
    <mergeCell ref="D83:Z83"/>
    <mergeCell ref="D84:Z84"/>
    <mergeCell ref="B75:F75"/>
    <mergeCell ref="G75:M75"/>
    <mergeCell ref="N75:S75"/>
    <mergeCell ref="T75:Z75"/>
    <mergeCell ref="B76:F76"/>
    <mergeCell ref="G76:M76"/>
    <mergeCell ref="N76:S76"/>
    <mergeCell ref="B74:F74"/>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70:S70"/>
    <mergeCell ref="G69:M69"/>
    <mergeCell ref="N69:S69"/>
    <mergeCell ref="H60:J60"/>
    <mergeCell ref="H61:J61"/>
    <mergeCell ref="B60:E60"/>
    <mergeCell ref="B61:E61"/>
    <mergeCell ref="B62:E62"/>
    <mergeCell ref="B63:E63"/>
    <mergeCell ref="B64:E64"/>
    <mergeCell ref="B65:E65"/>
    <mergeCell ref="B66:E66"/>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T60:T66 H16:H22 U16:U22 H27:H33 U27:U33 H38:H44 U38:U44 H49:H55 U49:U55 G60:G66 L60:M66" xr:uid="{00000000-0002-0000-0100-000000000000}">
      <formula1>"○"</formula1>
    </dataValidation>
    <dataValidation type="list" allowBlank="1" showInputMessage="1" showErrorMessage="1" sqref="Z23 Z34 D34:K34 D23:K23 V16:V22 I16:I22 V27:V33 I27:I33 V38:V44 I38:I44 V49:V55 I49:I55 U60:U66 H60:H66"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100-000000000000}"/>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
  <sheetViews>
    <sheetView view="pageBreakPreview" zoomScaleNormal="100" zoomScaleSheetLayoutView="100" workbookViewId="0">
      <selection activeCell="S15" sqref="S15"/>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93" t="s">
        <v>63</v>
      </c>
      <c r="G1" s="293"/>
      <c r="H1" s="293"/>
      <c r="I1" s="293"/>
      <c r="J1" s="293"/>
      <c r="K1" s="293"/>
      <c r="L1" s="293"/>
      <c r="M1" s="293"/>
      <c r="N1" s="293"/>
      <c r="O1" s="293"/>
      <c r="P1" s="293"/>
      <c r="Q1" s="293"/>
      <c r="R1" s="293"/>
    </row>
    <row r="2" spans="1:20" ht="18" customHeight="1" x14ac:dyDescent="0.15">
      <c r="A2" s="294" t="s">
        <v>89</v>
      </c>
      <c r="B2" s="294"/>
      <c r="C2" s="294"/>
      <c r="D2" s="294"/>
      <c r="E2" s="294"/>
      <c r="F2" s="294"/>
      <c r="G2" s="294"/>
      <c r="H2" s="294"/>
      <c r="I2" s="294"/>
      <c r="J2" s="294"/>
      <c r="K2" s="294"/>
      <c r="L2" s="294"/>
      <c r="M2" s="294"/>
      <c r="N2" s="294"/>
      <c r="O2" s="294"/>
      <c r="P2" s="294"/>
      <c r="Q2" s="294"/>
      <c r="R2" s="294"/>
      <c r="S2" s="2"/>
    </row>
    <row r="3" spans="1:20" ht="7.5" customHeight="1" x14ac:dyDescent="0.15">
      <c r="A3" s="26"/>
      <c r="B3" s="26"/>
      <c r="C3" s="26"/>
      <c r="D3" s="26"/>
      <c r="E3" s="26"/>
      <c r="F3" s="26"/>
      <c r="G3" s="26"/>
      <c r="H3" s="26"/>
      <c r="I3" s="26"/>
      <c r="J3" s="26"/>
      <c r="K3" s="26"/>
      <c r="L3" s="26"/>
      <c r="M3" s="26"/>
      <c r="N3" s="26"/>
      <c r="O3" s="26"/>
      <c r="P3" s="26"/>
      <c r="Q3" s="26"/>
      <c r="R3" s="26"/>
    </row>
    <row r="4" spans="1:20" ht="18" customHeight="1" x14ac:dyDescent="0.15">
      <c r="A4" s="2" t="s">
        <v>146</v>
      </c>
      <c r="B4" s="2"/>
      <c r="C4" s="295" t="str">
        <f>'様式１　大学等概要'!E12</f>
        <v>令和３</v>
      </c>
      <c r="D4" s="296"/>
      <c r="E4" s="26" t="s">
        <v>114</v>
      </c>
      <c r="F4" s="26"/>
      <c r="G4" s="26"/>
      <c r="H4" s="26"/>
      <c r="I4" s="26"/>
      <c r="J4" s="69"/>
      <c r="K4" s="26"/>
      <c r="L4" s="26"/>
      <c r="M4" s="93"/>
      <c r="N4" s="93"/>
      <c r="O4" s="93"/>
      <c r="P4" s="93"/>
      <c r="Q4" s="93"/>
      <c r="R4" s="93"/>
    </row>
    <row r="5" spans="1:20" ht="6" customHeight="1" x14ac:dyDescent="0.15">
      <c r="A5" s="26"/>
      <c r="B5" s="26"/>
      <c r="C5" s="26"/>
      <c r="D5" s="26"/>
      <c r="E5" s="26"/>
      <c r="F5" s="26"/>
      <c r="G5" s="26"/>
      <c r="H5" s="26"/>
      <c r="I5" s="26"/>
      <c r="J5" s="26"/>
      <c r="K5" s="26"/>
      <c r="L5" s="26"/>
      <c r="M5" s="26"/>
      <c r="N5" s="26"/>
      <c r="O5" s="26"/>
      <c r="P5" s="26"/>
      <c r="Q5" s="26"/>
      <c r="R5" s="26"/>
    </row>
    <row r="6" spans="1:20" ht="18" customHeight="1" x14ac:dyDescent="0.15">
      <c r="A6" s="2" t="s">
        <v>144</v>
      </c>
      <c r="B6" s="26"/>
      <c r="C6" s="26"/>
      <c r="D6" s="26"/>
      <c r="E6" s="26"/>
      <c r="F6" s="26"/>
      <c r="G6" s="26"/>
      <c r="H6" s="26"/>
      <c r="I6" s="26"/>
      <c r="J6" s="26"/>
      <c r="K6" s="26"/>
      <c r="L6" s="26"/>
      <c r="M6" s="26"/>
      <c r="N6" s="26"/>
      <c r="O6" s="26"/>
      <c r="P6" s="26"/>
      <c r="Q6" s="26"/>
      <c r="R6" s="26"/>
    </row>
    <row r="7" spans="1:20" ht="6" customHeight="1" x14ac:dyDescent="0.15">
      <c r="A7" s="2"/>
      <c r="B7" s="26"/>
      <c r="C7" s="26"/>
      <c r="D7" s="26"/>
      <c r="E7" s="26"/>
      <c r="F7" s="26"/>
      <c r="G7" s="26"/>
      <c r="H7" s="26"/>
      <c r="I7" s="26"/>
      <c r="J7" s="26"/>
      <c r="K7" s="26"/>
      <c r="L7" s="26"/>
      <c r="M7" s="26"/>
      <c r="N7" s="26"/>
      <c r="O7" s="26"/>
      <c r="P7" s="26"/>
      <c r="Q7" s="26"/>
      <c r="R7" s="26"/>
    </row>
    <row r="8" spans="1:20" ht="18" customHeight="1" x14ac:dyDescent="0.15">
      <c r="B8" s="297" t="s">
        <v>79</v>
      </c>
      <c r="C8" s="299" t="s">
        <v>84</v>
      </c>
      <c r="D8" s="301" t="s">
        <v>68</v>
      </c>
      <c r="E8" s="303" t="s">
        <v>90</v>
      </c>
      <c r="F8" s="303"/>
      <c r="G8" s="303" t="s">
        <v>91</v>
      </c>
      <c r="H8" s="303"/>
      <c r="I8" s="303" t="s">
        <v>92</v>
      </c>
      <c r="J8" s="303"/>
      <c r="K8" s="304" t="s">
        <v>93</v>
      </c>
      <c r="L8" s="305"/>
      <c r="M8" s="304" t="s">
        <v>94</v>
      </c>
      <c r="N8" s="305"/>
      <c r="O8" s="304" t="s">
        <v>95</v>
      </c>
      <c r="P8" s="305"/>
      <c r="Q8" s="306" t="s">
        <v>62</v>
      </c>
      <c r="R8" s="308" t="s">
        <v>56</v>
      </c>
      <c r="T8" s="22"/>
    </row>
    <row r="9" spans="1:20" ht="18" customHeight="1" x14ac:dyDescent="0.15">
      <c r="A9" s="2"/>
      <c r="B9" s="298"/>
      <c r="C9" s="300"/>
      <c r="D9" s="302"/>
      <c r="E9" s="27" t="s">
        <v>44</v>
      </c>
      <c r="F9" s="28" t="s">
        <v>43</v>
      </c>
      <c r="G9" s="29" t="s">
        <v>44</v>
      </c>
      <c r="H9" s="30" t="s">
        <v>43</v>
      </c>
      <c r="I9" s="27" t="s">
        <v>44</v>
      </c>
      <c r="J9" s="28" t="s">
        <v>43</v>
      </c>
      <c r="K9" s="29" t="s">
        <v>44</v>
      </c>
      <c r="L9" s="30" t="s">
        <v>43</v>
      </c>
      <c r="M9" s="27" t="s">
        <v>44</v>
      </c>
      <c r="N9" s="28" t="s">
        <v>43</v>
      </c>
      <c r="O9" s="29" t="s">
        <v>44</v>
      </c>
      <c r="P9" s="30" t="s">
        <v>43</v>
      </c>
      <c r="Q9" s="307"/>
      <c r="R9" s="309"/>
      <c r="T9" s="22"/>
    </row>
    <row r="10" spans="1:20" ht="18" customHeight="1" x14ac:dyDescent="0.15">
      <c r="A10" s="31"/>
      <c r="B10" s="70" t="s">
        <v>172</v>
      </c>
      <c r="C10" s="31">
        <v>92</v>
      </c>
      <c r="D10" s="32">
        <v>368</v>
      </c>
      <c r="E10" s="33">
        <v>2</v>
      </c>
      <c r="F10" s="34">
        <v>1</v>
      </c>
      <c r="G10" s="35">
        <v>0</v>
      </c>
      <c r="H10" s="36">
        <v>0</v>
      </c>
      <c r="I10" s="33">
        <v>0</v>
      </c>
      <c r="J10" s="34">
        <v>0</v>
      </c>
      <c r="K10" s="35">
        <v>0</v>
      </c>
      <c r="L10" s="36">
        <v>0</v>
      </c>
      <c r="M10" s="33">
        <v>0</v>
      </c>
      <c r="N10" s="34">
        <v>0</v>
      </c>
      <c r="O10" s="35">
        <v>0</v>
      </c>
      <c r="P10" s="36">
        <v>0</v>
      </c>
      <c r="Q10" s="37">
        <f t="shared" ref="Q10:Q16" si="0">E10+G10+I10+K10+M10+O10</f>
        <v>2</v>
      </c>
      <c r="R10" s="38">
        <f t="shared" ref="R10:R16" si="1">Q10/D10</f>
        <v>5.434782608695652E-3</v>
      </c>
    </row>
    <row r="11" spans="1:20" ht="18" customHeight="1" x14ac:dyDescent="0.15">
      <c r="A11" s="31"/>
      <c r="B11" s="71" t="s">
        <v>173</v>
      </c>
      <c r="C11" s="47">
        <v>153</v>
      </c>
      <c r="D11" s="40">
        <v>612</v>
      </c>
      <c r="E11" s="41">
        <v>1</v>
      </c>
      <c r="F11" s="42">
        <v>1</v>
      </c>
      <c r="G11" s="43">
        <v>0</v>
      </c>
      <c r="H11" s="44">
        <v>0</v>
      </c>
      <c r="I11" s="41">
        <v>0</v>
      </c>
      <c r="J11" s="42">
        <v>0</v>
      </c>
      <c r="K11" s="43">
        <v>0</v>
      </c>
      <c r="L11" s="44">
        <v>0</v>
      </c>
      <c r="M11" s="41">
        <v>0</v>
      </c>
      <c r="N11" s="42">
        <v>0</v>
      </c>
      <c r="O11" s="43">
        <v>0</v>
      </c>
      <c r="P11" s="44">
        <v>0</v>
      </c>
      <c r="Q11" s="45">
        <f t="shared" si="0"/>
        <v>1</v>
      </c>
      <c r="R11" s="46">
        <f t="shared" si="1"/>
        <v>1.6339869281045752E-3</v>
      </c>
    </row>
    <row r="12" spans="1:20" ht="18" customHeight="1" x14ac:dyDescent="0.15">
      <c r="A12" s="31"/>
      <c r="B12" s="71" t="s">
        <v>158</v>
      </c>
      <c r="C12" s="47">
        <v>200</v>
      </c>
      <c r="D12" s="40">
        <v>800</v>
      </c>
      <c r="E12" s="41">
        <v>1</v>
      </c>
      <c r="F12" s="42">
        <v>0</v>
      </c>
      <c r="G12" s="43">
        <v>0</v>
      </c>
      <c r="H12" s="44">
        <v>0</v>
      </c>
      <c r="I12" s="41">
        <v>0</v>
      </c>
      <c r="J12" s="42">
        <v>0</v>
      </c>
      <c r="K12" s="43">
        <v>0</v>
      </c>
      <c r="L12" s="44">
        <v>0</v>
      </c>
      <c r="M12" s="41">
        <v>0</v>
      </c>
      <c r="N12" s="42">
        <v>0</v>
      </c>
      <c r="O12" s="43">
        <v>0</v>
      </c>
      <c r="P12" s="44">
        <v>0</v>
      </c>
      <c r="Q12" s="45">
        <f t="shared" si="0"/>
        <v>1</v>
      </c>
      <c r="R12" s="46">
        <f t="shared" si="1"/>
        <v>1.25E-3</v>
      </c>
    </row>
    <row r="13" spans="1:20" ht="18" customHeight="1" x14ac:dyDescent="0.15">
      <c r="A13" s="31"/>
      <c r="B13" s="71" t="s">
        <v>174</v>
      </c>
      <c r="C13" s="47">
        <v>125</v>
      </c>
      <c r="D13" s="40">
        <v>750</v>
      </c>
      <c r="E13" s="41">
        <v>1</v>
      </c>
      <c r="F13" s="42">
        <v>0</v>
      </c>
      <c r="G13" s="43">
        <v>0</v>
      </c>
      <c r="H13" s="44">
        <v>0</v>
      </c>
      <c r="I13" s="41">
        <v>0</v>
      </c>
      <c r="J13" s="42">
        <v>0</v>
      </c>
      <c r="K13" s="43">
        <v>0</v>
      </c>
      <c r="L13" s="44">
        <v>0</v>
      </c>
      <c r="M13" s="41">
        <v>0</v>
      </c>
      <c r="N13" s="42">
        <v>0</v>
      </c>
      <c r="O13" s="43">
        <v>0</v>
      </c>
      <c r="P13" s="44">
        <v>0</v>
      </c>
      <c r="Q13" s="45">
        <f t="shared" si="0"/>
        <v>1</v>
      </c>
      <c r="R13" s="46">
        <f t="shared" si="1"/>
        <v>1.3333333333333333E-3</v>
      </c>
    </row>
    <row r="14" spans="1:20" ht="18" customHeight="1" x14ac:dyDescent="0.15">
      <c r="A14" s="31"/>
      <c r="B14" s="71" t="s">
        <v>175</v>
      </c>
      <c r="C14" s="47">
        <v>80</v>
      </c>
      <c r="D14" s="40">
        <v>320</v>
      </c>
      <c r="E14" s="41">
        <v>0</v>
      </c>
      <c r="F14" s="42">
        <v>0</v>
      </c>
      <c r="G14" s="43">
        <v>0</v>
      </c>
      <c r="H14" s="44">
        <v>0</v>
      </c>
      <c r="I14" s="41">
        <v>0</v>
      </c>
      <c r="J14" s="42">
        <v>0</v>
      </c>
      <c r="K14" s="43">
        <v>0</v>
      </c>
      <c r="L14" s="44">
        <v>0</v>
      </c>
      <c r="M14" s="41">
        <v>0</v>
      </c>
      <c r="N14" s="42">
        <v>0</v>
      </c>
      <c r="O14" s="43">
        <v>0</v>
      </c>
      <c r="P14" s="44">
        <v>0</v>
      </c>
      <c r="Q14" s="45">
        <f t="shared" si="0"/>
        <v>0</v>
      </c>
      <c r="R14" s="46">
        <f t="shared" si="1"/>
        <v>0</v>
      </c>
    </row>
    <row r="15" spans="1:20" ht="18" customHeight="1" x14ac:dyDescent="0.15">
      <c r="A15" s="31"/>
      <c r="B15" s="71" t="s">
        <v>159</v>
      </c>
      <c r="C15" s="47">
        <v>400</v>
      </c>
      <c r="D15" s="40">
        <v>1600</v>
      </c>
      <c r="E15" s="41">
        <v>0</v>
      </c>
      <c r="F15" s="42">
        <v>0</v>
      </c>
      <c r="G15" s="43">
        <v>0</v>
      </c>
      <c r="H15" s="44">
        <v>0</v>
      </c>
      <c r="I15" s="41">
        <v>0</v>
      </c>
      <c r="J15" s="42">
        <v>0</v>
      </c>
      <c r="K15" s="43">
        <v>0</v>
      </c>
      <c r="L15" s="44">
        <v>0</v>
      </c>
      <c r="M15" s="41">
        <v>0</v>
      </c>
      <c r="N15" s="42">
        <v>0</v>
      </c>
      <c r="O15" s="43">
        <v>0</v>
      </c>
      <c r="P15" s="44">
        <v>0</v>
      </c>
      <c r="Q15" s="45">
        <f t="shared" si="0"/>
        <v>0</v>
      </c>
      <c r="R15" s="46">
        <f t="shared" si="1"/>
        <v>0</v>
      </c>
      <c r="S15" s="114"/>
    </row>
    <row r="16" spans="1:20" ht="18" customHeight="1" x14ac:dyDescent="0.15">
      <c r="A16" s="31"/>
      <c r="B16" s="71" t="s">
        <v>160</v>
      </c>
      <c r="C16" s="47">
        <v>260</v>
      </c>
      <c r="D16" s="40">
        <v>1040</v>
      </c>
      <c r="E16" s="41">
        <v>15</v>
      </c>
      <c r="F16" s="42">
        <v>14</v>
      </c>
      <c r="G16" s="43">
        <v>0</v>
      </c>
      <c r="H16" s="44">
        <v>0</v>
      </c>
      <c r="I16" s="41">
        <v>0</v>
      </c>
      <c r="J16" s="42">
        <v>0</v>
      </c>
      <c r="K16" s="43">
        <v>0</v>
      </c>
      <c r="L16" s="44">
        <v>0</v>
      </c>
      <c r="M16" s="41">
        <v>0</v>
      </c>
      <c r="N16" s="42">
        <v>0</v>
      </c>
      <c r="O16" s="43">
        <v>0</v>
      </c>
      <c r="P16" s="44">
        <v>0</v>
      </c>
      <c r="Q16" s="45">
        <f t="shared" si="0"/>
        <v>15</v>
      </c>
      <c r="R16" s="46">
        <f t="shared" si="1"/>
        <v>1.4423076923076924E-2</v>
      </c>
      <c r="S16" s="116"/>
    </row>
    <row r="17" spans="1:18" ht="18" customHeight="1" x14ac:dyDescent="0.15">
      <c r="A17" s="31"/>
      <c r="B17" s="71"/>
      <c r="C17" s="47"/>
      <c r="D17" s="40"/>
      <c r="E17" s="41"/>
      <c r="F17" s="42"/>
      <c r="G17" s="43"/>
      <c r="H17" s="44"/>
      <c r="I17" s="41"/>
      <c r="J17" s="42"/>
      <c r="K17" s="43"/>
      <c r="L17" s="44"/>
      <c r="M17" s="41"/>
      <c r="N17" s="42"/>
      <c r="O17" s="43"/>
      <c r="P17" s="44"/>
      <c r="Q17" s="45"/>
      <c r="R17" s="46"/>
    </row>
    <row r="18" spans="1:18" ht="18" customHeight="1" x14ac:dyDescent="0.15">
      <c r="A18" s="31"/>
      <c r="B18" s="71"/>
      <c r="C18" s="47"/>
      <c r="D18" s="40"/>
      <c r="E18" s="41"/>
      <c r="F18" s="42"/>
      <c r="G18" s="43"/>
      <c r="H18" s="44"/>
      <c r="I18" s="41"/>
      <c r="J18" s="42"/>
      <c r="K18" s="43"/>
      <c r="L18" s="44"/>
      <c r="M18" s="41"/>
      <c r="N18" s="42"/>
      <c r="O18" s="43"/>
      <c r="P18" s="44"/>
      <c r="Q18" s="45"/>
      <c r="R18" s="46"/>
    </row>
    <row r="19" spans="1:18" ht="18" customHeight="1" x14ac:dyDescent="0.15">
      <c r="A19" s="31"/>
      <c r="B19" s="71"/>
      <c r="C19" s="47"/>
      <c r="D19" s="40"/>
      <c r="E19" s="41"/>
      <c r="F19" s="42"/>
      <c r="G19" s="43"/>
      <c r="H19" s="44"/>
      <c r="I19" s="41"/>
      <c r="J19" s="42"/>
      <c r="K19" s="43"/>
      <c r="L19" s="44"/>
      <c r="M19" s="41"/>
      <c r="N19" s="42"/>
      <c r="O19" s="43"/>
      <c r="P19" s="44"/>
      <c r="Q19" s="45"/>
      <c r="R19" s="46"/>
    </row>
    <row r="20" spans="1:18" ht="18" customHeight="1" x14ac:dyDescent="0.15">
      <c r="A20" s="31"/>
      <c r="B20" s="71"/>
      <c r="C20" s="47"/>
      <c r="D20" s="40"/>
      <c r="E20" s="41"/>
      <c r="F20" s="42"/>
      <c r="G20" s="43"/>
      <c r="H20" s="44"/>
      <c r="I20" s="41"/>
      <c r="J20" s="42"/>
      <c r="K20" s="43"/>
      <c r="L20" s="44"/>
      <c r="M20" s="41"/>
      <c r="N20" s="42"/>
      <c r="O20" s="43"/>
      <c r="P20" s="44"/>
      <c r="Q20" s="45"/>
      <c r="R20" s="46"/>
    </row>
    <row r="21" spans="1:18" ht="18" customHeight="1" x14ac:dyDescent="0.15">
      <c r="A21" s="31"/>
      <c r="B21" s="71"/>
      <c r="C21" s="47"/>
      <c r="D21" s="40"/>
      <c r="E21" s="41"/>
      <c r="F21" s="42"/>
      <c r="G21" s="43"/>
      <c r="H21" s="44"/>
      <c r="I21" s="41"/>
      <c r="J21" s="42"/>
      <c r="K21" s="43"/>
      <c r="L21" s="44"/>
      <c r="M21" s="41"/>
      <c r="N21" s="42"/>
      <c r="O21" s="43"/>
      <c r="P21" s="44"/>
      <c r="Q21" s="45"/>
      <c r="R21" s="46"/>
    </row>
    <row r="22" spans="1:18" ht="18" customHeight="1" x14ac:dyDescent="0.15">
      <c r="A22" s="31"/>
      <c r="B22" s="71"/>
      <c r="C22" s="47"/>
      <c r="D22" s="40"/>
      <c r="E22" s="41"/>
      <c r="F22" s="42"/>
      <c r="G22" s="43"/>
      <c r="H22" s="44"/>
      <c r="I22" s="41"/>
      <c r="J22" s="42"/>
      <c r="K22" s="43"/>
      <c r="L22" s="44"/>
      <c r="M22" s="41"/>
      <c r="N22" s="42"/>
      <c r="O22" s="43"/>
      <c r="P22" s="44"/>
      <c r="Q22" s="45"/>
      <c r="R22" s="46"/>
    </row>
    <row r="23" spans="1:18" ht="18" customHeight="1" x14ac:dyDescent="0.15">
      <c r="A23" s="31"/>
      <c r="B23" s="71"/>
      <c r="C23" s="47"/>
      <c r="D23" s="40"/>
      <c r="E23" s="41"/>
      <c r="F23" s="42"/>
      <c r="G23" s="43"/>
      <c r="H23" s="44"/>
      <c r="I23" s="41"/>
      <c r="J23" s="42"/>
      <c r="K23" s="43"/>
      <c r="L23" s="44"/>
      <c r="M23" s="41"/>
      <c r="N23" s="42"/>
      <c r="O23" s="43"/>
      <c r="P23" s="44"/>
      <c r="Q23" s="45"/>
      <c r="R23" s="46"/>
    </row>
    <row r="24" spans="1:18" ht="18" customHeight="1" x14ac:dyDescent="0.15">
      <c r="A24" s="31"/>
      <c r="B24" s="71"/>
      <c r="C24" s="47"/>
      <c r="D24" s="40"/>
      <c r="E24" s="41"/>
      <c r="F24" s="42"/>
      <c r="G24" s="43"/>
      <c r="H24" s="44"/>
      <c r="I24" s="41"/>
      <c r="J24" s="42"/>
      <c r="K24" s="43"/>
      <c r="L24" s="44"/>
      <c r="M24" s="41"/>
      <c r="N24" s="42"/>
      <c r="O24" s="43"/>
      <c r="P24" s="44"/>
      <c r="Q24" s="45"/>
      <c r="R24" s="46"/>
    </row>
    <row r="25" spans="1:18" ht="18" customHeight="1" x14ac:dyDescent="0.15">
      <c r="A25" s="31"/>
      <c r="B25" s="71"/>
      <c r="C25" s="47"/>
      <c r="D25" s="40"/>
      <c r="E25" s="41"/>
      <c r="F25" s="42"/>
      <c r="G25" s="43"/>
      <c r="H25" s="44"/>
      <c r="I25" s="41"/>
      <c r="J25" s="42"/>
      <c r="K25" s="43"/>
      <c r="L25" s="44"/>
      <c r="M25" s="41"/>
      <c r="N25" s="42"/>
      <c r="O25" s="43"/>
      <c r="P25" s="44"/>
      <c r="Q25" s="45"/>
      <c r="R25" s="46"/>
    </row>
    <row r="26" spans="1:18" ht="18" customHeight="1" x14ac:dyDescent="0.15">
      <c r="A26" s="31"/>
      <c r="B26" s="71"/>
      <c r="C26" s="47"/>
      <c r="D26" s="40"/>
      <c r="E26" s="41"/>
      <c r="F26" s="42"/>
      <c r="G26" s="43"/>
      <c r="H26" s="44"/>
      <c r="I26" s="41"/>
      <c r="J26" s="42"/>
      <c r="K26" s="43"/>
      <c r="L26" s="44"/>
      <c r="M26" s="41"/>
      <c r="N26" s="42"/>
      <c r="O26" s="43"/>
      <c r="P26" s="44"/>
      <c r="Q26" s="45"/>
      <c r="R26" s="46"/>
    </row>
    <row r="27" spans="1:18" ht="18" customHeight="1" x14ac:dyDescent="0.15">
      <c r="A27" s="31"/>
      <c r="B27" s="71"/>
      <c r="C27" s="39"/>
      <c r="D27" s="40"/>
      <c r="E27" s="41"/>
      <c r="F27" s="42"/>
      <c r="G27" s="43"/>
      <c r="H27" s="44"/>
      <c r="I27" s="41"/>
      <c r="J27" s="42"/>
      <c r="K27" s="43"/>
      <c r="L27" s="44"/>
      <c r="M27" s="41"/>
      <c r="N27" s="42"/>
      <c r="O27" s="43"/>
      <c r="P27" s="44"/>
      <c r="Q27" s="45"/>
      <c r="R27" s="46"/>
    </row>
    <row r="28" spans="1:18" ht="18" customHeight="1" x14ac:dyDescent="0.15">
      <c r="A28" s="31"/>
      <c r="B28" s="71"/>
      <c r="C28" s="39"/>
      <c r="D28" s="40"/>
      <c r="E28" s="41"/>
      <c r="F28" s="42"/>
      <c r="G28" s="43"/>
      <c r="H28" s="44"/>
      <c r="I28" s="41"/>
      <c r="J28" s="42"/>
      <c r="K28" s="43"/>
      <c r="L28" s="44"/>
      <c r="M28" s="41"/>
      <c r="N28" s="42"/>
      <c r="O28" s="43"/>
      <c r="P28" s="44"/>
      <c r="Q28" s="45"/>
      <c r="R28" s="46"/>
    </row>
    <row r="29" spans="1:18" ht="18" customHeight="1" thickBot="1" x14ac:dyDescent="0.2">
      <c r="A29" s="31"/>
      <c r="B29" s="72"/>
      <c r="C29" s="73"/>
      <c r="D29" s="32"/>
      <c r="E29" s="33"/>
      <c r="F29" s="34"/>
      <c r="G29" s="35"/>
      <c r="H29" s="36"/>
      <c r="I29" s="33"/>
      <c r="J29" s="34"/>
      <c r="K29" s="35"/>
      <c r="L29" s="36"/>
      <c r="M29" s="33"/>
      <c r="N29" s="34"/>
      <c r="O29" s="35"/>
      <c r="P29" s="36"/>
      <c r="Q29" s="48"/>
      <c r="R29" s="38"/>
    </row>
    <row r="30" spans="1:18" ht="18" customHeight="1" thickTop="1" x14ac:dyDescent="0.15">
      <c r="B30" s="74" t="s">
        <v>57</v>
      </c>
      <c r="C30" s="75">
        <f t="shared" ref="C30:Q30" si="2">SUM(C10:C29)</f>
        <v>1310</v>
      </c>
      <c r="D30" s="49">
        <f t="shared" si="2"/>
        <v>5490</v>
      </c>
      <c r="E30" s="50">
        <f t="shared" si="2"/>
        <v>20</v>
      </c>
      <c r="F30" s="51">
        <f t="shared" si="2"/>
        <v>16</v>
      </c>
      <c r="G30" s="52">
        <f t="shared" si="2"/>
        <v>0</v>
      </c>
      <c r="H30" s="53">
        <f t="shared" si="2"/>
        <v>0</v>
      </c>
      <c r="I30" s="50">
        <f t="shared" si="2"/>
        <v>0</v>
      </c>
      <c r="J30" s="51">
        <f t="shared" si="2"/>
        <v>0</v>
      </c>
      <c r="K30" s="52">
        <f t="shared" si="2"/>
        <v>0</v>
      </c>
      <c r="L30" s="53">
        <f t="shared" si="2"/>
        <v>0</v>
      </c>
      <c r="M30" s="50">
        <f t="shared" si="2"/>
        <v>0</v>
      </c>
      <c r="N30" s="51">
        <f t="shared" si="2"/>
        <v>0</v>
      </c>
      <c r="O30" s="52">
        <f t="shared" si="2"/>
        <v>0</v>
      </c>
      <c r="P30" s="53">
        <f t="shared" si="2"/>
        <v>0</v>
      </c>
      <c r="Q30" s="54">
        <f t="shared" si="2"/>
        <v>20</v>
      </c>
      <c r="R30" s="118">
        <f>Q30/D30</f>
        <v>3.6429872495446266E-3</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4"/>
  <sheetViews>
    <sheetView showZeros="0" view="pageBreakPreview" topLeftCell="A16" zoomScaleNormal="100" zoomScaleSheetLayoutView="100" workbookViewId="0">
      <selection activeCell="B15" sqref="B15:J25"/>
    </sheetView>
  </sheetViews>
  <sheetFormatPr defaultColWidth="11.375" defaultRowHeight="18.75" customHeight="1" x14ac:dyDescent="0.15"/>
  <cols>
    <col min="1" max="1" width="2.75" style="125" customWidth="1"/>
    <col min="2" max="2" width="16.625" style="7" customWidth="1"/>
    <col min="3" max="3" width="8.875" style="7" customWidth="1"/>
    <col min="4" max="4" width="2.25" style="7" customWidth="1"/>
    <col min="5" max="5" width="16.625" style="7" customWidth="1"/>
    <col min="6" max="6" width="8.875" style="7" customWidth="1"/>
    <col min="7" max="7" width="2.25" style="7" customWidth="1"/>
    <col min="8" max="8" width="16.625" style="7" customWidth="1"/>
    <col min="9" max="9" width="8.875" style="7" customWidth="1"/>
    <col min="10" max="10" width="2.25" style="7" customWidth="1"/>
    <col min="11" max="16384" width="11.375" style="7"/>
  </cols>
  <sheetData>
    <row r="1" spans="1:11" ht="18.75" customHeight="1" x14ac:dyDescent="0.15">
      <c r="A1" s="125" t="s">
        <v>115</v>
      </c>
      <c r="J1" s="120" t="s">
        <v>116</v>
      </c>
    </row>
    <row r="2" spans="1:11" ht="18.75" customHeight="1" x14ac:dyDescent="0.15">
      <c r="A2" s="255" t="s">
        <v>64</v>
      </c>
      <c r="B2" s="255"/>
      <c r="C2" s="255"/>
      <c r="D2" s="255"/>
      <c r="E2" s="255"/>
      <c r="F2" s="255"/>
      <c r="G2" s="255"/>
      <c r="H2" s="255"/>
      <c r="I2" s="255"/>
      <c r="J2" s="255"/>
    </row>
    <row r="3" spans="1:11" ht="7.5" customHeight="1" x14ac:dyDescent="0.15">
      <c r="B3" s="19"/>
      <c r="C3" s="19"/>
      <c r="D3" s="19"/>
      <c r="E3" s="19"/>
      <c r="F3" s="19"/>
      <c r="G3" s="19"/>
      <c r="H3" s="19"/>
      <c r="I3" s="19"/>
      <c r="J3" s="19"/>
    </row>
    <row r="4" spans="1:11" ht="18.75" customHeight="1" x14ac:dyDescent="0.15">
      <c r="A4" s="7" t="s">
        <v>6</v>
      </c>
      <c r="B4" s="7" t="s">
        <v>72</v>
      </c>
      <c r="I4" s="19"/>
      <c r="J4" s="19"/>
    </row>
    <row r="5" spans="1:11" ht="18.75" customHeight="1" x14ac:dyDescent="0.15">
      <c r="A5" s="7"/>
      <c r="B5" s="331" t="s">
        <v>169</v>
      </c>
      <c r="C5" s="332"/>
      <c r="D5" s="332"/>
      <c r="E5" s="332"/>
      <c r="F5" s="332"/>
      <c r="G5" s="332"/>
      <c r="H5" s="332"/>
      <c r="I5" s="332"/>
      <c r="J5" s="333"/>
      <c r="K5" s="7" t="str">
        <f>IF(B5="","入力してください","")</f>
        <v/>
      </c>
    </row>
    <row r="6" spans="1:11" ht="7.5" customHeight="1" x14ac:dyDescent="0.15">
      <c r="B6" s="19"/>
      <c r="C6" s="19"/>
      <c r="D6" s="19"/>
      <c r="E6" s="19"/>
      <c r="F6" s="19"/>
      <c r="G6" s="19"/>
      <c r="H6" s="19"/>
      <c r="I6" s="19"/>
      <c r="J6" s="19"/>
    </row>
    <row r="7" spans="1:11" ht="18.75" customHeight="1" x14ac:dyDescent="0.15">
      <c r="A7" s="7" t="s">
        <v>9</v>
      </c>
      <c r="B7" s="7" t="s">
        <v>39</v>
      </c>
      <c r="K7" s="8"/>
    </row>
    <row r="8" spans="1:11" ht="18.75" customHeight="1" x14ac:dyDescent="0.15">
      <c r="A8" s="60"/>
      <c r="B8" s="310" t="s">
        <v>207</v>
      </c>
      <c r="C8" s="311"/>
      <c r="D8" s="311"/>
      <c r="E8" s="311"/>
      <c r="F8" s="311"/>
      <c r="G8" s="311"/>
      <c r="H8" s="311"/>
      <c r="I8" s="319"/>
      <c r="J8" s="320"/>
      <c r="K8" s="7" t="str">
        <f>IF(B8="","入力してください","")</f>
        <v/>
      </c>
    </row>
    <row r="9" spans="1:11" ht="18.75" customHeight="1" x14ac:dyDescent="0.15">
      <c r="A9" s="60"/>
      <c r="B9" s="321"/>
      <c r="C9" s="322"/>
      <c r="D9" s="322"/>
      <c r="E9" s="322"/>
      <c r="F9" s="322"/>
      <c r="G9" s="322"/>
      <c r="H9" s="322"/>
      <c r="I9" s="322"/>
      <c r="J9" s="323"/>
    </row>
    <row r="10" spans="1:11" ht="18.75" customHeight="1" x14ac:dyDescent="0.15">
      <c r="A10" s="60"/>
      <c r="B10" s="321"/>
      <c r="C10" s="322"/>
      <c r="D10" s="322"/>
      <c r="E10" s="322"/>
      <c r="F10" s="322"/>
      <c r="G10" s="322"/>
      <c r="H10" s="322"/>
      <c r="I10" s="322"/>
      <c r="J10" s="323"/>
    </row>
    <row r="11" spans="1:11" ht="18.75" customHeight="1" x14ac:dyDescent="0.15">
      <c r="A11" s="60"/>
      <c r="B11" s="321"/>
      <c r="C11" s="322"/>
      <c r="D11" s="322"/>
      <c r="E11" s="322"/>
      <c r="F11" s="322"/>
      <c r="G11" s="322"/>
      <c r="H11" s="322"/>
      <c r="I11" s="322"/>
      <c r="J11" s="323"/>
    </row>
    <row r="12" spans="1:11" ht="18.75" customHeight="1" x14ac:dyDescent="0.15">
      <c r="A12" s="60"/>
      <c r="B12" s="324"/>
      <c r="C12" s="325"/>
      <c r="D12" s="325"/>
      <c r="E12" s="325"/>
      <c r="F12" s="325"/>
      <c r="G12" s="325"/>
      <c r="H12" s="325"/>
      <c r="I12" s="325"/>
      <c r="J12" s="326"/>
    </row>
    <row r="13" spans="1:11" ht="7.5" customHeight="1" x14ac:dyDescent="0.15">
      <c r="A13" s="60"/>
      <c r="B13" s="60"/>
      <c r="C13" s="60"/>
      <c r="D13" s="60"/>
      <c r="E13" s="60"/>
      <c r="F13" s="60"/>
      <c r="G13" s="60"/>
      <c r="H13" s="60"/>
      <c r="I13" s="60"/>
      <c r="J13" s="60"/>
    </row>
    <row r="14" spans="1:11" ht="18.75" customHeight="1" x14ac:dyDescent="0.15">
      <c r="A14" s="121" t="s">
        <v>10</v>
      </c>
      <c r="B14" s="121" t="s">
        <v>15</v>
      </c>
      <c r="C14" s="121"/>
      <c r="D14" s="121"/>
      <c r="E14" s="121"/>
      <c r="F14" s="121"/>
      <c r="G14" s="121"/>
      <c r="H14" s="121"/>
      <c r="I14" s="121"/>
      <c r="J14" s="121"/>
    </row>
    <row r="15" spans="1:11" ht="18.75" customHeight="1" x14ac:dyDescent="0.15">
      <c r="A15" s="60"/>
      <c r="B15" s="310" t="s">
        <v>205</v>
      </c>
      <c r="C15" s="311"/>
      <c r="D15" s="311"/>
      <c r="E15" s="311"/>
      <c r="F15" s="311"/>
      <c r="G15" s="311"/>
      <c r="H15" s="311"/>
      <c r="I15" s="319"/>
      <c r="J15" s="320"/>
    </row>
    <row r="16" spans="1:11" ht="18.75" customHeight="1" x14ac:dyDescent="0.15">
      <c r="A16" s="60"/>
      <c r="B16" s="321"/>
      <c r="C16" s="322"/>
      <c r="D16" s="322"/>
      <c r="E16" s="322"/>
      <c r="F16" s="322"/>
      <c r="G16" s="322"/>
      <c r="H16" s="322"/>
      <c r="I16" s="322"/>
      <c r="J16" s="323"/>
    </row>
    <row r="17" spans="1:11" ht="18.75" customHeight="1" x14ac:dyDescent="0.15">
      <c r="A17" s="60"/>
      <c r="B17" s="321"/>
      <c r="C17" s="322"/>
      <c r="D17" s="322"/>
      <c r="E17" s="322"/>
      <c r="F17" s="322"/>
      <c r="G17" s="322"/>
      <c r="H17" s="322"/>
      <c r="I17" s="322"/>
      <c r="J17" s="323"/>
    </row>
    <row r="18" spans="1:11" ht="18.75" customHeight="1" x14ac:dyDescent="0.15">
      <c r="A18" s="60"/>
      <c r="B18" s="321"/>
      <c r="C18" s="322"/>
      <c r="D18" s="322"/>
      <c r="E18" s="322"/>
      <c r="F18" s="322"/>
      <c r="G18" s="322"/>
      <c r="H18" s="322"/>
      <c r="I18" s="322"/>
      <c r="J18" s="323"/>
    </row>
    <row r="19" spans="1:11" ht="18.75" customHeight="1" x14ac:dyDescent="0.15">
      <c r="A19" s="60"/>
      <c r="B19" s="321"/>
      <c r="C19" s="322"/>
      <c r="D19" s="322"/>
      <c r="E19" s="322"/>
      <c r="F19" s="322"/>
      <c r="G19" s="322"/>
      <c r="H19" s="322"/>
      <c r="I19" s="322"/>
      <c r="J19" s="323"/>
    </row>
    <row r="20" spans="1:11" ht="18.75" customHeight="1" x14ac:dyDescent="0.15">
      <c r="A20" s="60"/>
      <c r="B20" s="321"/>
      <c r="C20" s="322"/>
      <c r="D20" s="322"/>
      <c r="E20" s="322"/>
      <c r="F20" s="322"/>
      <c r="G20" s="322"/>
      <c r="H20" s="322"/>
      <c r="I20" s="322"/>
      <c r="J20" s="323"/>
    </row>
    <row r="21" spans="1:11" ht="18.75" customHeight="1" x14ac:dyDescent="0.15">
      <c r="A21" s="60"/>
      <c r="B21" s="321"/>
      <c r="C21" s="322"/>
      <c r="D21" s="322"/>
      <c r="E21" s="322"/>
      <c r="F21" s="322"/>
      <c r="G21" s="322"/>
      <c r="H21" s="322"/>
      <c r="I21" s="322"/>
      <c r="J21" s="323"/>
    </row>
    <row r="22" spans="1:11" ht="18.75" customHeight="1" x14ac:dyDescent="0.15">
      <c r="A22" s="60"/>
      <c r="B22" s="321"/>
      <c r="C22" s="322"/>
      <c r="D22" s="322"/>
      <c r="E22" s="322"/>
      <c r="F22" s="322"/>
      <c r="G22" s="322"/>
      <c r="H22" s="322"/>
      <c r="I22" s="322"/>
      <c r="J22" s="323"/>
    </row>
    <row r="23" spans="1:11" ht="18.75" customHeight="1" x14ac:dyDescent="0.15">
      <c r="A23" s="60"/>
      <c r="B23" s="321"/>
      <c r="C23" s="322"/>
      <c r="D23" s="322"/>
      <c r="E23" s="322"/>
      <c r="F23" s="322"/>
      <c r="G23" s="322"/>
      <c r="H23" s="322"/>
      <c r="I23" s="322"/>
      <c r="J23" s="323"/>
    </row>
    <row r="24" spans="1:11" ht="18.75" customHeight="1" x14ac:dyDescent="0.15">
      <c r="A24" s="60"/>
      <c r="B24" s="321"/>
      <c r="C24" s="322"/>
      <c r="D24" s="322"/>
      <c r="E24" s="322"/>
      <c r="F24" s="322"/>
      <c r="G24" s="322"/>
      <c r="H24" s="322"/>
      <c r="I24" s="322"/>
      <c r="J24" s="323"/>
    </row>
    <row r="25" spans="1:11" ht="18.75" customHeight="1" x14ac:dyDescent="0.15">
      <c r="A25" s="60"/>
      <c r="B25" s="324"/>
      <c r="C25" s="325"/>
      <c r="D25" s="325"/>
      <c r="E25" s="325"/>
      <c r="F25" s="325"/>
      <c r="G25" s="325"/>
      <c r="H25" s="325"/>
      <c r="I25" s="325"/>
      <c r="J25" s="326"/>
    </row>
    <row r="26" spans="1:11" ht="7.5" customHeight="1" x14ac:dyDescent="0.15">
      <c r="A26" s="126"/>
      <c r="B26" s="126"/>
      <c r="C26" s="126"/>
      <c r="D26" s="126"/>
      <c r="E26" s="126"/>
      <c r="F26" s="126"/>
      <c r="G26" s="126"/>
      <c r="H26" s="126"/>
      <c r="I26" s="126"/>
      <c r="J26" s="126"/>
    </row>
    <row r="27" spans="1:11" ht="18.75" customHeight="1" x14ac:dyDescent="0.15">
      <c r="A27" s="7" t="s">
        <v>13</v>
      </c>
      <c r="B27" s="7" t="s">
        <v>26</v>
      </c>
    </row>
    <row r="28" spans="1:11" s="19" customFormat="1" ht="18.75" customHeight="1" x14ac:dyDescent="0.15">
      <c r="B28" s="76" t="s">
        <v>117</v>
      </c>
      <c r="C28" s="119">
        <f>'様式３　履修者等数の実績'!R30</f>
        <v>3.6429872495446266E-3</v>
      </c>
      <c r="D28" s="78"/>
      <c r="E28" s="78" t="s">
        <v>118</v>
      </c>
      <c r="F28" s="77">
        <v>0.15</v>
      </c>
      <c r="G28" s="78"/>
      <c r="H28" s="78" t="s">
        <v>119</v>
      </c>
      <c r="I28" s="79">
        <v>0.39</v>
      </c>
      <c r="J28" s="80"/>
      <c r="K28" s="7"/>
    </row>
    <row r="29" spans="1:11" s="19" customFormat="1" ht="18.75" customHeight="1" x14ac:dyDescent="0.15">
      <c r="B29" s="66" t="s">
        <v>120</v>
      </c>
      <c r="C29" s="81">
        <v>0.63</v>
      </c>
      <c r="D29" s="67"/>
      <c r="E29" s="67" t="s">
        <v>121</v>
      </c>
      <c r="F29" s="81">
        <v>0.86</v>
      </c>
      <c r="G29" s="67"/>
      <c r="H29" s="67" t="s">
        <v>122</v>
      </c>
      <c r="I29" s="82">
        <f>'様式３　履修者等数の実績'!D30</f>
        <v>5490</v>
      </c>
      <c r="J29" s="83"/>
      <c r="K29" s="127"/>
    </row>
    <row r="30" spans="1:11" ht="18.75" customHeight="1" x14ac:dyDescent="0.15">
      <c r="A30" s="7"/>
      <c r="B30" s="233" t="s">
        <v>123</v>
      </c>
      <c r="C30" s="234"/>
      <c r="D30" s="234"/>
      <c r="E30" s="234"/>
      <c r="F30" s="234"/>
      <c r="G30" s="234"/>
      <c r="H30" s="234"/>
      <c r="I30" s="234"/>
      <c r="J30" s="235"/>
      <c r="K30" s="8"/>
    </row>
    <row r="31" spans="1:11" ht="18.75" customHeight="1" x14ac:dyDescent="0.15">
      <c r="A31" s="7"/>
      <c r="B31" s="328" t="s">
        <v>208</v>
      </c>
      <c r="C31" s="329"/>
      <c r="D31" s="329"/>
      <c r="E31" s="329"/>
      <c r="F31" s="329"/>
      <c r="G31" s="329"/>
      <c r="H31" s="329"/>
      <c r="I31" s="329"/>
      <c r="J31" s="330"/>
      <c r="K31" s="8"/>
    </row>
    <row r="32" spans="1:11" ht="18.75" customHeight="1" x14ac:dyDescent="0.15">
      <c r="A32" s="7"/>
      <c r="B32" s="313"/>
      <c r="C32" s="314"/>
      <c r="D32" s="314"/>
      <c r="E32" s="314"/>
      <c r="F32" s="314"/>
      <c r="G32" s="314"/>
      <c r="H32" s="314"/>
      <c r="I32" s="314"/>
      <c r="J32" s="315"/>
      <c r="K32" s="8"/>
    </row>
    <row r="33" spans="1:11" ht="18.75" customHeight="1" x14ac:dyDescent="0.15">
      <c r="A33" s="7"/>
      <c r="B33" s="313"/>
      <c r="C33" s="314"/>
      <c r="D33" s="314"/>
      <c r="E33" s="314"/>
      <c r="F33" s="314"/>
      <c r="G33" s="314"/>
      <c r="H33" s="314"/>
      <c r="I33" s="314"/>
      <c r="J33" s="315"/>
      <c r="K33" s="8"/>
    </row>
    <row r="34" spans="1:11" ht="18.75" customHeight="1" x14ac:dyDescent="0.15">
      <c r="A34" s="7"/>
      <c r="B34" s="313"/>
      <c r="C34" s="314"/>
      <c r="D34" s="314"/>
      <c r="E34" s="314"/>
      <c r="F34" s="314"/>
      <c r="G34" s="314"/>
      <c r="H34" s="314"/>
      <c r="I34" s="314"/>
      <c r="J34" s="315"/>
      <c r="K34" s="8"/>
    </row>
    <row r="35" spans="1:11" ht="18.75" customHeight="1" x14ac:dyDescent="0.15">
      <c r="A35" s="7"/>
      <c r="B35" s="313"/>
      <c r="C35" s="314"/>
      <c r="D35" s="314"/>
      <c r="E35" s="314"/>
      <c r="F35" s="314"/>
      <c r="G35" s="314"/>
      <c r="H35" s="314"/>
      <c r="I35" s="314"/>
      <c r="J35" s="315"/>
      <c r="K35" s="8"/>
    </row>
    <row r="36" spans="1:11" ht="18.75" customHeight="1" x14ac:dyDescent="0.15">
      <c r="A36" s="7"/>
      <c r="B36" s="313"/>
      <c r="C36" s="314"/>
      <c r="D36" s="314"/>
      <c r="E36" s="314"/>
      <c r="F36" s="314"/>
      <c r="G36" s="314"/>
      <c r="H36" s="314"/>
      <c r="I36" s="314"/>
      <c r="J36" s="315"/>
      <c r="K36" s="8"/>
    </row>
    <row r="37" spans="1:11" ht="18.75" customHeight="1" x14ac:dyDescent="0.15">
      <c r="A37" s="7"/>
      <c r="B37" s="313"/>
      <c r="C37" s="314"/>
      <c r="D37" s="314"/>
      <c r="E37" s="314"/>
      <c r="F37" s="314"/>
      <c r="G37" s="314"/>
      <c r="H37" s="314"/>
      <c r="I37" s="314"/>
      <c r="J37" s="315"/>
      <c r="K37" s="8"/>
    </row>
    <row r="38" spans="1:11" ht="18.75" customHeight="1" x14ac:dyDescent="0.15">
      <c r="A38" s="7"/>
      <c r="B38" s="313"/>
      <c r="C38" s="314"/>
      <c r="D38" s="314"/>
      <c r="E38" s="314"/>
      <c r="F38" s="314"/>
      <c r="G38" s="314"/>
      <c r="H38" s="314"/>
      <c r="I38" s="314"/>
      <c r="J38" s="315"/>
      <c r="K38" s="8"/>
    </row>
    <row r="39" spans="1:11" ht="18.75" customHeight="1" x14ac:dyDescent="0.15">
      <c r="A39" s="7"/>
      <c r="B39" s="313"/>
      <c r="C39" s="314"/>
      <c r="D39" s="314"/>
      <c r="E39" s="314"/>
      <c r="F39" s="314"/>
      <c r="G39" s="314"/>
      <c r="H39" s="314"/>
      <c r="I39" s="314"/>
      <c r="J39" s="315"/>
      <c r="K39" s="8"/>
    </row>
    <row r="40" spans="1:11" ht="18.75" customHeight="1" x14ac:dyDescent="0.15">
      <c r="A40" s="7"/>
      <c r="B40" s="313"/>
      <c r="C40" s="314"/>
      <c r="D40" s="314"/>
      <c r="E40" s="314"/>
      <c r="F40" s="314"/>
      <c r="G40" s="314"/>
      <c r="H40" s="314"/>
      <c r="I40" s="314"/>
      <c r="J40" s="315"/>
      <c r="K40" s="8"/>
    </row>
    <row r="41" spans="1:11" ht="18.75" customHeight="1" x14ac:dyDescent="0.15">
      <c r="A41" s="7"/>
      <c r="B41" s="313"/>
      <c r="C41" s="314"/>
      <c r="D41" s="314"/>
      <c r="E41" s="314"/>
      <c r="F41" s="314"/>
      <c r="G41" s="314"/>
      <c r="H41" s="314"/>
      <c r="I41" s="314"/>
      <c r="J41" s="315"/>
      <c r="K41" s="8"/>
    </row>
    <row r="42" spans="1:11" ht="18.75" customHeight="1" x14ac:dyDescent="0.15">
      <c r="A42" s="7"/>
      <c r="B42" s="313"/>
      <c r="C42" s="314"/>
      <c r="D42" s="314"/>
      <c r="E42" s="314"/>
      <c r="F42" s="314"/>
      <c r="G42" s="314"/>
      <c r="H42" s="314"/>
      <c r="I42" s="314"/>
      <c r="J42" s="315"/>
      <c r="K42" s="128"/>
    </row>
    <row r="43" spans="1:11" ht="18.75" customHeight="1" x14ac:dyDescent="0.15">
      <c r="A43" s="126"/>
      <c r="B43" s="313"/>
      <c r="C43" s="314"/>
      <c r="D43" s="314"/>
      <c r="E43" s="314"/>
      <c r="F43" s="314"/>
      <c r="G43" s="314"/>
      <c r="H43" s="314"/>
      <c r="I43" s="314"/>
      <c r="J43" s="315"/>
      <c r="K43" s="8"/>
    </row>
    <row r="44" spans="1:11" ht="18.75" customHeight="1" x14ac:dyDescent="0.15">
      <c r="A44" s="126"/>
      <c r="B44" s="316"/>
      <c r="C44" s="317"/>
      <c r="D44" s="317"/>
      <c r="E44" s="317"/>
      <c r="F44" s="317"/>
      <c r="G44" s="317"/>
      <c r="H44" s="317"/>
      <c r="I44" s="317"/>
      <c r="J44" s="318"/>
      <c r="K44" s="129"/>
    </row>
    <row r="45" spans="1:11" ht="18.75" customHeight="1" x14ac:dyDescent="0.15">
      <c r="A45" s="121" t="s">
        <v>11</v>
      </c>
      <c r="B45" s="7" t="s">
        <v>65</v>
      </c>
      <c r="I45" s="121"/>
      <c r="J45" s="121"/>
      <c r="K45" s="130"/>
    </row>
    <row r="46" spans="1:11" ht="18.75" customHeight="1" x14ac:dyDescent="0.15">
      <c r="A46" s="126"/>
      <c r="B46" s="310" t="s">
        <v>209</v>
      </c>
      <c r="C46" s="311"/>
      <c r="D46" s="311"/>
      <c r="E46" s="311"/>
      <c r="F46" s="311"/>
      <c r="G46" s="311"/>
      <c r="H46" s="311"/>
      <c r="I46" s="311"/>
      <c r="J46" s="312"/>
      <c r="K46" s="130"/>
    </row>
    <row r="47" spans="1:11" ht="18.75" customHeight="1" x14ac:dyDescent="0.15">
      <c r="A47" s="126"/>
      <c r="B47" s="313"/>
      <c r="C47" s="314"/>
      <c r="D47" s="314"/>
      <c r="E47" s="314"/>
      <c r="F47" s="314"/>
      <c r="G47" s="314"/>
      <c r="H47" s="314"/>
      <c r="I47" s="314"/>
      <c r="J47" s="315"/>
      <c r="K47" s="130"/>
    </row>
    <row r="48" spans="1:11" ht="18.75" customHeight="1" x14ac:dyDescent="0.15">
      <c r="A48" s="126"/>
      <c r="B48" s="313"/>
      <c r="C48" s="314"/>
      <c r="D48" s="314"/>
      <c r="E48" s="314"/>
      <c r="F48" s="314"/>
      <c r="G48" s="314"/>
      <c r="H48" s="314"/>
      <c r="I48" s="314"/>
      <c r="J48" s="315"/>
    </row>
    <row r="49" spans="1:11" ht="18.75" customHeight="1" x14ac:dyDescent="0.15">
      <c r="A49" s="126"/>
      <c r="B49" s="313"/>
      <c r="C49" s="314"/>
      <c r="D49" s="314"/>
      <c r="E49" s="314"/>
      <c r="F49" s="314"/>
      <c r="G49" s="314"/>
      <c r="H49" s="314"/>
      <c r="I49" s="314"/>
      <c r="J49" s="315"/>
    </row>
    <row r="50" spans="1:11" ht="18.75" customHeight="1" x14ac:dyDescent="0.15">
      <c r="A50" s="126"/>
      <c r="B50" s="313"/>
      <c r="C50" s="314"/>
      <c r="D50" s="314"/>
      <c r="E50" s="314"/>
      <c r="F50" s="314"/>
      <c r="G50" s="314"/>
      <c r="H50" s="314"/>
      <c r="I50" s="314"/>
      <c r="J50" s="315"/>
    </row>
    <row r="51" spans="1:11" ht="18.75" customHeight="1" x14ac:dyDescent="0.15">
      <c r="A51" s="126"/>
      <c r="B51" s="313"/>
      <c r="C51" s="314"/>
      <c r="D51" s="314"/>
      <c r="E51" s="314"/>
      <c r="F51" s="314"/>
      <c r="G51" s="314"/>
      <c r="H51" s="314"/>
      <c r="I51" s="314"/>
      <c r="J51" s="315"/>
      <c r="K51" s="130"/>
    </row>
    <row r="52" spans="1:11" ht="18.75" customHeight="1" x14ac:dyDescent="0.15">
      <c r="A52" s="126"/>
      <c r="B52" s="313"/>
      <c r="C52" s="314"/>
      <c r="D52" s="314"/>
      <c r="E52" s="314"/>
      <c r="F52" s="314"/>
      <c r="G52" s="314"/>
      <c r="H52" s="314"/>
      <c r="I52" s="314"/>
      <c r="J52" s="315"/>
      <c r="K52" s="131"/>
    </row>
    <row r="53" spans="1:11" ht="18.75" customHeight="1" x14ac:dyDescent="0.15">
      <c r="A53" s="126"/>
      <c r="B53" s="313"/>
      <c r="C53" s="314"/>
      <c r="D53" s="314"/>
      <c r="E53" s="314"/>
      <c r="F53" s="314"/>
      <c r="G53" s="314"/>
      <c r="H53" s="314"/>
      <c r="I53" s="314"/>
      <c r="J53" s="315"/>
      <c r="K53" s="131"/>
    </row>
    <row r="54" spans="1:11" ht="18.75" customHeight="1" x14ac:dyDescent="0.15">
      <c r="A54" s="126"/>
      <c r="B54" s="313"/>
      <c r="C54" s="314"/>
      <c r="D54" s="314"/>
      <c r="E54" s="314"/>
      <c r="F54" s="314"/>
      <c r="G54" s="314"/>
      <c r="H54" s="314"/>
      <c r="I54" s="314"/>
      <c r="J54" s="315"/>
    </row>
    <row r="55" spans="1:11" ht="18.75" customHeight="1" x14ac:dyDescent="0.15">
      <c r="A55" s="126"/>
      <c r="B55" s="313"/>
      <c r="C55" s="314"/>
      <c r="D55" s="314"/>
      <c r="E55" s="314"/>
      <c r="F55" s="314"/>
      <c r="G55" s="314"/>
      <c r="H55" s="314"/>
      <c r="I55" s="314"/>
      <c r="J55" s="315"/>
    </row>
    <row r="56" spans="1:11" ht="18.75" customHeight="1" x14ac:dyDescent="0.15">
      <c r="A56" s="126"/>
      <c r="B56" s="313"/>
      <c r="C56" s="314"/>
      <c r="D56" s="314"/>
      <c r="E56" s="314"/>
      <c r="F56" s="314"/>
      <c r="G56" s="314"/>
      <c r="H56" s="314"/>
      <c r="I56" s="314"/>
      <c r="J56" s="315"/>
    </row>
    <row r="57" spans="1:11" ht="18.75" customHeight="1" x14ac:dyDescent="0.15">
      <c r="A57" s="126"/>
      <c r="B57" s="313"/>
      <c r="C57" s="314"/>
      <c r="D57" s="314"/>
      <c r="E57" s="314"/>
      <c r="F57" s="314"/>
      <c r="G57" s="314"/>
      <c r="H57" s="314"/>
      <c r="I57" s="314"/>
      <c r="J57" s="315"/>
    </row>
    <row r="58" spans="1:11" ht="18.75" customHeight="1" x14ac:dyDescent="0.15">
      <c r="A58" s="126"/>
      <c r="B58" s="313"/>
      <c r="C58" s="314"/>
      <c r="D58" s="314"/>
      <c r="E58" s="314"/>
      <c r="F58" s="314"/>
      <c r="G58" s="314"/>
      <c r="H58" s="314"/>
      <c r="I58" s="314"/>
      <c r="J58" s="315"/>
    </row>
    <row r="59" spans="1:11" ht="18.75" customHeight="1" x14ac:dyDescent="0.15">
      <c r="A59" s="126"/>
      <c r="B59" s="313"/>
      <c r="C59" s="314"/>
      <c r="D59" s="314"/>
      <c r="E59" s="314"/>
      <c r="F59" s="314"/>
      <c r="G59" s="314"/>
      <c r="H59" s="314"/>
      <c r="I59" s="314"/>
      <c r="J59" s="315"/>
    </row>
    <row r="60" spans="1:11" ht="18.75" customHeight="1" x14ac:dyDescent="0.15">
      <c r="A60" s="126"/>
      <c r="B60" s="313"/>
      <c r="C60" s="314"/>
      <c r="D60" s="314"/>
      <c r="E60" s="314"/>
      <c r="F60" s="314"/>
      <c r="G60" s="314"/>
      <c r="H60" s="314"/>
      <c r="I60" s="314"/>
      <c r="J60" s="315"/>
    </row>
    <row r="61" spans="1:11" ht="18.75" customHeight="1" x14ac:dyDescent="0.15">
      <c r="A61" s="126"/>
      <c r="B61" s="313"/>
      <c r="C61" s="314"/>
      <c r="D61" s="314"/>
      <c r="E61" s="314"/>
      <c r="F61" s="314"/>
      <c r="G61" s="314"/>
      <c r="H61" s="314"/>
      <c r="I61" s="314"/>
      <c r="J61" s="315"/>
    </row>
    <row r="62" spans="1:11" ht="18.75" customHeight="1" x14ac:dyDescent="0.15">
      <c r="A62" s="126"/>
      <c r="B62" s="313"/>
      <c r="C62" s="314"/>
      <c r="D62" s="314"/>
      <c r="E62" s="314"/>
      <c r="F62" s="314"/>
      <c r="G62" s="314"/>
      <c r="H62" s="314"/>
      <c r="I62" s="314"/>
      <c r="J62" s="315"/>
    </row>
    <row r="63" spans="1:11" ht="18.75" customHeight="1" x14ac:dyDescent="0.15">
      <c r="A63" s="126"/>
      <c r="B63" s="313"/>
      <c r="C63" s="314"/>
      <c r="D63" s="314"/>
      <c r="E63" s="314"/>
      <c r="F63" s="314"/>
      <c r="G63" s="314"/>
      <c r="H63" s="314"/>
      <c r="I63" s="314"/>
      <c r="J63" s="315"/>
    </row>
    <row r="64" spans="1:11" ht="18.75" customHeight="1" x14ac:dyDescent="0.15">
      <c r="A64" s="126"/>
      <c r="B64" s="313"/>
      <c r="C64" s="314"/>
      <c r="D64" s="314"/>
      <c r="E64" s="314"/>
      <c r="F64" s="314"/>
      <c r="G64" s="314"/>
      <c r="H64" s="314"/>
      <c r="I64" s="314"/>
      <c r="J64" s="315"/>
    </row>
    <row r="65" spans="1:11" ht="18.75" customHeight="1" x14ac:dyDescent="0.15">
      <c r="A65" s="126"/>
      <c r="B65" s="313"/>
      <c r="C65" s="314"/>
      <c r="D65" s="314"/>
      <c r="E65" s="314"/>
      <c r="F65" s="314"/>
      <c r="G65" s="314"/>
      <c r="H65" s="314"/>
      <c r="I65" s="314"/>
      <c r="J65" s="315"/>
    </row>
    <row r="66" spans="1:11" ht="18.75" customHeight="1" x14ac:dyDescent="0.15">
      <c r="A66" s="126"/>
      <c r="B66" s="316"/>
      <c r="C66" s="317"/>
      <c r="D66" s="317"/>
      <c r="E66" s="317"/>
      <c r="F66" s="317"/>
      <c r="G66" s="317"/>
      <c r="H66" s="317"/>
      <c r="I66" s="317"/>
      <c r="J66" s="318"/>
    </row>
    <row r="67" spans="1:11" ht="7.5" customHeight="1" x14ac:dyDescent="0.15">
      <c r="A67" s="126"/>
      <c r="B67" s="126"/>
      <c r="C67" s="126"/>
      <c r="D67" s="126"/>
      <c r="E67" s="126"/>
      <c r="F67" s="126"/>
      <c r="G67" s="126"/>
      <c r="H67" s="126"/>
      <c r="I67" s="126"/>
      <c r="J67" s="126"/>
    </row>
    <row r="68" spans="1:11" ht="18.75" customHeight="1" x14ac:dyDescent="0.15">
      <c r="A68" s="7" t="s">
        <v>14</v>
      </c>
      <c r="B68" s="7" t="s">
        <v>71</v>
      </c>
    </row>
    <row r="69" spans="1:11" ht="18.75" customHeight="1" x14ac:dyDescent="0.15">
      <c r="A69" s="7"/>
      <c r="B69" s="310" t="s">
        <v>210</v>
      </c>
      <c r="C69" s="311"/>
      <c r="D69" s="311"/>
      <c r="E69" s="311"/>
      <c r="F69" s="311"/>
      <c r="G69" s="311"/>
      <c r="H69" s="311"/>
      <c r="I69" s="319"/>
      <c r="J69" s="320"/>
      <c r="K69" s="8" t="str">
        <f>IF(B69="","入力してください","")</f>
        <v/>
      </c>
    </row>
    <row r="70" spans="1:11" ht="18.75" customHeight="1" x14ac:dyDescent="0.15">
      <c r="A70" s="7"/>
      <c r="B70" s="321"/>
      <c r="C70" s="322"/>
      <c r="D70" s="322"/>
      <c r="E70" s="322"/>
      <c r="F70" s="322"/>
      <c r="G70" s="322"/>
      <c r="H70" s="322"/>
      <c r="I70" s="322"/>
      <c r="J70" s="323"/>
      <c r="K70" s="8"/>
    </row>
    <row r="71" spans="1:11" ht="18.75" customHeight="1" x14ac:dyDescent="0.15">
      <c r="A71" s="7"/>
      <c r="B71" s="321"/>
      <c r="C71" s="322"/>
      <c r="D71" s="322"/>
      <c r="E71" s="322"/>
      <c r="F71" s="322"/>
      <c r="G71" s="322"/>
      <c r="H71" s="322"/>
      <c r="I71" s="322"/>
      <c r="J71" s="323"/>
      <c r="K71" s="8"/>
    </row>
    <row r="72" spans="1:11" ht="18.75" customHeight="1" x14ac:dyDescent="0.15">
      <c r="A72" s="7"/>
      <c r="B72" s="321"/>
      <c r="C72" s="322"/>
      <c r="D72" s="322"/>
      <c r="E72" s="322"/>
      <c r="F72" s="322"/>
      <c r="G72" s="322"/>
      <c r="H72" s="322"/>
      <c r="I72" s="322"/>
      <c r="J72" s="323"/>
      <c r="K72" s="8"/>
    </row>
    <row r="73" spans="1:11" ht="18.75" customHeight="1" x14ac:dyDescent="0.15">
      <c r="A73" s="7"/>
      <c r="B73" s="321"/>
      <c r="C73" s="322"/>
      <c r="D73" s="322"/>
      <c r="E73" s="322"/>
      <c r="F73" s="322"/>
      <c r="G73" s="322"/>
      <c r="H73" s="322"/>
      <c r="I73" s="322"/>
      <c r="J73" s="323"/>
      <c r="K73" s="8"/>
    </row>
    <row r="74" spans="1:11" ht="18.75" customHeight="1" x14ac:dyDescent="0.15">
      <c r="A74" s="7"/>
      <c r="B74" s="321"/>
      <c r="C74" s="322"/>
      <c r="D74" s="322"/>
      <c r="E74" s="322"/>
      <c r="F74" s="322"/>
      <c r="G74" s="322"/>
      <c r="H74" s="322"/>
      <c r="I74" s="322"/>
      <c r="J74" s="323"/>
      <c r="K74" s="8"/>
    </row>
    <row r="75" spans="1:11" ht="18.75" customHeight="1" x14ac:dyDescent="0.15">
      <c r="A75" s="7"/>
      <c r="B75" s="321"/>
      <c r="C75" s="322"/>
      <c r="D75" s="322"/>
      <c r="E75" s="322"/>
      <c r="F75" s="322"/>
      <c r="G75" s="322"/>
      <c r="H75" s="322"/>
      <c r="I75" s="322"/>
      <c r="J75" s="323"/>
      <c r="K75" s="8"/>
    </row>
    <row r="76" spans="1:11" ht="18.75" customHeight="1" x14ac:dyDescent="0.15">
      <c r="A76" s="7"/>
      <c r="B76" s="321"/>
      <c r="C76" s="322"/>
      <c r="D76" s="322"/>
      <c r="E76" s="322"/>
      <c r="F76" s="322"/>
      <c r="G76" s="322"/>
      <c r="H76" s="322"/>
      <c r="I76" s="322"/>
      <c r="J76" s="323"/>
      <c r="K76" s="8"/>
    </row>
    <row r="77" spans="1:11" ht="18.75" customHeight="1" x14ac:dyDescent="0.15">
      <c r="A77" s="7"/>
      <c r="B77" s="321"/>
      <c r="C77" s="322"/>
      <c r="D77" s="322"/>
      <c r="E77" s="322"/>
      <c r="F77" s="322"/>
      <c r="G77" s="322"/>
      <c r="H77" s="322"/>
      <c r="I77" s="322"/>
      <c r="J77" s="323"/>
      <c r="K77" s="8"/>
    </row>
    <row r="78" spans="1:11" ht="18.75" customHeight="1" x14ac:dyDescent="0.15">
      <c r="A78" s="7"/>
      <c r="B78" s="321"/>
      <c r="C78" s="322"/>
      <c r="D78" s="322"/>
      <c r="E78" s="322"/>
      <c r="F78" s="322"/>
      <c r="G78" s="322"/>
      <c r="H78" s="322"/>
      <c r="I78" s="322"/>
      <c r="J78" s="323"/>
      <c r="K78" s="8"/>
    </row>
    <row r="79" spans="1:11" ht="18.75" customHeight="1" x14ac:dyDescent="0.15">
      <c r="A79" s="7"/>
      <c r="B79" s="321"/>
      <c r="C79" s="322"/>
      <c r="D79" s="322"/>
      <c r="E79" s="322"/>
      <c r="F79" s="322"/>
      <c r="G79" s="322"/>
      <c r="H79" s="322"/>
      <c r="I79" s="322"/>
      <c r="J79" s="323"/>
      <c r="K79" s="8"/>
    </row>
    <row r="80" spans="1:11" ht="18.75" customHeight="1" x14ac:dyDescent="0.15">
      <c r="A80" s="7"/>
      <c r="B80" s="321"/>
      <c r="C80" s="322"/>
      <c r="D80" s="322"/>
      <c r="E80" s="322"/>
      <c r="F80" s="322"/>
      <c r="G80" s="322"/>
      <c r="H80" s="322"/>
      <c r="I80" s="322"/>
      <c r="J80" s="323"/>
      <c r="K80" s="8"/>
    </row>
    <row r="81" spans="1:11" ht="18.75" customHeight="1" x14ac:dyDescent="0.15">
      <c r="A81" s="7"/>
      <c r="B81" s="321"/>
      <c r="C81" s="322"/>
      <c r="D81" s="322"/>
      <c r="E81" s="322"/>
      <c r="F81" s="322"/>
      <c r="G81" s="322"/>
      <c r="H81" s="322"/>
      <c r="I81" s="322"/>
      <c r="J81" s="323"/>
      <c r="K81" s="8"/>
    </row>
    <row r="82" spans="1:11" ht="18.75" customHeight="1" x14ac:dyDescent="0.15">
      <c r="A82" s="7"/>
      <c r="B82" s="321"/>
      <c r="C82" s="322"/>
      <c r="D82" s="322"/>
      <c r="E82" s="322"/>
      <c r="F82" s="322"/>
      <c r="G82" s="322"/>
      <c r="H82" s="322"/>
      <c r="I82" s="322"/>
      <c r="J82" s="323"/>
      <c r="K82" s="8"/>
    </row>
    <row r="83" spans="1:11" ht="18.75" customHeight="1" x14ac:dyDescent="0.15">
      <c r="A83" s="7"/>
      <c r="B83" s="321"/>
      <c r="C83" s="322"/>
      <c r="D83" s="322"/>
      <c r="E83" s="322"/>
      <c r="F83" s="322"/>
      <c r="G83" s="322"/>
      <c r="H83" s="322"/>
      <c r="I83" s="322"/>
      <c r="J83" s="323"/>
      <c r="K83" s="8"/>
    </row>
    <row r="84" spans="1:11" ht="18.75" customHeight="1" x14ac:dyDescent="0.15">
      <c r="A84" s="7"/>
      <c r="B84" s="321"/>
      <c r="C84" s="322"/>
      <c r="D84" s="322"/>
      <c r="E84" s="322"/>
      <c r="F84" s="322"/>
      <c r="G84" s="322"/>
      <c r="H84" s="322"/>
      <c r="I84" s="322"/>
      <c r="J84" s="323"/>
      <c r="K84" s="8"/>
    </row>
    <row r="85" spans="1:11" ht="18.75" customHeight="1" x14ac:dyDescent="0.15">
      <c r="A85" s="126"/>
      <c r="B85" s="321"/>
      <c r="C85" s="322"/>
      <c r="D85" s="322"/>
      <c r="E85" s="322"/>
      <c r="F85" s="322"/>
      <c r="G85" s="322"/>
      <c r="H85" s="322"/>
      <c r="I85" s="322"/>
      <c r="J85" s="323"/>
      <c r="K85" s="8"/>
    </row>
    <row r="86" spans="1:11" ht="18.75" customHeight="1" x14ac:dyDescent="0.15">
      <c r="A86" s="126"/>
      <c r="B86" s="324"/>
      <c r="C86" s="325"/>
      <c r="D86" s="325"/>
      <c r="E86" s="325"/>
      <c r="F86" s="325"/>
      <c r="G86" s="325"/>
      <c r="H86" s="325"/>
      <c r="I86" s="325"/>
      <c r="J86" s="326"/>
      <c r="K86" s="8"/>
    </row>
    <row r="87" spans="1:11" ht="7.5" customHeight="1" x14ac:dyDescent="0.15">
      <c r="A87" s="126"/>
      <c r="B87" s="126"/>
      <c r="C87" s="126"/>
      <c r="D87" s="126"/>
      <c r="E87" s="126"/>
      <c r="F87" s="126"/>
      <c r="G87" s="126"/>
      <c r="H87" s="126"/>
      <c r="I87" s="126"/>
      <c r="J87" s="126"/>
    </row>
    <row r="88" spans="1:11" ht="18.75" customHeight="1" x14ac:dyDescent="0.15">
      <c r="A88" s="7" t="s">
        <v>12</v>
      </c>
      <c r="B88" s="7" t="s">
        <v>27</v>
      </c>
    </row>
    <row r="89" spans="1:11" ht="18.75" customHeight="1" x14ac:dyDescent="0.15">
      <c r="A89" s="7"/>
      <c r="B89" s="310" t="s">
        <v>211</v>
      </c>
      <c r="C89" s="311"/>
      <c r="D89" s="311"/>
      <c r="E89" s="311"/>
      <c r="F89" s="311"/>
      <c r="G89" s="311"/>
      <c r="H89" s="311"/>
      <c r="I89" s="319"/>
      <c r="J89" s="320"/>
    </row>
    <row r="90" spans="1:11" ht="18.75" customHeight="1" x14ac:dyDescent="0.15">
      <c r="A90" s="7"/>
      <c r="B90" s="321"/>
      <c r="C90" s="322"/>
      <c r="D90" s="322"/>
      <c r="E90" s="322"/>
      <c r="F90" s="322"/>
      <c r="G90" s="322"/>
      <c r="H90" s="322"/>
      <c r="I90" s="322"/>
      <c r="J90" s="323"/>
      <c r="K90" s="8"/>
    </row>
    <row r="91" spans="1:11" ht="18.75" customHeight="1" x14ac:dyDescent="0.15">
      <c r="A91" s="7"/>
      <c r="B91" s="321"/>
      <c r="C91" s="322"/>
      <c r="D91" s="322"/>
      <c r="E91" s="322"/>
      <c r="F91" s="322"/>
      <c r="G91" s="322"/>
      <c r="H91" s="322"/>
      <c r="I91" s="322"/>
      <c r="J91" s="323"/>
      <c r="K91" s="8" t="str">
        <f>IF(B89="","入力してください","")</f>
        <v/>
      </c>
    </row>
    <row r="92" spans="1:11" ht="18.75" customHeight="1" x14ac:dyDescent="0.15">
      <c r="A92" s="7"/>
      <c r="B92" s="321"/>
      <c r="C92" s="322"/>
      <c r="D92" s="322"/>
      <c r="E92" s="322"/>
      <c r="F92" s="322"/>
      <c r="G92" s="322"/>
      <c r="H92" s="322"/>
      <c r="I92" s="322"/>
      <c r="J92" s="323"/>
      <c r="K92" s="8"/>
    </row>
    <row r="93" spans="1:11" ht="18.75" customHeight="1" x14ac:dyDescent="0.15">
      <c r="A93" s="7"/>
      <c r="B93" s="321"/>
      <c r="C93" s="322"/>
      <c r="D93" s="322"/>
      <c r="E93" s="322"/>
      <c r="F93" s="322"/>
      <c r="G93" s="322"/>
      <c r="H93" s="322"/>
      <c r="I93" s="322"/>
      <c r="J93" s="323"/>
      <c r="K93" s="8"/>
    </row>
    <row r="94" spans="1:11" ht="18.75" customHeight="1" x14ac:dyDescent="0.15">
      <c r="A94" s="7"/>
      <c r="B94" s="321"/>
      <c r="C94" s="322"/>
      <c r="D94" s="322"/>
      <c r="E94" s="322"/>
      <c r="F94" s="322"/>
      <c r="G94" s="322"/>
      <c r="H94" s="322"/>
      <c r="I94" s="322"/>
      <c r="J94" s="323"/>
      <c r="K94" s="8"/>
    </row>
    <row r="95" spans="1:11" ht="18.75" customHeight="1" x14ac:dyDescent="0.15">
      <c r="A95" s="7"/>
      <c r="B95" s="321"/>
      <c r="C95" s="322"/>
      <c r="D95" s="322"/>
      <c r="E95" s="322"/>
      <c r="F95" s="322"/>
      <c r="G95" s="322"/>
      <c r="H95" s="322"/>
      <c r="I95" s="322"/>
      <c r="J95" s="323"/>
      <c r="K95" s="8"/>
    </row>
    <row r="96" spans="1:11" ht="18.75" customHeight="1" x14ac:dyDescent="0.15">
      <c r="A96" s="7"/>
      <c r="B96" s="321"/>
      <c r="C96" s="322"/>
      <c r="D96" s="322"/>
      <c r="E96" s="322"/>
      <c r="F96" s="322"/>
      <c r="G96" s="322"/>
      <c r="H96" s="322"/>
      <c r="I96" s="322"/>
      <c r="J96" s="323"/>
      <c r="K96" s="8"/>
    </row>
    <row r="97" spans="1:11" ht="18.75" customHeight="1" x14ac:dyDescent="0.15">
      <c r="A97" s="7"/>
      <c r="B97" s="321"/>
      <c r="C97" s="322"/>
      <c r="D97" s="322"/>
      <c r="E97" s="322"/>
      <c r="F97" s="322"/>
      <c r="G97" s="322"/>
      <c r="H97" s="322"/>
      <c r="I97" s="322"/>
      <c r="J97" s="323"/>
      <c r="K97" s="8"/>
    </row>
    <row r="98" spans="1:11" ht="18.75" customHeight="1" x14ac:dyDescent="0.15">
      <c r="A98" s="7"/>
      <c r="B98" s="321"/>
      <c r="C98" s="322"/>
      <c r="D98" s="322"/>
      <c r="E98" s="322"/>
      <c r="F98" s="322"/>
      <c r="G98" s="322"/>
      <c r="H98" s="322"/>
      <c r="I98" s="322"/>
      <c r="J98" s="323"/>
      <c r="K98" s="8"/>
    </row>
    <row r="99" spans="1:11" ht="18.75" customHeight="1" x14ac:dyDescent="0.15">
      <c r="A99" s="7"/>
      <c r="B99" s="321"/>
      <c r="C99" s="322"/>
      <c r="D99" s="322"/>
      <c r="E99" s="322"/>
      <c r="F99" s="322"/>
      <c r="G99" s="322"/>
      <c r="H99" s="322"/>
      <c r="I99" s="322"/>
      <c r="J99" s="323"/>
      <c r="K99" s="8"/>
    </row>
    <row r="100" spans="1:11" ht="18.75" customHeight="1" x14ac:dyDescent="0.15">
      <c r="A100" s="7"/>
      <c r="B100" s="321"/>
      <c r="C100" s="322"/>
      <c r="D100" s="322"/>
      <c r="E100" s="322"/>
      <c r="F100" s="322"/>
      <c r="G100" s="322"/>
      <c r="H100" s="322"/>
      <c r="I100" s="322"/>
      <c r="J100" s="323"/>
      <c r="K100" s="8"/>
    </row>
    <row r="101" spans="1:11" ht="18.75" customHeight="1" x14ac:dyDescent="0.15">
      <c r="A101" s="7"/>
      <c r="B101" s="321"/>
      <c r="C101" s="322"/>
      <c r="D101" s="322"/>
      <c r="E101" s="322"/>
      <c r="F101" s="322"/>
      <c r="G101" s="322"/>
      <c r="H101" s="322"/>
      <c r="I101" s="322"/>
      <c r="J101" s="323"/>
      <c r="K101" s="8"/>
    </row>
    <row r="102" spans="1:11" ht="18.75" customHeight="1" x14ac:dyDescent="0.15">
      <c r="A102" s="7"/>
      <c r="B102" s="321"/>
      <c r="C102" s="322"/>
      <c r="D102" s="322"/>
      <c r="E102" s="322"/>
      <c r="F102" s="322"/>
      <c r="G102" s="322"/>
      <c r="H102" s="322"/>
      <c r="I102" s="322"/>
      <c r="J102" s="323"/>
      <c r="K102" s="8"/>
    </row>
    <row r="103" spans="1:11" ht="18.75" customHeight="1" x14ac:dyDescent="0.15">
      <c r="A103" s="7"/>
      <c r="B103" s="321"/>
      <c r="C103" s="322"/>
      <c r="D103" s="322"/>
      <c r="E103" s="322"/>
      <c r="F103" s="322"/>
      <c r="G103" s="322"/>
      <c r="H103" s="322"/>
      <c r="I103" s="322"/>
      <c r="J103" s="323"/>
      <c r="K103" s="8"/>
    </row>
    <row r="104" spans="1:11" ht="18.75" customHeight="1" x14ac:dyDescent="0.15">
      <c r="A104" s="7"/>
      <c r="B104" s="321"/>
      <c r="C104" s="322"/>
      <c r="D104" s="322"/>
      <c r="E104" s="322"/>
      <c r="F104" s="322"/>
      <c r="G104" s="322"/>
      <c r="H104" s="322"/>
      <c r="I104" s="322"/>
      <c r="J104" s="323"/>
      <c r="K104" s="8"/>
    </row>
    <row r="105" spans="1:11" ht="18.75" customHeight="1" x14ac:dyDescent="0.15">
      <c r="A105" s="7"/>
      <c r="B105" s="321"/>
      <c r="C105" s="322"/>
      <c r="D105" s="322"/>
      <c r="E105" s="322"/>
      <c r="F105" s="322"/>
      <c r="G105" s="322"/>
      <c r="H105" s="322"/>
      <c r="I105" s="322"/>
      <c r="J105" s="323"/>
      <c r="K105" s="8"/>
    </row>
    <row r="106" spans="1:11" ht="18.75" customHeight="1" x14ac:dyDescent="0.15">
      <c r="A106" s="7"/>
      <c r="B106" s="321"/>
      <c r="C106" s="322"/>
      <c r="D106" s="322"/>
      <c r="E106" s="322"/>
      <c r="F106" s="322"/>
      <c r="G106" s="322"/>
      <c r="H106" s="322"/>
      <c r="I106" s="322"/>
      <c r="J106" s="323"/>
      <c r="K106" s="8"/>
    </row>
    <row r="107" spans="1:11" ht="18.75" customHeight="1" x14ac:dyDescent="0.15">
      <c r="A107" s="126"/>
      <c r="B107" s="321"/>
      <c r="C107" s="322"/>
      <c r="D107" s="322"/>
      <c r="E107" s="322"/>
      <c r="F107" s="322"/>
      <c r="G107" s="322"/>
      <c r="H107" s="322"/>
      <c r="I107" s="322"/>
      <c r="J107" s="323"/>
      <c r="K107" s="8"/>
    </row>
    <row r="108" spans="1:11" ht="18.75" customHeight="1" x14ac:dyDescent="0.15">
      <c r="A108" s="126"/>
      <c r="B108" s="324"/>
      <c r="C108" s="325"/>
      <c r="D108" s="325"/>
      <c r="E108" s="325"/>
      <c r="F108" s="325"/>
      <c r="G108" s="325"/>
      <c r="H108" s="325"/>
      <c r="I108" s="325"/>
      <c r="J108" s="326"/>
      <c r="K108" s="8"/>
    </row>
    <row r="109" spans="1:11" ht="7.5" customHeight="1" x14ac:dyDescent="0.15">
      <c r="A109" s="126"/>
      <c r="B109" s="126"/>
      <c r="C109" s="126"/>
      <c r="D109" s="126"/>
      <c r="E109" s="126"/>
      <c r="F109" s="126"/>
      <c r="G109" s="126"/>
      <c r="H109" s="126"/>
      <c r="I109" s="126"/>
      <c r="J109" s="126"/>
    </row>
    <row r="110" spans="1:11" ht="18.75" customHeight="1" x14ac:dyDescent="0.15">
      <c r="A110" s="7" t="s">
        <v>53</v>
      </c>
      <c r="B110" s="327" t="s">
        <v>82</v>
      </c>
      <c r="C110" s="327"/>
      <c r="D110" s="327"/>
      <c r="E110" s="327"/>
      <c r="F110" s="327"/>
      <c r="G110" s="327"/>
      <c r="H110" s="327"/>
      <c r="I110" s="327"/>
      <c r="J110" s="327"/>
    </row>
    <row r="111" spans="1:11" ht="18.75" customHeight="1" x14ac:dyDescent="0.15">
      <c r="A111" s="126"/>
      <c r="B111" s="310" t="s">
        <v>212</v>
      </c>
      <c r="C111" s="311"/>
      <c r="D111" s="311"/>
      <c r="E111" s="311"/>
      <c r="F111" s="311"/>
      <c r="G111" s="311"/>
      <c r="H111" s="311"/>
      <c r="I111" s="319"/>
      <c r="J111" s="320"/>
    </row>
    <row r="112" spans="1:11" ht="18.75" customHeight="1" x14ac:dyDescent="0.15">
      <c r="A112" s="126"/>
      <c r="B112" s="321"/>
      <c r="C112" s="322"/>
      <c r="D112" s="322"/>
      <c r="E112" s="322"/>
      <c r="F112" s="322"/>
      <c r="G112" s="322"/>
      <c r="H112" s="322"/>
      <c r="I112" s="322"/>
      <c r="J112" s="323"/>
      <c r="K112" s="8"/>
    </row>
    <row r="113" spans="1:10" ht="18.75" customHeight="1" x14ac:dyDescent="0.15">
      <c r="A113" s="126"/>
      <c r="B113" s="321"/>
      <c r="C113" s="322"/>
      <c r="D113" s="322"/>
      <c r="E113" s="322"/>
      <c r="F113" s="322"/>
      <c r="G113" s="322"/>
      <c r="H113" s="322"/>
      <c r="I113" s="322"/>
      <c r="J113" s="323"/>
    </row>
    <row r="114" spans="1:10" ht="18.75" customHeight="1" x14ac:dyDescent="0.15">
      <c r="A114" s="126"/>
      <c r="B114" s="321"/>
      <c r="C114" s="322"/>
      <c r="D114" s="322"/>
      <c r="E114" s="322"/>
      <c r="F114" s="322"/>
      <c r="G114" s="322"/>
      <c r="H114" s="322"/>
      <c r="I114" s="322"/>
      <c r="J114" s="323"/>
    </row>
    <row r="115" spans="1:10" ht="18.75" customHeight="1" x14ac:dyDescent="0.15">
      <c r="A115" s="126"/>
      <c r="B115" s="321"/>
      <c r="C115" s="322"/>
      <c r="D115" s="322"/>
      <c r="E115" s="322"/>
      <c r="F115" s="322"/>
      <c r="G115" s="322"/>
      <c r="H115" s="322"/>
      <c r="I115" s="322"/>
      <c r="J115" s="323"/>
    </row>
    <row r="116" spans="1:10" ht="18.75" customHeight="1" x14ac:dyDescent="0.15">
      <c r="A116" s="126"/>
      <c r="B116" s="321"/>
      <c r="C116" s="322"/>
      <c r="D116" s="322"/>
      <c r="E116" s="322"/>
      <c r="F116" s="322"/>
      <c r="G116" s="322"/>
      <c r="H116" s="322"/>
      <c r="I116" s="322"/>
      <c r="J116" s="323"/>
    </row>
    <row r="117" spans="1:10" ht="18.75" customHeight="1" x14ac:dyDescent="0.15">
      <c r="A117" s="126"/>
      <c r="B117" s="321"/>
      <c r="C117" s="322"/>
      <c r="D117" s="322"/>
      <c r="E117" s="322"/>
      <c r="F117" s="322"/>
      <c r="G117" s="322"/>
      <c r="H117" s="322"/>
      <c r="I117" s="322"/>
      <c r="J117" s="323"/>
    </row>
    <row r="118" spans="1:10" ht="18.75" customHeight="1" x14ac:dyDescent="0.15">
      <c r="A118" s="126"/>
      <c r="B118" s="321"/>
      <c r="C118" s="322"/>
      <c r="D118" s="322"/>
      <c r="E118" s="322"/>
      <c r="F118" s="322"/>
      <c r="G118" s="322"/>
      <c r="H118" s="322"/>
      <c r="I118" s="322"/>
      <c r="J118" s="323"/>
    </row>
    <row r="119" spans="1:10" ht="18.75" customHeight="1" x14ac:dyDescent="0.15">
      <c r="A119" s="126"/>
      <c r="B119" s="321"/>
      <c r="C119" s="322"/>
      <c r="D119" s="322"/>
      <c r="E119" s="322"/>
      <c r="F119" s="322"/>
      <c r="G119" s="322"/>
      <c r="H119" s="322"/>
      <c r="I119" s="322"/>
      <c r="J119" s="323"/>
    </row>
    <row r="120" spans="1:10" ht="18.75" customHeight="1" x14ac:dyDescent="0.15">
      <c r="A120" s="126"/>
      <c r="B120" s="321"/>
      <c r="C120" s="322"/>
      <c r="D120" s="322"/>
      <c r="E120" s="322"/>
      <c r="F120" s="322"/>
      <c r="G120" s="322"/>
      <c r="H120" s="322"/>
      <c r="I120" s="322"/>
      <c r="J120" s="323"/>
    </row>
    <row r="121" spans="1:10" ht="18.75" customHeight="1" x14ac:dyDescent="0.15">
      <c r="A121" s="126"/>
      <c r="B121" s="321"/>
      <c r="C121" s="322"/>
      <c r="D121" s="322"/>
      <c r="E121" s="322"/>
      <c r="F121" s="322"/>
      <c r="G121" s="322"/>
      <c r="H121" s="322"/>
      <c r="I121" s="322"/>
      <c r="J121" s="323"/>
    </row>
    <row r="122" spans="1:10" ht="18.75" customHeight="1" x14ac:dyDescent="0.15">
      <c r="A122" s="126"/>
      <c r="B122" s="321"/>
      <c r="C122" s="322"/>
      <c r="D122" s="322"/>
      <c r="E122" s="322"/>
      <c r="F122" s="322"/>
      <c r="G122" s="322"/>
      <c r="H122" s="322"/>
      <c r="I122" s="322"/>
      <c r="J122" s="323"/>
    </row>
    <row r="123" spans="1:10" ht="18.75" customHeight="1" x14ac:dyDescent="0.15">
      <c r="A123" s="126"/>
      <c r="B123" s="321"/>
      <c r="C123" s="322"/>
      <c r="D123" s="322"/>
      <c r="E123" s="322"/>
      <c r="F123" s="322"/>
      <c r="G123" s="322"/>
      <c r="H123" s="322"/>
      <c r="I123" s="322"/>
      <c r="J123" s="323"/>
    </row>
    <row r="124" spans="1:10" ht="18.75" customHeight="1" x14ac:dyDescent="0.15">
      <c r="A124" s="126"/>
      <c r="B124" s="321"/>
      <c r="C124" s="322"/>
      <c r="D124" s="322"/>
      <c r="E124" s="322"/>
      <c r="F124" s="322"/>
      <c r="G124" s="322"/>
      <c r="H124" s="322"/>
      <c r="I124" s="322"/>
      <c r="J124" s="323"/>
    </row>
    <row r="125" spans="1:10" ht="18.75" customHeight="1" x14ac:dyDescent="0.15">
      <c r="A125" s="126"/>
      <c r="B125" s="321"/>
      <c r="C125" s="322"/>
      <c r="D125" s="322"/>
      <c r="E125" s="322"/>
      <c r="F125" s="322"/>
      <c r="G125" s="322"/>
      <c r="H125" s="322"/>
      <c r="I125" s="322"/>
      <c r="J125" s="323"/>
    </row>
    <row r="126" spans="1:10" ht="18.75" customHeight="1" x14ac:dyDescent="0.15">
      <c r="A126" s="126"/>
      <c r="B126" s="321"/>
      <c r="C126" s="322"/>
      <c r="D126" s="322"/>
      <c r="E126" s="322"/>
      <c r="F126" s="322"/>
      <c r="G126" s="322"/>
      <c r="H126" s="322"/>
      <c r="I126" s="322"/>
      <c r="J126" s="323"/>
    </row>
    <row r="127" spans="1:10" ht="18.75" customHeight="1" x14ac:dyDescent="0.15">
      <c r="A127" s="126"/>
      <c r="B127" s="321"/>
      <c r="C127" s="322"/>
      <c r="D127" s="322"/>
      <c r="E127" s="322"/>
      <c r="F127" s="322"/>
      <c r="G127" s="322"/>
      <c r="H127" s="322"/>
      <c r="I127" s="322"/>
      <c r="J127" s="323"/>
    </row>
    <row r="128" spans="1:10" ht="18.75" customHeight="1" x14ac:dyDescent="0.15">
      <c r="A128" s="126"/>
      <c r="B128" s="321"/>
      <c r="C128" s="322"/>
      <c r="D128" s="322"/>
      <c r="E128" s="322"/>
      <c r="F128" s="322"/>
      <c r="G128" s="322"/>
      <c r="H128" s="322"/>
      <c r="I128" s="322"/>
      <c r="J128" s="323"/>
    </row>
    <row r="129" spans="1:10" ht="18.75" customHeight="1" x14ac:dyDescent="0.15">
      <c r="A129" s="126"/>
      <c r="B129" s="324"/>
      <c r="C129" s="325"/>
      <c r="D129" s="325"/>
      <c r="E129" s="325"/>
      <c r="F129" s="325"/>
      <c r="G129" s="325"/>
      <c r="H129" s="325"/>
      <c r="I129" s="325"/>
      <c r="J129" s="326"/>
    </row>
    <row r="130" spans="1:10" ht="7.5" customHeight="1" x14ac:dyDescent="0.15">
      <c r="A130" s="126"/>
      <c r="B130" s="132"/>
      <c r="C130" s="132"/>
      <c r="D130" s="132"/>
      <c r="E130" s="132"/>
      <c r="F130" s="132"/>
      <c r="G130" s="132"/>
      <c r="H130" s="132"/>
      <c r="I130" s="132"/>
      <c r="J130" s="132"/>
    </row>
    <row r="131" spans="1:10" ht="18.75" customHeight="1" x14ac:dyDescent="0.15">
      <c r="A131" s="126"/>
      <c r="B131" s="126"/>
      <c r="C131" s="126"/>
      <c r="D131" s="126"/>
      <c r="E131" s="126"/>
      <c r="F131" s="126"/>
      <c r="G131" s="126"/>
      <c r="H131" s="126"/>
      <c r="I131" s="126"/>
      <c r="J131" s="126"/>
    </row>
    <row r="132" spans="1:10" ht="18.75" customHeight="1" x14ac:dyDescent="0.15">
      <c r="A132" s="126"/>
      <c r="B132" s="126"/>
      <c r="C132" s="126"/>
      <c r="D132" s="126"/>
      <c r="E132" s="126"/>
      <c r="F132" s="126"/>
      <c r="G132" s="126"/>
      <c r="H132" s="126"/>
      <c r="I132" s="126"/>
      <c r="J132" s="126"/>
    </row>
    <row r="133" spans="1:10" ht="18.75" customHeight="1" x14ac:dyDescent="0.15">
      <c r="A133" s="126"/>
      <c r="B133" s="126"/>
      <c r="C133" s="126"/>
      <c r="D133" s="126"/>
      <c r="E133" s="126"/>
      <c r="F133" s="126"/>
      <c r="G133" s="126"/>
      <c r="H133" s="126"/>
      <c r="I133" s="126"/>
      <c r="J133" s="126"/>
    </row>
    <row r="134" spans="1:10" ht="18.75" customHeight="1" x14ac:dyDescent="0.15">
      <c r="A134" s="126"/>
      <c r="B134" s="126"/>
      <c r="C134" s="126"/>
      <c r="D134" s="126"/>
      <c r="E134" s="126"/>
      <c r="F134" s="126"/>
      <c r="G134" s="126"/>
      <c r="H134" s="126"/>
      <c r="I134" s="126"/>
      <c r="J134" s="126"/>
    </row>
    <row r="135" spans="1:10" ht="18.75" customHeight="1" x14ac:dyDescent="0.15">
      <c r="A135" s="126"/>
      <c r="B135" s="126"/>
      <c r="C135" s="126"/>
      <c r="D135" s="126"/>
      <c r="E135" s="126"/>
      <c r="F135" s="126"/>
      <c r="G135" s="126"/>
      <c r="H135" s="126"/>
      <c r="I135" s="126"/>
      <c r="J135" s="126"/>
    </row>
    <row r="136" spans="1:10" ht="18.75" customHeight="1" x14ac:dyDescent="0.15">
      <c r="A136" s="126"/>
      <c r="B136" s="126"/>
      <c r="C136" s="126"/>
      <c r="D136" s="126"/>
      <c r="E136" s="126"/>
      <c r="F136" s="126"/>
      <c r="G136" s="126"/>
      <c r="H136" s="126"/>
      <c r="I136" s="126"/>
      <c r="J136" s="126"/>
    </row>
    <row r="137" spans="1:10" ht="18.75" customHeight="1" x14ac:dyDescent="0.15">
      <c r="A137" s="126"/>
      <c r="B137" s="126"/>
      <c r="C137" s="126"/>
      <c r="D137" s="126"/>
      <c r="E137" s="126"/>
      <c r="F137" s="126"/>
      <c r="G137" s="126"/>
      <c r="H137" s="126"/>
      <c r="I137" s="126"/>
      <c r="J137" s="126"/>
    </row>
    <row r="138" spans="1:10" ht="18.75" customHeight="1" x14ac:dyDescent="0.15">
      <c r="A138" s="126"/>
      <c r="B138" s="126"/>
      <c r="C138" s="126"/>
      <c r="D138" s="126"/>
      <c r="E138" s="126"/>
      <c r="F138" s="126"/>
      <c r="G138" s="126"/>
      <c r="H138" s="126"/>
      <c r="I138" s="126"/>
      <c r="J138" s="126"/>
    </row>
    <row r="139" spans="1:10" ht="18.75" customHeight="1" x14ac:dyDescent="0.15">
      <c r="A139" s="126"/>
      <c r="B139" s="126"/>
      <c r="C139" s="126"/>
      <c r="D139" s="126"/>
      <c r="E139" s="126"/>
      <c r="F139" s="126"/>
      <c r="G139" s="126"/>
      <c r="H139" s="126"/>
      <c r="I139" s="126"/>
      <c r="J139" s="126"/>
    </row>
    <row r="140" spans="1:10" ht="18.75" customHeight="1" x14ac:dyDescent="0.15">
      <c r="A140" s="126"/>
      <c r="B140" s="126"/>
      <c r="C140" s="126"/>
      <c r="D140" s="126"/>
      <c r="E140" s="126"/>
      <c r="F140" s="126"/>
      <c r="G140" s="126"/>
      <c r="H140" s="126"/>
      <c r="I140" s="126"/>
      <c r="J140" s="126"/>
    </row>
    <row r="141" spans="1:10" ht="18.75" customHeight="1" x14ac:dyDescent="0.15">
      <c r="A141" s="126"/>
      <c r="B141" s="126"/>
      <c r="C141" s="126"/>
      <c r="D141" s="126"/>
      <c r="E141" s="126"/>
      <c r="F141" s="126"/>
      <c r="G141" s="126"/>
      <c r="H141" s="126"/>
      <c r="I141" s="126"/>
      <c r="J141" s="126"/>
    </row>
    <row r="142" spans="1:10" ht="18.75" customHeight="1" x14ac:dyDescent="0.15">
      <c r="A142" s="126"/>
      <c r="B142" s="126"/>
      <c r="C142" s="126"/>
      <c r="D142" s="126"/>
      <c r="E142" s="126"/>
      <c r="F142" s="126"/>
      <c r="G142" s="126"/>
      <c r="H142" s="126"/>
      <c r="I142" s="126"/>
      <c r="J142" s="126"/>
    </row>
    <row r="143" spans="1:10" ht="14.25" x14ac:dyDescent="0.15">
      <c r="A143" s="126"/>
      <c r="B143" s="126"/>
      <c r="C143" s="126"/>
      <c r="D143" s="126"/>
      <c r="E143" s="126"/>
      <c r="F143" s="126"/>
      <c r="G143" s="126"/>
      <c r="H143" s="126"/>
      <c r="I143" s="126"/>
      <c r="J143" s="126"/>
    </row>
    <row r="144" spans="1:10" ht="7.5" customHeight="1" x14ac:dyDescent="0.15">
      <c r="A144" s="133"/>
      <c r="B144" s="133"/>
      <c r="C144" s="133"/>
      <c r="D144" s="133"/>
      <c r="E144" s="133"/>
      <c r="F144" s="133"/>
      <c r="G144" s="133"/>
      <c r="H144" s="133"/>
      <c r="I144" s="133"/>
      <c r="J144" s="133"/>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showZeros="0" view="pageBreakPreview" zoomScaleNormal="100" zoomScaleSheetLayoutView="100" workbookViewId="0">
      <selection activeCell="G19" sqref="G19"/>
    </sheetView>
  </sheetViews>
  <sheetFormatPr defaultColWidth="11.375" defaultRowHeight="22.5" customHeight="1" x14ac:dyDescent="0.15"/>
  <cols>
    <col min="1" max="3" width="2.625" style="7" customWidth="1"/>
    <col min="4" max="4" width="22.375" style="7" customWidth="1"/>
    <col min="5" max="5" width="21.625" style="7" customWidth="1"/>
    <col min="6" max="7" width="7.625" style="7" customWidth="1"/>
    <col min="8" max="8" width="33.375" style="7" customWidth="1"/>
    <col min="9" max="9" width="24.5" style="7" customWidth="1"/>
    <col min="10" max="10" width="5.5" style="7" customWidth="1"/>
    <col min="11" max="11" width="4.125" style="7" customWidth="1"/>
    <col min="12" max="16384" width="11.375" style="7"/>
  </cols>
  <sheetData>
    <row r="1" spans="1:11" ht="18.75" customHeight="1" x14ac:dyDescent="0.15">
      <c r="A1" s="7" t="s">
        <v>179</v>
      </c>
      <c r="J1" s="120" t="s">
        <v>73</v>
      </c>
    </row>
    <row r="2" spans="1:11" ht="18.75" customHeight="1" x14ac:dyDescent="0.15">
      <c r="A2" s="255" t="s">
        <v>42</v>
      </c>
      <c r="B2" s="255"/>
      <c r="C2" s="255"/>
      <c r="D2" s="255"/>
      <c r="E2" s="255"/>
      <c r="F2" s="255"/>
      <c r="G2" s="255"/>
      <c r="H2" s="255"/>
      <c r="I2" s="255"/>
      <c r="J2" s="255"/>
    </row>
    <row r="3" spans="1:11" ht="7.5" customHeight="1" x14ac:dyDescent="0.15">
      <c r="A3" s="122"/>
      <c r="B3" s="122"/>
      <c r="C3" s="122"/>
      <c r="D3" s="122"/>
      <c r="E3" s="122"/>
      <c r="F3" s="122"/>
      <c r="G3" s="122"/>
      <c r="H3" s="122"/>
      <c r="I3" s="122"/>
      <c r="J3" s="122"/>
    </row>
    <row r="4" spans="1:11" ht="18.75" customHeight="1" x14ac:dyDescent="0.15">
      <c r="A4" s="7" t="s">
        <v>178</v>
      </c>
      <c r="B4" s="7" t="s">
        <v>41</v>
      </c>
      <c r="C4" s="126"/>
      <c r="D4" s="126"/>
      <c r="E4" s="126"/>
      <c r="F4" s="126"/>
      <c r="G4" s="126"/>
      <c r="H4" s="126"/>
      <c r="I4" s="126"/>
      <c r="J4" s="126"/>
    </row>
    <row r="5" spans="1:11" ht="18.75" customHeight="1" x14ac:dyDescent="0.15">
      <c r="B5" s="142" t="s">
        <v>38</v>
      </c>
      <c r="C5" s="143"/>
      <c r="D5" s="144"/>
      <c r="E5" s="143" t="s">
        <v>40</v>
      </c>
      <c r="F5" s="143"/>
      <c r="G5" s="143"/>
      <c r="H5" s="143"/>
      <c r="I5" s="143"/>
      <c r="J5" s="144"/>
    </row>
    <row r="6" spans="1:11" ht="18.75" customHeight="1" x14ac:dyDescent="0.15">
      <c r="B6" s="11" t="s">
        <v>28</v>
      </c>
      <c r="C6" s="126"/>
      <c r="D6" s="134"/>
      <c r="I6" s="126"/>
      <c r="J6" s="134"/>
      <c r="K6" s="130"/>
    </row>
    <row r="7" spans="1:11" ht="207" customHeight="1" x14ac:dyDescent="0.15">
      <c r="B7" s="135"/>
      <c r="C7" s="349" t="s">
        <v>29</v>
      </c>
      <c r="D7" s="350"/>
      <c r="E7" s="354" t="s">
        <v>213</v>
      </c>
      <c r="F7" s="355"/>
      <c r="G7" s="355"/>
      <c r="H7" s="355"/>
      <c r="I7" s="355"/>
      <c r="J7" s="356"/>
      <c r="K7" s="7" t="str">
        <f>IF(E7="","入力してください","")</f>
        <v/>
      </c>
    </row>
    <row r="8" spans="1:11" ht="207" customHeight="1" x14ac:dyDescent="0.15">
      <c r="B8" s="135"/>
      <c r="C8" s="352" t="s">
        <v>30</v>
      </c>
      <c r="D8" s="353"/>
      <c r="E8" s="351" t="s">
        <v>214</v>
      </c>
      <c r="F8" s="344"/>
      <c r="G8" s="344"/>
      <c r="H8" s="344"/>
      <c r="I8" s="344"/>
      <c r="J8" s="345"/>
      <c r="K8" s="7" t="str">
        <f>IF(E8="","入力してください","")</f>
        <v/>
      </c>
    </row>
    <row r="9" spans="1:11" ht="172.5" customHeight="1" x14ac:dyDescent="0.15">
      <c r="B9" s="135"/>
      <c r="C9" s="349" t="s">
        <v>31</v>
      </c>
      <c r="D9" s="350"/>
      <c r="E9" s="351" t="s">
        <v>215</v>
      </c>
      <c r="F9" s="344"/>
      <c r="G9" s="344"/>
      <c r="H9" s="344"/>
      <c r="I9" s="344"/>
      <c r="J9" s="345"/>
      <c r="K9" s="7" t="str">
        <f>IF(E9="","入力してください","")</f>
        <v/>
      </c>
    </row>
    <row r="10" spans="1:11" ht="172.5" customHeight="1" x14ac:dyDescent="0.15">
      <c r="B10" s="135"/>
      <c r="C10" s="349" t="s">
        <v>32</v>
      </c>
      <c r="D10" s="350"/>
      <c r="E10" s="351" t="s">
        <v>216</v>
      </c>
      <c r="F10" s="344"/>
      <c r="G10" s="344"/>
      <c r="H10" s="344"/>
      <c r="I10" s="344"/>
      <c r="J10" s="345"/>
      <c r="K10" s="7" t="str">
        <f>IF(E10="","入力してください","")</f>
        <v/>
      </c>
    </row>
    <row r="11" spans="1:11" ht="172.5" customHeight="1" x14ac:dyDescent="0.15">
      <c r="B11" s="136"/>
      <c r="C11" s="342" t="s">
        <v>33</v>
      </c>
      <c r="D11" s="343"/>
      <c r="E11" s="351" t="s">
        <v>217</v>
      </c>
      <c r="F11" s="344"/>
      <c r="G11" s="344"/>
      <c r="H11" s="344"/>
      <c r="I11" s="344"/>
      <c r="J11" s="345"/>
      <c r="K11" s="7" t="str">
        <f>IF(E11="","入力してください","")</f>
        <v/>
      </c>
    </row>
    <row r="12" spans="1:11" ht="18.75" customHeight="1" x14ac:dyDescent="0.15">
      <c r="B12" s="137" t="s">
        <v>34</v>
      </c>
      <c r="C12" s="138"/>
      <c r="D12" s="139"/>
      <c r="E12" s="140"/>
      <c r="F12" s="140"/>
      <c r="G12" s="140"/>
      <c r="H12" s="140"/>
      <c r="I12" s="140"/>
      <c r="J12" s="141"/>
    </row>
    <row r="13" spans="1:11" ht="244.35" customHeight="1" x14ac:dyDescent="0.15">
      <c r="B13" s="136"/>
      <c r="C13" s="342" t="s">
        <v>35</v>
      </c>
      <c r="D13" s="343"/>
      <c r="E13" s="344" t="s">
        <v>218</v>
      </c>
      <c r="F13" s="344"/>
      <c r="G13" s="344"/>
      <c r="H13" s="344"/>
      <c r="I13" s="344"/>
      <c r="J13" s="345"/>
      <c r="K13" s="7" t="str">
        <f>IF(E13="","入力してください","")</f>
        <v/>
      </c>
    </row>
    <row r="14" spans="1:11" ht="255" customHeight="1" x14ac:dyDescent="0.15">
      <c r="B14" s="136"/>
      <c r="C14" s="342" t="s">
        <v>36</v>
      </c>
      <c r="D14" s="343"/>
      <c r="E14" s="344" t="s">
        <v>219</v>
      </c>
      <c r="F14" s="344"/>
      <c r="G14" s="344"/>
      <c r="H14" s="344"/>
      <c r="I14" s="344"/>
      <c r="J14" s="345"/>
      <c r="K14" s="7" t="str">
        <f>IF(E14="","入力してください","")</f>
        <v/>
      </c>
    </row>
    <row r="15" spans="1:11" ht="243" customHeight="1" x14ac:dyDescent="0.15">
      <c r="B15" s="346" t="s">
        <v>37</v>
      </c>
      <c r="C15" s="347"/>
      <c r="D15" s="343"/>
      <c r="E15" s="348" t="s">
        <v>220</v>
      </c>
      <c r="F15" s="344"/>
      <c r="G15" s="344"/>
      <c r="H15" s="344"/>
      <c r="I15" s="344"/>
      <c r="J15" s="345"/>
      <c r="K15" s="7" t="str">
        <f>IF(E15="","入力してください","")</f>
        <v/>
      </c>
    </row>
    <row r="16" spans="1:11" ht="243" customHeight="1" x14ac:dyDescent="0.15">
      <c r="B16" s="334" t="s">
        <v>66</v>
      </c>
      <c r="C16" s="335"/>
      <c r="D16" s="336"/>
      <c r="E16" s="337" t="s">
        <v>221</v>
      </c>
      <c r="F16" s="337"/>
      <c r="G16" s="337"/>
      <c r="H16" s="337"/>
      <c r="I16" s="337"/>
      <c r="J16" s="338"/>
      <c r="K16" s="7" t="str">
        <f>IF(E16="","入力してください","")</f>
        <v/>
      </c>
    </row>
    <row r="17" spans="1:11" ht="7.5" customHeight="1" x14ac:dyDescent="0.15">
      <c r="B17" s="126"/>
      <c r="C17" s="126"/>
      <c r="D17" s="126"/>
      <c r="E17" s="126"/>
      <c r="F17" s="126"/>
      <c r="G17" s="126"/>
      <c r="H17" s="126"/>
      <c r="I17" s="126"/>
      <c r="J17" s="126"/>
    </row>
    <row r="18" spans="1:11" ht="18.75" customHeight="1" x14ac:dyDescent="0.15">
      <c r="A18" s="7" t="s">
        <v>177</v>
      </c>
      <c r="C18" s="126"/>
      <c r="D18" s="126"/>
      <c r="E18" s="126"/>
      <c r="F18" s="121"/>
      <c r="G18" s="339" t="s">
        <v>223</v>
      </c>
      <c r="H18" s="340"/>
      <c r="I18" s="340"/>
      <c r="J18" s="341"/>
      <c r="K18" s="7" t="str">
        <f>IF(G18="","入力してください","")</f>
        <v/>
      </c>
    </row>
    <row r="19" spans="1:11" ht="22.5" customHeight="1" x14ac:dyDescent="0.15">
      <c r="B19" s="126"/>
      <c r="C19" s="126"/>
      <c r="D19" s="126"/>
      <c r="E19" s="126"/>
      <c r="F19" s="126"/>
      <c r="G19" s="126"/>
      <c r="H19" s="126"/>
      <c r="I19" s="126"/>
      <c r="J19" s="126"/>
    </row>
    <row r="20" spans="1:11" ht="22.5" customHeight="1" x14ac:dyDescent="0.15">
      <c r="B20" s="126"/>
      <c r="C20" s="126"/>
      <c r="D20" s="126"/>
      <c r="E20" s="126"/>
      <c r="F20" s="126"/>
      <c r="G20" s="126"/>
      <c r="H20" s="126"/>
      <c r="I20" s="126"/>
      <c r="J20" s="126"/>
    </row>
    <row r="21" spans="1:11" ht="22.5" customHeight="1" x14ac:dyDescent="0.15">
      <c r="B21" s="126"/>
      <c r="C21" s="126"/>
      <c r="D21" s="126"/>
      <c r="E21" s="126"/>
      <c r="F21" s="126"/>
      <c r="G21" s="126"/>
      <c r="H21" s="126"/>
      <c r="I21" s="126"/>
      <c r="J21" s="126"/>
    </row>
    <row r="22" spans="1:11" ht="22.5" customHeight="1" x14ac:dyDescent="0.15">
      <c r="B22" s="126"/>
      <c r="C22" s="126"/>
      <c r="D22" s="126"/>
      <c r="E22" s="126"/>
      <c r="F22" s="126"/>
      <c r="G22" s="126"/>
      <c r="H22" s="126"/>
      <c r="I22" s="126"/>
      <c r="J22" s="126"/>
    </row>
    <row r="23" spans="1:11" ht="22.5" customHeight="1" x14ac:dyDescent="0.15">
      <c r="B23" s="126"/>
      <c r="C23" s="126"/>
      <c r="D23" s="126"/>
      <c r="E23" s="126"/>
      <c r="F23" s="126"/>
      <c r="G23" s="126"/>
      <c r="H23" s="126"/>
      <c r="I23" s="126"/>
      <c r="J23" s="126"/>
    </row>
    <row r="24" spans="1:11" ht="22.5" customHeight="1" x14ac:dyDescent="0.15">
      <c r="B24" s="60"/>
      <c r="C24" s="60"/>
      <c r="D24" s="60"/>
      <c r="E24" s="60"/>
      <c r="F24" s="60"/>
      <c r="G24" s="60"/>
      <c r="H24" s="60"/>
      <c r="I24" s="60"/>
      <c r="J24" s="60"/>
    </row>
    <row r="25" spans="1:11" ht="22.5" customHeight="1" x14ac:dyDescent="0.15">
      <c r="B25" s="60"/>
      <c r="C25" s="60"/>
      <c r="D25" s="60"/>
      <c r="E25" s="60"/>
      <c r="F25" s="60"/>
      <c r="G25" s="60"/>
      <c r="H25" s="60"/>
      <c r="I25" s="60"/>
      <c r="J25" s="60"/>
    </row>
    <row r="26" spans="1:11" ht="22.5" customHeight="1" x14ac:dyDescent="0.15">
      <c r="B26" s="60"/>
      <c r="C26" s="60"/>
      <c r="D26" s="60"/>
      <c r="E26" s="60"/>
      <c r="F26" s="60"/>
      <c r="G26" s="60"/>
      <c r="H26" s="60"/>
      <c r="I26" s="60"/>
      <c r="J26" s="60"/>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00000000-0004-0000-0400-000000000000}"/>
  </hyperlinks>
  <printOptions horizontalCentered="1"/>
  <pageMargins left="0.78740157480314965" right="0.78740157480314965" top="0.78740157480314965" bottom="0.78740157480314965" header="0.31496062992125984" footer="0.31496062992125984"/>
  <pageSetup paperSize="9" scale="92"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 </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国際情報部長</cp:lastModifiedBy>
  <cp:lastPrinted>2022-03-14T13:27:09Z</cp:lastPrinted>
  <dcterms:created xsi:type="dcterms:W3CDTF">2011-06-14T05:32:50Z</dcterms:created>
  <dcterms:modified xsi:type="dcterms:W3CDTF">2022-05-24T01:22:47Z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