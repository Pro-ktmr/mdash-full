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10.80.9.228\gakusei\01_教務係関係\07ki-02_機構プロジェクト\R3・R4数理・データサイエンス・AI教育プログラム認定制度（リテラシーレベル）\R4\申請（修正）\函館工業高等専門学校\01函館工業高等専門学校_リテラシー\"/>
    </mc:Choice>
  </mc:AlternateContent>
  <bookViews>
    <workbookView xWindow="0" yWindow="0" windowWidth="17340" windowHeight="10935" tabRatio="885"/>
  </bookViews>
  <sheets>
    <sheet name="様式１　大学等概要" sheetId="8" r:id="rId1"/>
    <sheet name="様式２　プログラムを構成する授業科目" sheetId="39" r:id="rId2"/>
    <sheet name="様式３　履修者等数の実績" sheetId="40" r:id="rId3"/>
    <sheet name="様式４　教育の質・履修者数を向上させるための体制・計画" sheetId="41" r:id="rId4"/>
    <sheet name="様式５　自己点検・評価" sheetId="42" r:id="rId5"/>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大学等概要'!$A$1:$N$45</definedName>
    <definedName name="_xlnm.Print_Area" localSheetId="1">'様式２　プログラムを構成する授業科目'!$A$1:$Z$98</definedName>
    <definedName name="_xlnm.Print_Area" localSheetId="2">'様式３　履修者等数の実績'!$A$1:$R$30</definedName>
    <definedName name="_xlnm.Print_Area" localSheetId="3">'様式４　教育の質・履修者数を向上させるための体制・計画'!$A$1:$J$127</definedName>
    <definedName name="_xlnm.Print_Area" localSheetId="4">'様式５　自己点検・評価'!$A$1:$J$18</definedName>
  </definedNames>
  <calcPr calcId="162913"/>
</workbook>
</file>

<file path=xl/calcChain.xml><?xml version="1.0" encoding="utf-8"?>
<calcChain xmlns="http://schemas.openxmlformats.org/spreadsheetml/2006/main">
  <c r="C28" i="41" l="1"/>
  <c r="Q10" i="40" l="1"/>
  <c r="R10" i="40" s="1"/>
  <c r="Q11" i="40"/>
  <c r="R11" i="40" s="1"/>
  <c r="K18" i="42" l="1"/>
  <c r="K16" i="42"/>
  <c r="K15" i="42"/>
  <c r="K9" i="42"/>
  <c r="K8" i="42"/>
  <c r="K7" i="42"/>
  <c r="K111" i="41"/>
  <c r="K89" i="41"/>
  <c r="K68" i="41"/>
  <c r="K45" i="41"/>
  <c r="K31" i="41"/>
  <c r="K15" i="41"/>
  <c r="K8" i="41"/>
  <c r="K5" i="41"/>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F30" i="40"/>
  <c r="E30" i="40"/>
  <c r="D30" i="40"/>
  <c r="I29" i="41" s="1"/>
  <c r="C30" i="40"/>
  <c r="Q29" i="40"/>
  <c r="R29" i="40" s="1"/>
  <c r="Q28" i="40"/>
  <c r="R28" i="40" s="1"/>
  <c r="Q27" i="40"/>
  <c r="R27" i="40" s="1"/>
  <c r="Q26" i="40"/>
  <c r="R26" i="40" s="1"/>
  <c r="Q25" i="40"/>
  <c r="R25" i="40" s="1"/>
  <c r="R24" i="40"/>
  <c r="Q24" i="40"/>
  <c r="Q23" i="40"/>
  <c r="R23" i="40" s="1"/>
  <c r="Q22" i="40"/>
  <c r="R22" i="40" s="1"/>
  <c r="Q21" i="40"/>
  <c r="R21" i="40" s="1"/>
  <c r="Q20" i="40"/>
  <c r="R20" i="40" s="1"/>
  <c r="Q19" i="40"/>
  <c r="R19" i="40" s="1"/>
  <c r="Q18" i="40"/>
  <c r="R18" i="40" s="1"/>
  <c r="Q17" i="40"/>
  <c r="R17" i="40" s="1"/>
  <c r="Q16" i="40"/>
  <c r="R16" i="40" s="1"/>
  <c r="Q15" i="40"/>
  <c r="R15" i="40" s="1"/>
  <c r="Q14" i="40"/>
  <c r="R14" i="40" s="1"/>
  <c r="Q13" i="40"/>
  <c r="R13" i="40" s="1"/>
  <c r="Q12" i="40"/>
  <c r="R12" i="40" s="1"/>
  <c r="Q30" i="40" l="1"/>
  <c r="R30" i="40" s="1"/>
</calcChain>
</file>

<file path=xl/sharedStrings.xml><?xml version="1.0" encoding="utf-8"?>
<sst xmlns="http://schemas.openxmlformats.org/spreadsheetml/2006/main" count="323" uniqueCount="208">
  <si>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</si>
  <si>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</si>
  <si>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</si>
  <si>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</si>
  <si>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</si>
  <si>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</si>
  <si>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</si>
  <si>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</si>
  <si>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</si>
  <si>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</si>
  <si>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</si>
  <si>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</si>
  <si>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</si>
  <si>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</si>
  <si>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</si>
  <si>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</si>
  <si>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</si>
  <si>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</si>
  <si>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</si>
  <si>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</si>
  <si>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</si>
  <si>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</si>
  <si>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</si>
  <si>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</si>
  <si>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</si>
  <si>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</si>
  <si>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</si>
  <si>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</si>
  <si>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</si>
  <si>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</si>
  <si>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</si>
  <si>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</si>
  <si>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</si>
  <si>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</si>
  <si>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</si>
  <si>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</si>
  <si>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</si>
  <si>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</si>
  <si>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</si>
  <si>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</si>
  <si>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</si>
  <si>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</si>
  <si>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</si>
  <si>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</si>
  <si>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</si>
  <si>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</si>
  <si>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</si>
  <si>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</si>
  <si>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</si>
  <si>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</si>
  <si>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</si>
  <si>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</si>
  <si>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</si>
  <si>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</si>
  <si>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</si>
  <si>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</si>
  <si>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</si>
  <si>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</si>
  <si>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</si>
  <si>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</si>
  <si>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</si>
  <si>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</si>
  <si>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</si>
  <si>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</si>
  <si>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</si>
  <si>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</si>
  <si>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</si>
  <si>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</si>
  <si>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</si>
  <si>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</si>
  <si>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</si>
  <si>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</si>
  <si>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</si>
  <si>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</si>
  <si>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</si>
  <si>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</si>
  <si>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</si>
  <si>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</si>
  <si>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</si>
  <si>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</si>
  <si>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</si>
  <si>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</si>
  <si>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</si>
  <si>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</si>
  <si>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</si>
  <si>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</si>
  <si>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</si>
  <si>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</si>
  <si>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</si>
  <si>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</si>
  <si>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年度</t>
    <rPh sb="0" eb="2">
      <t>ネンド</t>
    </rPh>
    <phoneticPr fontId="1"/>
  </si>
  <si>
    <t>⑦応用基礎レベルの申請の有無</t>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</si>
  <si>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</si>
  <si>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</si>
  <si>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</si>
  <si>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</si>
  <si>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</si>
  <si>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</si>
  <si>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</si>
  <si>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</si>
  <si>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</si>
  <si>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</si>
  <si>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</si>
  <si>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</si>
  <si>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</si>
  <si>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</si>
  <si>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</si>
  <si>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年度</t>
    <rPh sb="0" eb="2">
      <t>ネンド</t>
    </rPh>
    <phoneticPr fontId="1"/>
  </si>
  <si>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</si>
  <si>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</si>
  <si>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</si>
  <si>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</si>
  <si>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</si>
  <si>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</si>
  <si>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</si>
  <si>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</si>
  <si>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</si>
  <si>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</si>
  <si>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②自己点検・評価体制における意見等を公表しているアドレス</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</si>
  <si>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</si>
  <si>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</si>
  <si>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</si>
  <si>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</si>
  <si>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</si>
  <si>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</si>
  <si>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</si>
  <si>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</si>
  <si>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</si>
  <si>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</si>
  <si>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</si>
  <si>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</si>
  <si>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</si>
  <si>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</si>
  <si>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</si>
  <si>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</si>
  <si>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</si>
  <si>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</si>
  <si>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</si>
  <si>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</si>
  <si>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</si>
  <si>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</si>
  <si>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</si>
  <si>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函館工業高等専門学校</t>
    <phoneticPr fontId="1"/>
  </si>
  <si>
    <t>独立行政法人 国立高等専門学校機構</t>
    <phoneticPr fontId="1"/>
  </si>
  <si>
    <t>高等専門学校</t>
  </si>
  <si>
    <t>北海道函館市戸倉町14-1</t>
    <phoneticPr fontId="1"/>
  </si>
  <si>
    <t>無</t>
  </si>
  <si>
    <t>校長</t>
    <rPh sb="0" eb="2">
      <t>コウチョウ</t>
    </rPh>
    <phoneticPr fontId="1"/>
  </si>
  <si>
    <t>阿部　恵</t>
    <rPh sb="0" eb="2">
      <t>アベ</t>
    </rPh>
    <rPh sb="3" eb="4">
      <t>メグミ</t>
    </rPh>
    <phoneticPr fontId="1"/>
  </si>
  <si>
    <t>教務委員会</t>
    <phoneticPr fontId="1"/>
  </si>
  <si>
    <t>柳谷　俊一</t>
    <phoneticPr fontId="1"/>
  </si>
  <si>
    <t>教務主事</t>
    <phoneticPr fontId="1"/>
  </si>
  <si>
    <t>運営会議</t>
    <phoneticPr fontId="1"/>
  </si>
  <si>
    <t>阿部　恵</t>
    <phoneticPr fontId="1"/>
  </si>
  <si>
    <t>校長</t>
    <phoneticPr fontId="1"/>
  </si>
  <si>
    <t>認定教育プログラム</t>
  </si>
  <si>
    <t>学生課教務係</t>
    <phoneticPr fontId="1"/>
  </si>
  <si>
    <t>佐々木　有香</t>
    <phoneticPr fontId="1"/>
  </si>
  <si>
    <t>0138-59-6333</t>
    <phoneticPr fontId="1"/>
  </si>
  <si>
    <t>学部・学科によって、修了要件は相違しない</t>
  </si>
  <si>
    <t>本教育プログラムを構成する下記の科目すべてを修得していること。
情報処理基礎（1年　必修　2単位）
プログラミング入門（1年　必修　2単位）
工学基礎実験（1年　必修　2単位）
工学リテラシー（1年　必修　2単位）</t>
    <phoneticPr fontId="1"/>
  </si>
  <si>
    <t>工学リテラシー</t>
    <phoneticPr fontId="1"/>
  </si>
  <si>
    <t>情報処理基礎</t>
    <phoneticPr fontId="1"/>
  </si>
  <si>
    <t>○</t>
  </si>
  <si>
    <t>全学開講</t>
  </si>
  <si>
    <t>工学基礎実験</t>
    <phoneticPr fontId="1"/>
  </si>
  <si>
    <t>プログラミング入門</t>
    <phoneticPr fontId="1"/>
  </si>
  <si>
    <t>〇</t>
    <phoneticPr fontId="1"/>
  </si>
  <si>
    <t>データ利活用の実例において、情報技術がネットワークをはじめさまざまな分野で役立っていることを理解する。各自のPCに学内LANを利用するための各種の設定を行う。「情報処理基礎」（前期第1週）</t>
    <rPh sb="80" eb="86">
      <t>ジョウホウショリキソ</t>
    </rPh>
    <rPh sb="88" eb="90">
      <t>ゼンキ</t>
    </rPh>
    <rPh sb="90" eb="91">
      <t>ダイ</t>
    </rPh>
    <rPh sb="92" eb="93">
      <t>シュウ</t>
    </rPh>
    <phoneticPr fontId="1"/>
  </si>
  <si>
    <t>情報社会において、情報のモラルと情報化が個人に及ぼす影響について理解する。また、情報社会の法規と権利に関して、他人の著作物を適切に利用したり，自分の著作物を公開したりする方法を理解する。コンピュータウィルスが招く脅威の事例から、日頃からのネットワーク利用に注意を払うことができる「情報処理基礎」（前期第3週）</t>
    <rPh sb="140" eb="146">
      <t>ジョウホウショリキソ</t>
    </rPh>
    <rPh sb="148" eb="150">
      <t>ゼンキ</t>
    </rPh>
    <rPh sb="150" eb="151">
      <t>ダイ</t>
    </rPh>
    <rPh sb="152" eb="153">
      <t>シュウ</t>
    </rPh>
    <phoneticPr fontId="1"/>
  </si>
  <si>
    <t>個人情報とプライバシーについて、それらを保護する方法を理解する。情報セキュリティに関して、脅威に対する様々な安全対策について理解できる。ネット情報の信頼性について考慮して情報収集できるアクセスできる。また、著作権に配慮した情報の活用方法を説明できる。「情報処理基礎」（前期第5週）</t>
    <rPh sb="126" eb="128">
      <t>ジョウホウ</t>
    </rPh>
    <rPh sb="128" eb="132">
      <t>ショリキソ</t>
    </rPh>
    <rPh sb="134" eb="136">
      <t>ゼンキ</t>
    </rPh>
    <rPh sb="136" eb="137">
      <t>ダイ</t>
    </rPh>
    <rPh sb="138" eb="139">
      <t>シュウ</t>
    </rPh>
    <phoneticPr fontId="1"/>
  </si>
  <si>
    <t>さまざまな情報技術について理解し、課題解決の方法について考える。情報技術は進展が速いということを理解し、それに伴う社会の変化と課題について知る。楽しくなるアプリのコンセプト提案（アイディアソン）, グループでアプリのコンセプトについて討論し、誰をどう楽しくするかをまとめて明確化する。「情報処理基礎」（前期第11～14週）</t>
    <rPh sb="153" eb="154">
      <t>ダイ</t>
    </rPh>
    <phoneticPr fontId="1"/>
  </si>
  <si>
    <t xml:space="preserve">社会を取り巻く情報技術（AI・データサイエンス、Society5.0 等を含む）の現状について理解し、情報社会が築く現代において利活用されている情報技術について理解できる。「工学リテラシー」（後期第13週※各クラスでオムニバス形式で講義を実施するため、シラバス上は後期第13週に記載があるが、クラスによっては前期のはじめに講義を行う。)
</t>
    <phoneticPr fontId="1"/>
  </si>
  <si>
    <t>データの活用により新たな応用が創出されることを理解する。表計算ソフトを用いてデータの収集や整理、解析を行う。また、データ活用における課題に対して、さまざまな手法を用いた解決方法を考察する。「情報処理基礎」（前期第2週、第8週）</t>
    <rPh sb="95" eb="99">
      <t>ジョウホウショリ</t>
    </rPh>
    <rPh sb="99" eb="101">
      <t>キソ</t>
    </rPh>
    <rPh sb="103" eb="105">
      <t>ゼンキ</t>
    </rPh>
    <rPh sb="105" eb="106">
      <t>ダイ</t>
    </rPh>
    <rPh sb="107" eb="108">
      <t>シュウ</t>
    </rPh>
    <rPh sb="109" eb="110">
      <t>ダイ</t>
    </rPh>
    <rPh sb="111" eb="112">
      <t>シュウ</t>
    </rPh>
    <phoneticPr fontId="1"/>
  </si>
  <si>
    <t>・アルゴリズムの基礎を学び、課題解決のアルゴリズムの事例から、課題解決には複数の方法があることを説明できる。「情報処理基礎」（前期第6週）
・Web-GISを利用した地域の情報収集、特定の地域の強み弱みを説明できる。データの活用領域がWebやメール等をはじめとして広範囲であることを理解し、日常生活や社会の課題を解決する有用なツールとなっている、あるいはなり得ることを理解する。「情報処理基礎」（前期第9週、第10週）</t>
    <rPh sb="11" eb="12">
      <t>マナ</t>
    </rPh>
    <rPh sb="65" eb="66">
      <t>ダイ</t>
    </rPh>
    <rPh sb="190" eb="194">
      <t>ジョウホウショリ</t>
    </rPh>
    <rPh sb="194" eb="196">
      <t>キソ</t>
    </rPh>
    <rPh sb="200" eb="201">
      <t>ダイ</t>
    </rPh>
    <rPh sb="202" eb="203">
      <t>シュウ</t>
    </rPh>
    <rPh sb="204" eb="205">
      <t>ダイ</t>
    </rPh>
    <phoneticPr fontId="1"/>
  </si>
  <si>
    <t>実データや実課題を用いてデータを処理し、グラフを作成することにより、「データを読む、説明する、扱う」といった数理・データサイエンス・ＡＩの基本的な活用法を身につける。「工学基礎実験」（第4週、5週）</t>
    <rPh sb="84" eb="90">
      <t>コウガクキソジッケン</t>
    </rPh>
    <rPh sb="92" eb="93">
      <t>ダイ</t>
    </rPh>
    <rPh sb="94" eb="95">
      <t>シュウ</t>
    </rPh>
    <rPh sb="97" eb="98">
      <t>シュウ</t>
    </rPh>
    <phoneticPr fontId="1"/>
  </si>
  <si>
    <t>函館工業高等専門学校教務委員会規程</t>
    <phoneticPr fontId="1"/>
  </si>
  <si>
    <t>教務に関する事項を審議するために教務委員会が設置されている。教務委員会は本教育プログラムを含む事項の改善・進化に関する事項を取り扱う。</t>
    <phoneticPr fontId="1"/>
  </si>
  <si>
    <t>本教育プログラムは第1学年の必修科目のみで構成されており、第1学年の全学生が履修する。したがって、在籍している1学年の学生の履修率は１００％であるため、履修率の向上に向けて計画は不要である。</t>
    <rPh sb="49" eb="51">
      <t>ザイセキ</t>
    </rPh>
    <phoneticPr fontId="1"/>
  </si>
  <si>
    <t>本教育プログラムは第1学年の必修科目のみで構成されており、第1学年の学生全員が受講することになっている。</t>
    <phoneticPr fontId="1"/>
  </si>
  <si>
    <t>１．自学自習用の当該関連分野の参考書を図書館に充実させている。
　　基本的な内容のものから、専門分野の図書、実データに関する図書など幅広く
　　揃えている。
２．オンラインでのサポート体制の構築
　　入学生全員がノートPCを購入し、Microsoft Teamsをインストールさせている。
　　そのため、学生がオンラインで教員に直接相談できる環境が構築されている。
　　また、教員が学生一人ひとりに直接連絡することが可能である。</t>
    <phoneticPr fontId="1"/>
  </si>
  <si>
    <t>１．オフィスアワーの設定
　　オフィスアワーを週1回（例えば水曜日16時15分～35分）設定しているため、学習指導や
　　学生からの質問を受け付ける体制を整備している。
２．オンラインでのサポート体制の構築
　　入学生全員がノートPCを購入し、Microsoft Teamsをインストールさせている。
　　そのため、学生がオンラインで教員に授業時間内外に直接相談できる環境が構築
　　されている。
　　また、教員が学生一人ひとりに直接連絡することが可能である。</t>
    <phoneticPr fontId="1"/>
  </si>
  <si>
    <t>本教育プログラムは第1学年の必修科目で構成されているため、入学した1年生全員（約200名）が履修する。
修得状況は成績判定会議において確認する。</t>
    <phoneticPr fontId="1"/>
  </si>
  <si>
    <t>本教育プログラムは入学したすべての1年生が履修するため、第1学年入学者の履修率は100％である。なお、現時点では、毎年編入学する第3学年への留学生（3～4名程度）、第4学年への編入学生（若干名）への対応は予定していない。</t>
    <phoneticPr fontId="1"/>
  </si>
  <si>
    <t>本教育プログラムは入学したすべての1年生が履修するため、後輩等他の学生へ推奨する必要はない。</t>
    <phoneticPr fontId="1"/>
  </si>
  <si>
    <t>【教育プログラム修了者の進路】
教育プログラムの修了者は約7割が就職（製造業、情報通信業、建設業、公務員等）、残りが進学（本校専攻科、大学）である。
【活躍状況、企業等の評価】
令和2年に企業に対して本校卒業生に対するアンケート調査を実施した。そのなかで本校の教育目標の一つである「情報技術を活用できる技術者」という目標に対して、卒業生がどの程度目標を満たしているかの回答結果では、「優れている」「やや優れている」と回答した割合は64.6%であり、「普通」という回答を含めると96%となった。これより、本校卒業生の情報技術の活用に関する能力は高いと評価できる。</t>
    <phoneticPr fontId="1"/>
  </si>
  <si>
    <t>外部評価委員が参加する運営協議会を毎年開催し、本教育プログラムの内容について産業界からの視点を含めた意見をいただき，教育の点検と改善を行う予定である。</t>
    <phoneticPr fontId="1"/>
  </si>
  <si>
    <t>本プログラムでは、座学形式だけではなく、実習形式の授業（工学基礎実験、プログラミング入門、情報処理基礎）を多く設定している。実データを教材として利用することで、数理データサイエンスやAIの活用についての意義を理解と好奇心を促す授業内容とする。</t>
    <phoneticPr fontId="1"/>
  </si>
  <si>
    <t>履修学生による授業評価アンケートを通して、年度ごとに内容を改善する体制を整えている。
独立行政法人国立高等専門学校機構が中心となり「COMPASS 5.0　AI・データサイエンス分野」のプロジェクトを進めており、教材開発が推進されている。これらの教材は全国の高専が共有することで、内容・水準を維持・向上しつつ、より「わかりやすい」授業に向けた改善を行うことが可能である。</t>
    <phoneticPr fontId="1"/>
  </si>
  <si>
    <t>・数理・データサイエンス・AIの基礎的素養の修得
・データを読む、分析する、説明する基本能力
・デジタルデータを扱うためのプログラミング基礎能力</t>
    <rPh sb="68" eb="70">
      <t>キソ</t>
    </rPh>
    <phoneticPr fontId="1"/>
  </si>
  <si>
    <t>2020年度</t>
    <rPh sb="4" eb="6">
      <t>ネンド</t>
    </rPh>
    <phoneticPr fontId="1"/>
  </si>
  <si>
    <t>2019年度</t>
    <rPh sb="4" eb="6">
      <t>ネンド</t>
    </rPh>
    <phoneticPr fontId="1"/>
  </si>
  <si>
    <t>2018年度</t>
    <rPh sb="4" eb="6">
      <t>ネンド</t>
    </rPh>
    <phoneticPr fontId="1"/>
  </si>
  <si>
    <t>データサイエンス・AI教育プログラム</t>
    <phoneticPr fontId="1"/>
  </si>
  <si>
    <t>https://www.hakodate-ct.ac.jp/disclosure/education_program</t>
    <phoneticPr fontId="1"/>
  </si>
  <si>
    <t>https://www.hakodate-ct.ac.jp/disclosure/education_program/self_assesment</t>
    <phoneticPr fontId="1"/>
  </si>
  <si>
    <t>実データや実課題を用いてデータを処理し、グラフを作成することにより、「データを読む、説明する、扱う」といった数理・データサイエンス・ＡＩの基本的な活用法を身につける。「工学基礎実験」（第4週、5週）</t>
    <phoneticPr fontId="1"/>
  </si>
  <si>
    <t>・実データや実課題を用いてデータを処理し、グラフを作成することにより、「データを読む、説明する、扱う」といった数理・データサイエンス・ＡＩの基本的な活用法を身につける。「工学基礎実験」（第4週、5週）
・プログラミング言語（C言語）におけるコンピュータへの入出力方法、変数やデータ型、 制御構文（分岐・繰り返し）、配列を理解し、それらを活用した簡単なプログラムを独力で作成できるようになる。「プログラミング入門」（前期第4週以降）</t>
    <rPh sb="203" eb="205">
      <t>ニュウモン</t>
    </rPh>
    <rPh sb="207" eb="209">
      <t>ゼンキ</t>
    </rPh>
    <rPh sb="209" eb="210">
      <t>ダイ</t>
    </rPh>
    <rPh sb="211" eb="212">
      <t>シュウ</t>
    </rPh>
    <rPh sb="212" eb="214">
      <t>イコウ</t>
    </rPh>
    <phoneticPr fontId="1"/>
  </si>
  <si>
    <t>すべての科目において成績評価の基準となるルーブリックを記載しており、各科目で求められる学習成果が明確となっている。それに基づいた評価結果は教務事務システム上で確認することが可能である。学生自身は授業アンケートにより自身の振り返りを行う。
これらの結果に基づき、教務委員会を中心としてプログラムの改善を行う体制となっている。</t>
    <phoneticPr fontId="1"/>
  </si>
  <si>
    <t>様式２</t>
    <phoneticPr fontId="1"/>
  </si>
  <si>
    <t>kyomu@hakodate-ct.ac.jp</t>
    <phoneticPr fontId="1"/>
  </si>
  <si>
    <t>現代の情報社会のなかで利活用されているデータの基礎について学ぶ。コンピュータ内部のデータ表現、基数変換を理解する。文字・数値・画像データのコンピュータ内部の表現を説明できる。「工学リテラシー」（前期第15週）</t>
    <phoneticPr fontId="1"/>
  </si>
  <si>
    <t>2021年度</t>
    <rPh sb="4" eb="6">
      <t>ネンド</t>
    </rPh>
    <phoneticPr fontId="1"/>
  </si>
  <si>
    <t>教育プログラムを必修科目で構成しており、第1学年の学生全員が履修する。教育プログラムについてはホームページに掲載するとともに、教育プログラムを構成する各科目において第１学年の全学生に周知する。</t>
    <phoneticPr fontId="1"/>
  </si>
  <si>
    <t>生産システム工学科</t>
    <rPh sb="0" eb="2">
      <t>セイサン</t>
    </rPh>
    <rPh sb="6" eb="9">
      <t>コウガッカ</t>
    </rPh>
    <phoneticPr fontId="1"/>
  </si>
  <si>
    <t>物質環境工学科</t>
    <rPh sb="0" eb="2">
      <t>ブッシツ</t>
    </rPh>
    <rPh sb="2" eb="4">
      <t>カンキョウ</t>
    </rPh>
    <rPh sb="4" eb="7">
      <t>コウガッカ</t>
    </rPh>
    <phoneticPr fontId="1"/>
  </si>
  <si>
    <t>社会基盤工学科</t>
    <rPh sb="0" eb="2">
      <t>シャカイ</t>
    </rPh>
    <rPh sb="2" eb="4">
      <t>キバン</t>
    </rPh>
    <rPh sb="4" eb="7">
      <t>コウガッカ</t>
    </rPh>
    <phoneticPr fontId="1"/>
  </si>
  <si>
    <t>・柳谷俊一　（教務主事，生産システム工学科教授）
・水野章敏　（教務主事補，物質環境工学科准教授）
・山本けい子　（教務主事補，一般系准教授） 
・川上健作　（生産システム工学科教授）
・中津川征士　（生産システム工学科教授）
・東海林智也　（生産システム工学科准教授）
・澤村秀治　（社会基盤工学科教授）
・浦田清　（一般系特任教授）
・宇野裕之　（学生課長）</t>
    <rPh sb="1" eb="3">
      <t>ヤナギヤ</t>
    </rPh>
    <rPh sb="3" eb="5">
      <t>シュンイチ</t>
    </rPh>
    <rPh sb="12" eb="14">
      <t>セイサン</t>
    </rPh>
    <rPh sb="18" eb="21">
      <t>コウガッカ</t>
    </rPh>
    <rPh sb="21" eb="23">
      <t>キョウジュ</t>
    </rPh>
    <rPh sb="26" eb="28">
      <t>ミズノ</t>
    </rPh>
    <rPh sb="38" eb="40">
      <t>ブッシツ</t>
    </rPh>
    <rPh sb="40" eb="42">
      <t>カンキョウ</t>
    </rPh>
    <rPh sb="42" eb="45">
      <t>コウガッカ</t>
    </rPh>
    <rPh sb="45" eb="48">
      <t>ジュンキョウジュ</t>
    </rPh>
    <rPh sb="51" eb="53">
      <t>ヤマモト</t>
    </rPh>
    <rPh sb="55" eb="56">
      <t>コ</t>
    </rPh>
    <rPh sb="58" eb="63">
      <t>キョウムシュジホ</t>
    </rPh>
    <rPh sb="64" eb="67">
      <t>イッパンケイ</t>
    </rPh>
    <rPh sb="67" eb="70">
      <t>ジュンキョウジュ</t>
    </rPh>
    <rPh sb="74" eb="76">
      <t>カワカミ</t>
    </rPh>
    <rPh sb="76" eb="78">
      <t>ケンサク</t>
    </rPh>
    <rPh sb="80" eb="82">
      <t>セイサン</t>
    </rPh>
    <rPh sb="86" eb="89">
      <t>コウガッカ</t>
    </rPh>
    <rPh sb="89" eb="91">
      <t>キョウジュ</t>
    </rPh>
    <rPh sb="94" eb="97">
      <t>ナカツガワ</t>
    </rPh>
    <rPh sb="97" eb="99">
      <t>マサシ</t>
    </rPh>
    <rPh sb="101" eb="103">
      <t>セイサン</t>
    </rPh>
    <rPh sb="107" eb="110">
      <t>コウガッカ</t>
    </rPh>
    <rPh sb="110" eb="112">
      <t>キョウジュ</t>
    </rPh>
    <rPh sb="115" eb="118">
      <t>トウカイリン</t>
    </rPh>
    <rPh sb="118" eb="120">
      <t>トモヤ</t>
    </rPh>
    <rPh sb="122" eb="124">
      <t>セイサン</t>
    </rPh>
    <rPh sb="128" eb="131">
      <t>コウガッカ</t>
    </rPh>
    <rPh sb="131" eb="134">
      <t>ジュンキョウジュ</t>
    </rPh>
    <rPh sb="137" eb="139">
      <t>サワムラ</t>
    </rPh>
    <rPh sb="139" eb="141">
      <t>シュウジ</t>
    </rPh>
    <rPh sb="143" eb="145">
      <t>シャカイ</t>
    </rPh>
    <rPh sb="145" eb="147">
      <t>キバン</t>
    </rPh>
    <rPh sb="147" eb="150">
      <t>コウガッカ</t>
    </rPh>
    <rPh sb="150" eb="152">
      <t>キョウジュ</t>
    </rPh>
    <rPh sb="155" eb="157">
      <t>ウラタ</t>
    </rPh>
    <rPh sb="157" eb="158">
      <t>キヨシ</t>
    </rPh>
    <rPh sb="160" eb="163">
      <t>イッパンケイ</t>
    </rPh>
    <rPh sb="163" eb="165">
      <t>トクニン</t>
    </rPh>
    <rPh sb="165" eb="167">
      <t>キョウジュ</t>
    </rPh>
    <rPh sb="170" eb="172">
      <t>ウノ</t>
    </rPh>
    <rPh sb="172" eb="174">
      <t>ヒロユキ</t>
    </rPh>
    <rPh sb="176" eb="178">
      <t>ガクセイ</t>
    </rPh>
    <rPh sb="178" eb="180">
      <t>カチョウ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</si>
</sst>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22"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u/>
      <sz val="1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u/>
      <sz val="11"/>
      <color theme="1"/>
      <name val="ＭＳ Ｐゴシック"/>
      <family val="3"/>
      <charset val="128"/>
      <scheme val="minor"/>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3">
    <xf numFmtId="0" fontId="0" fillId="0" borderId="0">
      <alignment vertical="center"/>
    </xf>
    <xf numFmtId="38" fontId="5" fillId="0" borderId="0" applyFont="0" applyFill="0" applyBorder="0" applyAlignment="0" applyProtection="0">
      <alignment vertical="center"/>
    </xf>
    <xf numFmtId="0" fontId="6" fillId="0" borderId="0" applyNumberFormat="0" applyFill="0" applyBorder="0" applyAlignment="0" applyProtection="0">
      <alignment vertical="center"/>
    </xf>
  </cellStyleXfs>
  <cellXfs count="302">
    <xf numFmtId="0" fontId="0" fillId="0" borderId="0" xfId="0">
      <alignment vertical="center"/>
    </xf>
    <xf numFmtId="0" fontId="3" fillId="0" borderId="0" xfId="0" applyFont="1">
      <alignment vertical="center"/>
    </xf>
    <xf numFmtId="0" fontId="4" fillId="0" borderId="10" xfId="0" applyFont="1" applyBorder="1" applyAlignment="1">
      <alignment vertical="top" wrapText="1"/>
    </xf>
    <xf numFmtId="176" fontId="7" fillId="0" borderId="0" xfId="0" applyNumberFormat="1" applyFont="1" applyBorder="1">
      <alignment vertical="center"/>
    </xf>
    <xf numFmtId="176" fontId="7" fillId="0" borderId="3" xfId="0" applyNumberFormat="1" applyFont="1" applyBorder="1" applyAlignment="1">
      <alignment vertical="center" shrinkToFit="1"/>
    </xf>
    <xf numFmtId="0" fontId="7" fillId="0" borderId="0" xfId="0" applyFont="1" applyBorder="1" applyAlignment="1">
      <alignment horizontal="center" vertical="center" shrinkToFit="1"/>
    </xf>
    <xf numFmtId="0" fontId="8" fillId="0" borderId="0" xfId="0" applyFont="1">
      <alignment vertical="center"/>
    </xf>
    <xf numFmtId="0" fontId="7" fillId="0" borderId="0" xfId="0" applyFont="1">
      <alignment vertical="center"/>
    </xf>
    <xf numFmtId="0" fontId="7" fillId="0" borderId="0" xfId="0" applyFont="1" applyAlignment="1">
      <alignment vertical="center"/>
    </xf>
    <xf numFmtId="0" fontId="7" fillId="0" borderId="0" xfId="0" applyFont="1" applyAlignment="1">
      <alignment horizontal="left" vertical="center"/>
    </xf>
    <xf numFmtId="0" fontId="7" fillId="0" borderId="0" xfId="0" applyFont="1" applyBorder="1" applyAlignment="1">
      <alignment vertical="center"/>
    </xf>
    <xf numFmtId="0" fontId="7" fillId="0" borderId="5" xfId="0" applyFont="1" applyBorder="1">
      <alignment vertical="center"/>
    </xf>
    <xf numFmtId="176" fontId="7" fillId="0" borderId="0" xfId="0" applyNumberFormat="1" applyFont="1" applyBorder="1" applyAlignment="1">
      <alignment vertical="center" wrapText="1"/>
    </xf>
    <xf numFmtId="0" fontId="7" fillId="0" borderId="0" xfId="0" applyFont="1" applyBorder="1">
      <alignment vertical="center"/>
    </xf>
    <xf numFmtId="176" fontId="7" fillId="0" borderId="5" xfId="0" applyNumberFormat="1" applyFont="1" applyBorder="1" applyAlignment="1">
      <alignment vertical="center"/>
    </xf>
    <xf numFmtId="176" fontId="7" fillId="0" borderId="0" xfId="0" applyNumberFormat="1" applyFont="1" applyAlignment="1">
      <alignment vertical="center" wrapText="1"/>
    </xf>
    <xf numFmtId="176" fontId="7" fillId="0" borderId="0" xfId="0" applyNumberFormat="1" applyFont="1" applyAlignment="1">
      <alignment horizontal="left" vertical="center" wrapText="1"/>
    </xf>
    <xf numFmtId="0" fontId="7" fillId="0" borderId="6" xfId="0" applyFont="1" applyBorder="1" applyAlignment="1">
      <alignment vertical="center" shrinkToFit="1"/>
    </xf>
    <xf numFmtId="0" fontId="7" fillId="0" borderId="1" xfId="0" applyFont="1" applyBorder="1">
      <alignment vertical="center"/>
    </xf>
    <xf numFmtId="0" fontId="7" fillId="0" borderId="2" xfId="0" applyFont="1" applyBorder="1">
      <alignment vertical="center"/>
    </xf>
    <xf numFmtId="0" fontId="7" fillId="0" borderId="4" xfId="0" applyFont="1" applyBorder="1">
      <alignment vertical="center"/>
    </xf>
    <xf numFmtId="0" fontId="7" fillId="0" borderId="0" xfId="0" applyFont="1" applyAlignment="1">
      <alignment horizontal="center" vertical="center"/>
    </xf>
    <xf numFmtId="0" fontId="7" fillId="0" borderId="1" xfId="0" applyFont="1" applyBorder="1" applyAlignment="1">
      <alignment vertical="center" shrinkToFit="1"/>
    </xf>
    <xf numFmtId="0" fontId="9" fillId="0" borderId="0" xfId="0" applyFont="1">
      <alignment vertical="center"/>
    </xf>
    <xf numFmtId="0" fontId="7" fillId="0" borderId="0" xfId="0" applyFont="1" applyBorder="1" applyAlignment="1">
      <alignment horizontal="center" vertical="center"/>
    </xf>
    <xf numFmtId="0" fontId="7" fillId="0" borderId="0" xfId="0" applyFont="1" applyBorder="1" applyAlignment="1">
      <alignment vertical="center" shrinkToFit="1"/>
    </xf>
    <xf numFmtId="0" fontId="4" fillId="0" borderId="0" xfId="0" applyFont="1" applyAlignment="1">
      <alignment vertical="top" wrapText="1"/>
    </xf>
    <xf numFmtId="0" fontId="7" fillId="0" borderId="0" xfId="0" applyFont="1" applyBorder="1" applyAlignment="1">
      <alignment vertical="center" shrinkToFit="1"/>
    </xf>
    <xf numFmtId="0" fontId="7" fillId="0" borderId="0" xfId="0" applyFont="1" applyFill="1">
      <alignment vertical="center"/>
    </xf>
    <xf numFmtId="0" fontId="7" fillId="0" borderId="10" xfId="0" applyFont="1" applyBorder="1" applyAlignment="1">
      <alignment vertical="center" shrinkToFit="1"/>
    </xf>
    <xf numFmtId="49" fontId="17" fillId="0" borderId="1" xfId="0" applyNumberFormat="1" applyFont="1" applyBorder="1" applyAlignment="1">
      <alignment horizontal="center" vertical="center"/>
    </xf>
    <xf numFmtId="0" fontId="7" fillId="0" borderId="0" xfId="0" applyFont="1" applyAlignment="1">
      <alignment vertical="center" shrinkToFit="1"/>
    </xf>
    <xf numFmtId="0" fontId="7" fillId="0" borderId="0" xfId="0" applyFont="1" applyAlignment="1">
      <alignment vertical="top" wrapText="1"/>
    </xf>
    <xf numFmtId="0" fontId="8" fillId="0" borderId="2" xfId="0" applyFont="1" applyBorder="1">
      <alignment vertical="center"/>
    </xf>
    <xf numFmtId="0" fontId="8" fillId="0" borderId="4" xfId="0" applyFont="1" applyBorder="1">
      <alignment vertical="center"/>
    </xf>
    <xf numFmtId="49" fontId="17" fillId="0" borderId="47" xfId="0" applyNumberFormat="1" applyFont="1" applyBorder="1" applyAlignment="1">
      <alignment horizontal="center" vertical="center"/>
    </xf>
    <xf numFmtId="49" fontId="17" fillId="0" borderId="33" xfId="0" applyNumberFormat="1" applyFont="1" applyBorder="1" applyAlignment="1">
      <alignment horizontal="center" vertical="center"/>
    </xf>
    <xf numFmtId="49" fontId="17" fillId="0" borderId="50" xfId="0" applyNumberFormat="1" applyFont="1" applyBorder="1" applyAlignment="1">
      <alignment horizontal="center" vertical="center"/>
    </xf>
    <xf numFmtId="49" fontId="17" fillId="0" borderId="51" xfId="0" applyNumberFormat="1" applyFont="1" applyBorder="1" applyAlignment="1">
      <alignment horizontal="center" vertical="center"/>
    </xf>
    <xf numFmtId="0" fontId="3" fillId="0" borderId="0" xfId="0" applyFont="1" applyAlignment="1">
      <alignment vertical="top" wrapText="1"/>
    </xf>
    <xf numFmtId="0" fontId="3" fillId="0" borderId="0" xfId="0" applyFont="1" applyAlignment="1">
      <alignment vertical="center" wrapText="1"/>
    </xf>
    <xf numFmtId="0" fontId="7" fillId="0" borderId="2" xfId="0" applyFont="1" applyBorder="1" applyAlignment="1">
      <alignment vertical="center"/>
    </xf>
    <xf numFmtId="0" fontId="7" fillId="0" borderId="3" xfId="0" applyFont="1" applyBorder="1" applyAlignment="1">
      <alignment vertical="center"/>
    </xf>
    <xf numFmtId="0" fontId="7" fillId="0" borderId="4" xfId="0" applyFont="1" applyBorder="1" applyAlignment="1">
      <alignment vertical="center"/>
    </xf>
    <xf numFmtId="49" fontId="17" fillId="0" borderId="52" xfId="0" applyNumberFormat="1" applyFont="1" applyBorder="1" applyAlignment="1">
      <alignment horizontal="center" vertical="center"/>
    </xf>
    <xf numFmtId="49" fontId="17" fillId="0" borderId="29" xfId="0" applyNumberFormat="1" applyFont="1" applyBorder="1" applyAlignment="1">
      <alignment horizontal="center" vertical="center"/>
    </xf>
    <xf numFmtId="0" fontId="20" fillId="0" borderId="4" xfId="0" applyFont="1" applyBorder="1" applyAlignment="1">
      <alignment horizontal="center" vertical="center" shrinkToFit="1"/>
    </xf>
    <xf numFmtId="0" fontId="7" fillId="0" borderId="14" xfId="0" applyFont="1" applyBorder="1" applyAlignment="1">
      <alignment horizontal="center" vertical="center" shrinkToFit="1"/>
    </xf>
    <xf numFmtId="0" fontId="7" fillId="0" borderId="23" xfId="0" applyFont="1" applyBorder="1" applyAlignment="1">
      <alignment horizontal="center" vertical="center" shrinkToFit="1"/>
    </xf>
    <xf numFmtId="0" fontId="7" fillId="0" borderId="13" xfId="0" applyFont="1" applyBorder="1" applyAlignment="1">
      <alignment horizontal="center" vertical="center" shrinkToFit="1"/>
    </xf>
    <xf numFmtId="0" fontId="7" fillId="0" borderId="1" xfId="0" applyFont="1" applyBorder="1" applyAlignment="1">
      <alignment horizontal="center" vertical="center" shrinkToFit="1"/>
    </xf>
    <xf numFmtId="0" fontId="7" fillId="0" borderId="18" xfId="0" applyFont="1" applyBorder="1" applyAlignment="1">
      <alignment horizontal="center" vertical="center"/>
    </xf>
    <xf numFmtId="0" fontId="7" fillId="0" borderId="42" xfId="0" applyFont="1" applyBorder="1" applyAlignment="1">
      <alignment horizontal="center" vertical="center"/>
    </xf>
    <xf numFmtId="0" fontId="7" fillId="0" borderId="38" xfId="0" applyFont="1" applyBorder="1" applyAlignment="1">
      <alignment horizontal="center" vertical="center"/>
    </xf>
    <xf numFmtId="0" fontId="7" fillId="0" borderId="43" xfId="0" applyFont="1" applyBorder="1" applyAlignment="1">
      <alignment horizontal="center" vertical="center" shrinkToFit="1"/>
    </xf>
    <xf numFmtId="0" fontId="12" fillId="0" borderId="0" xfId="0" applyFont="1" applyAlignment="1">
      <alignment horizontal="center" vertical="center"/>
    </xf>
    <xf numFmtId="0" fontId="3" fillId="0" borderId="0" xfId="0" applyFont="1" applyAlignment="1">
      <alignment horizontal="right" vertical="center"/>
    </xf>
    <xf numFmtId="0" fontId="3" fillId="0" borderId="5" xfId="0" applyFont="1" applyBorder="1">
      <alignment vertical="center"/>
    </xf>
    <xf numFmtId="0" fontId="4" fillId="0" borderId="5" xfId="0" applyFont="1" applyBorder="1" applyAlignment="1">
      <alignment vertical="top" wrapText="1"/>
    </xf>
    <xf numFmtId="0" fontId="3" fillId="0" borderId="16" xfId="0" applyFont="1" applyBorder="1">
      <alignment vertical="center"/>
    </xf>
    <xf numFmtId="0" fontId="4" fillId="0" borderId="20" xfId="0" applyFont="1" applyBorder="1" applyAlignment="1">
      <alignment vertical="top" wrapText="1"/>
    </xf>
    <xf numFmtId="0" fontId="4" fillId="0" borderId="18" xfId="0" applyFont="1" applyBorder="1" applyAlignment="1">
      <alignment vertical="top" wrapText="1"/>
    </xf>
    <xf numFmtId="0" fontId="4" fillId="0" borderId="20" xfId="0" applyFont="1" applyBorder="1" applyAlignment="1">
      <alignment vertical="top" shrinkToFit="1"/>
    </xf>
    <xf numFmtId="0" fontId="4" fillId="0" borderId="18" xfId="0" applyFont="1" applyBorder="1" applyAlignment="1">
      <alignment vertical="top" shrinkToFit="1"/>
    </xf>
    <xf numFmtId="176" fontId="7" fillId="0" borderId="3" xfId="0" applyNumberFormat="1" applyFont="1" applyFill="1" applyBorder="1" applyAlignment="1">
      <alignment vertical="center" shrinkToFit="1"/>
    </xf>
    <xf numFmtId="176" fontId="3" fillId="0" borderId="45" xfId="0" applyNumberFormat="1" applyFont="1" applyFill="1" applyBorder="1" applyAlignment="1">
      <alignment horizontal="center" vertical="center" shrinkToFit="1"/>
    </xf>
    <xf numFmtId="49" fontId="15" fillId="0" borderId="2" xfId="2" applyNumberFormat="1" applyFont="1" applyBorder="1" applyAlignment="1">
      <alignment vertical="center" shrinkToFit="1"/>
    </xf>
    <xf numFmtId="49" fontId="7" fillId="0" borderId="3" xfId="0" applyNumberFormat="1" applyFont="1" applyBorder="1" applyAlignment="1">
      <alignment vertical="center" shrinkToFit="1"/>
    </xf>
    <xf numFmtId="49" fontId="7" fillId="0" borderId="4" xfId="0" applyNumberFormat="1" applyFont="1" applyBorder="1" applyAlignment="1">
      <alignment vertical="center" shrinkToFit="1"/>
    </xf>
    <xf numFmtId="49" fontId="7" fillId="0" borderId="2" xfId="1" applyNumberFormat="1" applyFont="1" applyBorder="1" applyAlignment="1">
      <alignment horizontal="center" vertical="center" shrinkToFit="1"/>
    </xf>
    <xf numFmtId="49" fontId="7" fillId="0" borderId="3" xfId="1" applyNumberFormat="1" applyFont="1" applyBorder="1" applyAlignment="1">
      <alignment horizontal="center" vertical="center" shrinkToFit="1"/>
    </xf>
    <xf numFmtId="49" fontId="7" fillId="0" borderId="4" xfId="1" applyNumberFormat="1" applyFont="1" applyBorder="1" applyAlignment="1">
      <alignment horizontal="center" vertical="center" shrinkToFit="1"/>
    </xf>
    <xf numFmtId="0" fontId="7" fillId="0" borderId="0" xfId="0" applyFont="1" applyBorder="1" applyAlignment="1">
      <alignment horizontal="center" vertical="center"/>
    </xf>
    <xf numFmtId="0" fontId="7" fillId="0" borderId="2" xfId="0" applyFont="1" applyBorder="1" applyAlignment="1">
      <alignment horizontal="center" vertical="center" shrinkToFit="1"/>
    </xf>
    <xf numFmtId="0" fontId="7" fillId="0" borderId="3" xfId="0" applyFont="1" applyBorder="1" applyAlignment="1">
      <alignment horizontal="center" vertical="center" shrinkToFit="1"/>
    </xf>
    <xf numFmtId="0" fontId="7" fillId="0" borderId="4" xfId="0" applyFont="1" applyBorder="1" applyAlignment="1">
      <alignment horizontal="center" vertical="center" shrinkToFit="1"/>
    </xf>
    <xf numFmtId="176" fontId="7" fillId="0" borderId="2" xfId="0" applyNumberFormat="1" applyFont="1" applyFill="1" applyBorder="1" applyAlignment="1">
      <alignment horizontal="center" vertical="center" shrinkToFit="1"/>
    </xf>
    <xf numFmtId="176" fontId="7" fillId="0" borderId="4" xfId="0" applyNumberFormat="1" applyFont="1" applyFill="1" applyBorder="1" applyAlignment="1">
      <alignment horizontal="center" vertical="center" shrinkToFit="1"/>
    </xf>
    <xf numFmtId="0" fontId="7" fillId="0" borderId="2" xfId="0" applyFont="1" applyBorder="1" applyAlignment="1">
      <alignment vertical="center" shrinkToFit="1"/>
    </xf>
    <xf numFmtId="0" fontId="7" fillId="0" borderId="3" xfId="0" applyFont="1" applyBorder="1" applyAlignment="1">
      <alignment vertical="center" shrinkToFit="1"/>
    </xf>
    <xf numFmtId="0" fontId="7" fillId="0" borderId="0" xfId="0" applyFont="1" applyBorder="1" applyAlignment="1">
      <alignment horizontal="right" vertical="center" shrinkToFit="1"/>
    </xf>
    <xf numFmtId="0" fontId="7" fillId="0" borderId="5" xfId="0" applyFont="1" applyBorder="1" applyAlignment="1">
      <alignment horizontal="right" vertical="center" shrinkToFit="1"/>
    </xf>
    <xf numFmtId="0" fontId="7" fillId="0" borderId="10" xfId="0" applyFont="1" applyBorder="1" applyAlignment="1">
      <alignment horizontal="right" vertical="center" shrinkToFit="1"/>
    </xf>
    <xf numFmtId="0" fontId="7" fillId="0" borderId="0" xfId="0" applyFont="1" applyAlignment="1">
      <alignment horizontal="right" vertical="center"/>
    </xf>
    <xf numFmtId="0" fontId="7" fillId="0" borderId="0" xfId="0" applyFont="1" applyBorder="1" applyAlignment="1">
      <alignment horizontal="right" vertical="center"/>
    </xf>
    <xf numFmtId="0" fontId="7" fillId="0" borderId="10" xfId="0" applyFont="1" applyBorder="1" applyAlignment="1">
      <alignment horizontal="right" vertical="center"/>
    </xf>
    <xf numFmtId="176" fontId="7" fillId="0" borderId="3" xfId="0" applyNumberFormat="1" applyFont="1" applyFill="1" applyBorder="1" applyAlignment="1">
      <alignment horizontal="center" vertical="center" shrinkToFit="1"/>
    </xf>
    <xf numFmtId="0" fontId="11" fillId="0" borderId="0" xfId="0" applyFont="1" applyAlignment="1">
      <alignment horizontal="center" vertical="center"/>
    </xf>
    <xf numFmtId="0" fontId="7" fillId="0" borderId="2" xfId="0" applyNumberFormat="1" applyFont="1" applyFill="1" applyBorder="1" applyAlignment="1">
      <alignment horizontal="center" vertical="center"/>
    </xf>
    <xf numFmtId="0" fontId="7" fillId="0" borderId="4" xfId="0" applyNumberFormat="1" applyFont="1" applyFill="1" applyBorder="1" applyAlignment="1">
      <alignment horizontal="center" vertical="center"/>
    </xf>
    <xf numFmtId="176" fontId="7" fillId="0" borderId="2" xfId="0" applyNumberFormat="1" applyFont="1" applyBorder="1" applyAlignment="1">
      <alignment horizontal="center" vertical="center" shrinkToFit="1"/>
    </xf>
    <xf numFmtId="176" fontId="7" fillId="0" borderId="4" xfId="0" applyNumberFormat="1" applyFont="1" applyBorder="1" applyAlignment="1">
      <alignment horizontal="center" vertical="center" shrinkToFit="1"/>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0" borderId="4" xfId="0" applyFont="1" applyBorder="1" applyAlignment="1">
      <alignment horizontal="center" vertical="center"/>
    </xf>
    <xf numFmtId="176" fontId="7" fillId="0" borderId="2" xfId="0" applyNumberFormat="1" applyFont="1" applyBorder="1" applyAlignment="1">
      <alignment horizontal="center" vertical="center"/>
    </xf>
    <xf numFmtId="176" fontId="7" fillId="0" borderId="3" xfId="0" applyNumberFormat="1" applyFont="1" applyBorder="1" applyAlignment="1">
      <alignment horizontal="center" vertical="center"/>
    </xf>
    <xf numFmtId="176" fontId="7" fillId="0" borderId="4" xfId="0" applyNumberFormat="1" applyFont="1" applyBorder="1" applyAlignment="1">
      <alignment horizontal="center" vertical="center"/>
    </xf>
    <xf numFmtId="0" fontId="7" fillId="0" borderId="2" xfId="0" applyFont="1" applyFill="1" applyBorder="1" applyAlignment="1">
      <alignment horizontal="center" vertical="center" shrinkToFit="1"/>
    </xf>
    <xf numFmtId="0" fontId="7" fillId="0" borderId="3" xfId="0" applyFont="1" applyFill="1" applyBorder="1" applyAlignment="1">
      <alignment horizontal="center" vertical="center" shrinkToFit="1"/>
    </xf>
    <xf numFmtId="0" fontId="7" fillId="0" borderId="0" xfId="0" applyFont="1" applyBorder="1" applyAlignment="1">
      <alignment vertical="center" shrinkToFit="1"/>
    </xf>
    <xf numFmtId="0" fontId="7" fillId="0" borderId="37" xfId="0" applyFont="1" applyBorder="1" applyAlignment="1">
      <alignment vertical="center" shrinkToFit="1"/>
    </xf>
    <xf numFmtId="0" fontId="7" fillId="0" borderId="39" xfId="0" applyFont="1" applyBorder="1" applyAlignment="1">
      <alignment vertical="center" shrinkToFit="1"/>
    </xf>
    <xf numFmtId="0" fontId="7" fillId="0" borderId="38" xfId="0" applyFont="1" applyBorder="1" applyAlignment="1">
      <alignment vertical="center" shrinkToFit="1"/>
    </xf>
    <xf numFmtId="0" fontId="7" fillId="0" borderId="37" xfId="0" applyFont="1" applyBorder="1" applyAlignment="1">
      <alignment horizontal="center" vertical="center" shrinkToFit="1"/>
    </xf>
    <xf numFmtId="0" fontId="7" fillId="0" borderId="39" xfId="0" applyFont="1" applyBorder="1" applyAlignment="1">
      <alignment horizontal="center" vertical="center" shrinkToFit="1"/>
    </xf>
    <xf numFmtId="0" fontId="7" fillId="0" borderId="38" xfId="0" applyFont="1" applyBorder="1" applyAlignment="1">
      <alignment horizontal="center" vertical="center" shrinkToFit="1"/>
    </xf>
    <xf numFmtId="0" fontId="8" fillId="0" borderId="8" xfId="0" applyFont="1" applyBorder="1" applyAlignment="1">
      <alignment horizontal="left" vertical="center" wrapText="1" shrinkToFit="1"/>
    </xf>
    <xf numFmtId="0" fontId="8" fillId="0" borderId="9" xfId="0" applyFont="1" applyBorder="1" applyAlignment="1">
      <alignment horizontal="left" vertical="center" wrapText="1" shrinkToFit="1"/>
    </xf>
    <xf numFmtId="0" fontId="7" fillId="0" borderId="19" xfId="0" applyFont="1" applyBorder="1" applyAlignment="1">
      <alignment vertical="center" shrinkToFit="1"/>
    </xf>
    <xf numFmtId="0" fontId="7" fillId="0" borderId="20" xfId="0" applyFont="1" applyBorder="1" applyAlignment="1">
      <alignment vertical="center" shrinkToFit="1"/>
    </xf>
    <xf numFmtId="0" fontId="7" fillId="0" borderId="18" xfId="0" applyFont="1" applyBorder="1" applyAlignment="1">
      <alignment vertical="center" shrinkToFit="1"/>
    </xf>
    <xf numFmtId="0" fontId="7" fillId="0" borderId="19" xfId="0" applyFont="1" applyBorder="1" applyAlignment="1">
      <alignment horizontal="center" vertical="center" shrinkToFit="1"/>
    </xf>
    <xf numFmtId="0" fontId="7" fillId="0" borderId="20" xfId="0" applyFont="1" applyBorder="1" applyAlignment="1">
      <alignment horizontal="center" vertical="center" shrinkToFit="1"/>
    </xf>
    <xf numFmtId="0" fontId="7" fillId="0" borderId="18" xfId="0" applyFont="1" applyBorder="1" applyAlignment="1">
      <alignment horizontal="center" vertical="center" shrinkToFit="1"/>
    </xf>
    <xf numFmtId="0" fontId="19" fillId="0" borderId="48" xfId="0" applyFont="1" applyBorder="1" applyAlignment="1">
      <alignment vertical="center" wrapText="1"/>
    </xf>
    <xf numFmtId="0" fontId="19" fillId="0" borderId="49" xfId="0" applyFont="1" applyBorder="1" applyAlignment="1">
      <alignment vertical="center" wrapText="1"/>
    </xf>
    <xf numFmtId="0" fontId="18" fillId="0" borderId="48" xfId="0" applyFont="1" applyBorder="1" applyAlignment="1">
      <alignment vertical="center" wrapText="1"/>
    </xf>
    <xf numFmtId="0" fontId="18" fillId="0" borderId="32" xfId="0" applyFont="1" applyBorder="1" applyAlignment="1">
      <alignment vertical="center" wrapText="1"/>
    </xf>
    <xf numFmtId="0" fontId="18" fillId="0" borderId="2" xfId="0" applyFont="1" applyBorder="1" applyAlignment="1">
      <alignment horizontal="left" vertical="center" wrapText="1" shrinkToFit="1"/>
    </xf>
    <xf numFmtId="0" fontId="18" fillId="0" borderId="3" xfId="0" applyFont="1" applyBorder="1" applyAlignment="1">
      <alignment horizontal="left" vertical="center" wrapText="1" shrinkToFit="1"/>
    </xf>
    <xf numFmtId="0" fontId="19" fillId="0" borderId="4" xfId="0" applyFont="1" applyBorder="1" applyAlignment="1">
      <alignment horizontal="left" vertical="center" wrapText="1" shrinkToFit="1"/>
    </xf>
    <xf numFmtId="0" fontId="19" fillId="0" borderId="32" xfId="0" applyFont="1" applyBorder="1" applyAlignment="1">
      <alignment vertical="center" wrapText="1"/>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7" fillId="0" borderId="37" xfId="0" applyFont="1" applyBorder="1" applyAlignment="1">
      <alignment horizontal="center" vertical="center"/>
    </xf>
    <xf numFmtId="0" fontId="7" fillId="0" borderId="39" xfId="0" applyFont="1" applyBorder="1" applyAlignment="1">
      <alignment horizontal="center" vertical="center"/>
    </xf>
    <xf numFmtId="0" fontId="7" fillId="0" borderId="38" xfId="0" applyFont="1" applyBorder="1" applyAlignment="1">
      <alignment horizontal="center" vertical="center"/>
    </xf>
    <xf numFmtId="0" fontId="7" fillId="0" borderId="19" xfId="0" applyFont="1" applyBorder="1" applyAlignment="1">
      <alignment horizontal="center" vertical="center"/>
    </xf>
    <xf numFmtId="0" fontId="7" fillId="0" borderId="20" xfId="0" applyFont="1" applyBorder="1" applyAlignment="1">
      <alignment horizontal="center" vertical="center"/>
    </xf>
    <xf numFmtId="0" fontId="7" fillId="0" borderId="18" xfId="0" applyFont="1" applyBorder="1" applyAlignment="1">
      <alignment horizontal="center" vertical="center"/>
    </xf>
    <xf numFmtId="0" fontId="7" fillId="0" borderId="37" xfId="0" applyFont="1" applyBorder="1" applyAlignment="1">
      <alignment horizontal="left" vertical="center" shrinkToFit="1"/>
    </xf>
    <xf numFmtId="0" fontId="7" fillId="0" borderId="39" xfId="0" applyFont="1" applyBorder="1" applyAlignment="1">
      <alignment horizontal="left" vertical="center" shrinkToFit="1"/>
    </xf>
    <xf numFmtId="0" fontId="7" fillId="0" borderId="38" xfId="0" applyFont="1" applyBorder="1" applyAlignment="1">
      <alignment horizontal="left" vertical="center" shrinkToFit="1"/>
    </xf>
    <xf numFmtId="0" fontId="7" fillId="0" borderId="19" xfId="0" applyFont="1" applyBorder="1" applyAlignment="1">
      <alignment horizontal="left" vertical="center" shrinkToFit="1"/>
    </xf>
    <xf numFmtId="0" fontId="7" fillId="0" borderId="20" xfId="0" applyFont="1" applyBorder="1" applyAlignment="1">
      <alignment horizontal="left" vertical="center" shrinkToFit="1"/>
    </xf>
    <xf numFmtId="0" fontId="7" fillId="0" borderId="18" xfId="0" applyFont="1" applyBorder="1" applyAlignment="1">
      <alignment horizontal="left" vertical="center" shrinkToFit="1"/>
    </xf>
    <xf numFmtId="0" fontId="7" fillId="0" borderId="40" xfId="0" applyFont="1" applyBorder="1" applyAlignment="1">
      <alignment horizontal="center" vertical="center"/>
    </xf>
    <xf numFmtId="0" fontId="7" fillId="0" borderId="41" xfId="0" applyFont="1" applyBorder="1" applyAlignment="1">
      <alignment horizontal="center" vertical="center"/>
    </xf>
    <xf numFmtId="0" fontId="7" fillId="0" borderId="42" xfId="0" applyFont="1" applyBorder="1" applyAlignment="1">
      <alignment horizontal="center" vertical="center"/>
    </xf>
    <xf numFmtId="0" fontId="7" fillId="0" borderId="0" xfId="0" applyFont="1" applyAlignment="1">
      <alignment vertical="center" wrapText="1"/>
    </xf>
    <xf numFmtId="0" fontId="7" fillId="0" borderId="40" xfId="0" applyFont="1" applyBorder="1" applyAlignment="1">
      <alignment horizontal="left" vertical="center" shrinkToFit="1"/>
    </xf>
    <xf numFmtId="0" fontId="7" fillId="0" borderId="41" xfId="0" applyFont="1" applyBorder="1" applyAlignment="1">
      <alignment horizontal="left" vertical="center" shrinkToFit="1"/>
    </xf>
    <xf numFmtId="0" fontId="7" fillId="0" borderId="42" xfId="0" applyFont="1" applyBorder="1" applyAlignment="1">
      <alignment horizontal="left" vertical="center" shrinkToFit="1"/>
    </xf>
    <xf numFmtId="0" fontId="16" fillId="0" borderId="0" xfId="0" applyFont="1" applyAlignment="1">
      <alignment horizontal="center" vertical="center"/>
    </xf>
    <xf numFmtId="0" fontId="3" fillId="0" borderId="7" xfId="0" applyFont="1" applyBorder="1" applyAlignment="1">
      <alignment horizontal="left" vertical="top" wrapText="1" shrinkToFit="1"/>
    </xf>
    <xf numFmtId="0" fontId="3" fillId="0" borderId="8" xfId="0" applyFont="1" applyBorder="1" applyAlignment="1">
      <alignment horizontal="left" vertical="top" shrinkToFit="1"/>
    </xf>
    <xf numFmtId="0" fontId="3" fillId="0" borderId="9" xfId="0" applyFont="1" applyBorder="1" applyAlignment="1">
      <alignment horizontal="left" vertical="top" shrinkToFit="1"/>
    </xf>
    <xf numFmtId="0" fontId="3" fillId="0" borderId="5" xfId="0" applyFont="1" applyBorder="1" applyAlignment="1">
      <alignment horizontal="left" vertical="top" shrinkToFit="1"/>
    </xf>
    <xf numFmtId="0" fontId="3" fillId="0" borderId="0" xfId="0" applyFont="1" applyBorder="1" applyAlignment="1">
      <alignment horizontal="left" vertical="top" shrinkToFit="1"/>
    </xf>
    <xf numFmtId="0" fontId="3" fillId="0" borderId="10" xfId="0" applyFont="1" applyBorder="1" applyAlignment="1">
      <alignment horizontal="left" vertical="top" shrinkToFit="1"/>
    </xf>
    <xf numFmtId="0" fontId="3" fillId="0" borderId="0" xfId="0" applyFont="1" applyAlignment="1">
      <alignment horizontal="left" vertical="top" shrinkToFit="1"/>
    </xf>
    <xf numFmtId="0" fontId="3" fillId="0" borderId="11" xfId="0" applyFont="1" applyBorder="1" applyAlignment="1">
      <alignment horizontal="left" vertical="top" shrinkToFit="1"/>
    </xf>
    <xf numFmtId="0" fontId="3" fillId="0" borderId="6" xfId="0" applyFont="1" applyBorder="1" applyAlignment="1">
      <alignment horizontal="left" vertical="top" shrinkToFit="1"/>
    </xf>
    <xf numFmtId="0" fontId="3" fillId="0" borderId="12" xfId="0" applyFont="1" applyBorder="1" applyAlignment="1">
      <alignment horizontal="left" vertical="top" shrinkToFit="1"/>
    </xf>
    <xf numFmtId="0" fontId="8" fillId="0" borderId="2" xfId="0" applyFont="1" applyBorder="1" applyAlignment="1">
      <alignment horizontal="left" vertical="center" wrapText="1" shrinkToFit="1"/>
    </xf>
    <xf numFmtId="0" fontId="8" fillId="0" borderId="3" xfId="0" applyFont="1" applyBorder="1" applyAlignment="1">
      <alignment horizontal="left" vertical="center" wrapText="1" shrinkToFit="1"/>
    </xf>
    <xf numFmtId="0" fontId="8" fillId="0" borderId="4" xfId="0" applyFont="1" applyBorder="1" applyAlignment="1">
      <alignment horizontal="left" vertical="center" wrapText="1" shrinkToFit="1"/>
    </xf>
    <xf numFmtId="0" fontId="7" fillId="0" borderId="40" xfId="0" applyFont="1" applyBorder="1" applyAlignment="1">
      <alignment vertical="center" shrinkToFit="1"/>
    </xf>
    <xf numFmtId="0" fontId="7" fillId="0" borderId="41" xfId="0" applyFont="1" applyBorder="1" applyAlignment="1">
      <alignment vertical="center" shrinkToFit="1"/>
    </xf>
    <xf numFmtId="0" fontId="7" fillId="0" borderId="42" xfId="0" applyFont="1" applyBorder="1" applyAlignment="1">
      <alignment vertical="center" shrinkToFit="1"/>
    </xf>
    <xf numFmtId="0" fontId="7" fillId="0" borderId="40" xfId="0" applyFont="1" applyBorder="1" applyAlignment="1">
      <alignment horizontal="center" vertical="center" shrinkToFit="1"/>
    </xf>
    <xf numFmtId="0" fontId="7" fillId="0" borderId="41" xfId="0" applyFont="1" applyBorder="1" applyAlignment="1">
      <alignment horizontal="center" vertical="center" shrinkToFit="1"/>
    </xf>
    <xf numFmtId="0" fontId="7" fillId="0" borderId="42" xfId="0" applyFont="1" applyBorder="1" applyAlignment="1">
      <alignment horizontal="center" vertical="center" shrinkToFit="1"/>
    </xf>
    <xf numFmtId="0" fontId="7" fillId="0" borderId="7" xfId="0" applyFont="1" applyBorder="1" applyAlignment="1">
      <alignment horizontal="center" vertical="center"/>
    </xf>
    <xf numFmtId="0" fontId="7" fillId="0" borderId="8" xfId="0" applyFont="1" applyBorder="1" applyAlignment="1">
      <alignment horizontal="center" vertical="center"/>
    </xf>
    <xf numFmtId="0" fontId="7" fillId="0" borderId="9" xfId="0" applyFont="1" applyBorder="1" applyAlignment="1">
      <alignment horizontal="center" vertical="center"/>
    </xf>
    <xf numFmtId="0" fontId="8" fillId="0" borderId="7" xfId="0" applyFont="1" applyBorder="1" applyAlignment="1">
      <alignment vertical="center" wrapText="1" shrinkToFit="1"/>
    </xf>
    <xf numFmtId="0" fontId="8" fillId="0" borderId="8" xfId="0" applyFont="1" applyBorder="1" applyAlignment="1">
      <alignment vertical="center" shrinkToFit="1"/>
    </xf>
    <xf numFmtId="0" fontId="8" fillId="0" borderId="9" xfId="0" applyFont="1" applyBorder="1" applyAlignment="1">
      <alignment vertical="center" shrinkToFit="1"/>
    </xf>
    <xf numFmtId="0" fontId="8" fillId="0" borderId="5" xfId="0" applyFont="1" applyBorder="1" applyAlignment="1">
      <alignment vertical="center" shrinkToFit="1"/>
    </xf>
    <xf numFmtId="0" fontId="8" fillId="0" borderId="0" xfId="0" applyFont="1" applyBorder="1" applyAlignment="1">
      <alignment vertical="center" shrinkToFit="1"/>
    </xf>
    <xf numFmtId="0" fontId="8" fillId="0" borderId="10" xfId="0" applyFont="1" applyBorder="1" applyAlignment="1">
      <alignment vertical="center" shrinkToFit="1"/>
    </xf>
    <xf numFmtId="0" fontId="8" fillId="0" borderId="11" xfId="0" applyFont="1" applyBorder="1" applyAlignment="1">
      <alignment vertical="center" shrinkToFit="1"/>
    </xf>
    <xf numFmtId="0" fontId="8" fillId="0" borderId="6" xfId="0" applyFont="1" applyBorder="1" applyAlignment="1">
      <alignment vertical="center" shrinkToFit="1"/>
    </xf>
    <xf numFmtId="0" fontId="8" fillId="0" borderId="12" xfId="0" applyFont="1" applyBorder="1" applyAlignment="1">
      <alignment vertical="center" shrinkToFit="1"/>
    </xf>
    <xf numFmtId="0" fontId="8" fillId="0" borderId="2" xfId="0" applyFont="1" applyFill="1" applyBorder="1" applyAlignment="1">
      <alignment vertical="center" shrinkToFit="1"/>
    </xf>
    <xf numFmtId="0" fontId="8" fillId="0" borderId="3" xfId="0" applyFont="1" applyFill="1" applyBorder="1" applyAlignment="1">
      <alignment vertical="center" shrinkToFit="1"/>
    </xf>
    <xf numFmtId="0" fontId="8" fillId="0" borderId="4" xfId="0" applyFont="1" applyFill="1" applyBorder="1" applyAlignment="1">
      <alignment vertical="center" shrinkToFit="1"/>
    </xf>
    <xf numFmtId="0" fontId="8" fillId="0" borderId="0" xfId="0" applyFont="1" applyAlignment="1">
      <alignment horizontal="right" vertical="center"/>
    </xf>
    <xf numFmtId="0" fontId="12" fillId="0" borderId="0" xfId="0" applyFont="1" applyAlignment="1">
      <alignment horizontal="center" vertical="center"/>
    </xf>
    <xf numFmtId="0" fontId="3" fillId="0" borderId="6" xfId="0" applyFont="1" applyBorder="1" applyAlignment="1">
      <alignment vertical="top" wrapText="1" shrinkToFit="1"/>
    </xf>
    <xf numFmtId="0" fontId="3" fillId="0" borderId="12" xfId="0" applyFont="1" applyBorder="1" applyAlignment="1">
      <alignment vertical="top" wrapText="1" shrinkToFit="1"/>
    </xf>
    <xf numFmtId="0" fontId="3" fillId="0" borderId="17" xfId="0" applyFont="1" applyBorder="1">
      <alignment vertical="center"/>
    </xf>
    <xf numFmtId="0" fontId="10" fillId="0" borderId="18" xfId="0" applyFont="1" applyBorder="1">
      <alignment vertical="center"/>
    </xf>
    <xf numFmtId="0" fontId="3" fillId="0" borderId="19" xfId="0" applyFont="1" applyBorder="1" applyAlignment="1">
      <alignment vertical="top" wrapText="1" shrinkToFit="1"/>
    </xf>
    <xf numFmtId="0" fontId="3" fillId="0" borderId="20" xfId="0" applyFont="1" applyBorder="1" applyAlignment="1">
      <alignment vertical="top" wrapText="1" shrinkToFit="1"/>
    </xf>
    <xf numFmtId="0" fontId="3" fillId="0" borderId="18" xfId="0" applyFont="1" applyBorder="1" applyAlignment="1">
      <alignment vertical="top" wrapText="1" shrinkToFit="1"/>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17" xfId="0" applyFont="1" applyBorder="1" applyAlignment="1">
      <alignment vertical="center" wrapText="1"/>
    </xf>
    <xf numFmtId="0" fontId="3" fillId="0" borderId="18" xfId="0" applyFont="1" applyBorder="1" applyAlignment="1">
      <alignment vertical="center" wrapText="1"/>
    </xf>
    <xf numFmtId="0" fontId="3" fillId="0" borderId="11" xfId="0" applyFont="1" applyBorder="1" applyAlignment="1">
      <alignment vertical="center" wrapText="1"/>
    </xf>
    <xf numFmtId="0" fontId="3" fillId="0" borderId="6" xfId="0" applyFont="1" applyBorder="1" applyAlignment="1">
      <alignment vertical="center" wrapText="1"/>
    </xf>
    <xf numFmtId="0" fontId="3" fillId="0" borderId="12" xfId="0" applyFont="1" applyBorder="1" applyAlignment="1">
      <alignment vertical="center" wrapText="1"/>
    </xf>
    <xf numFmtId="0" fontId="21" fillId="0" borderId="2" xfId="2" applyFont="1" applyBorder="1" applyAlignment="1">
      <alignment horizontal="center" vertical="center" shrinkToFit="1"/>
    </xf>
    <xf numFmtId="0" fontId="21" fillId="0" borderId="3" xfId="2" applyFont="1" applyBorder="1" applyAlignment="1">
      <alignment horizontal="center" vertical="center" shrinkToFit="1"/>
    </xf>
    <xf numFmtId="0" fontId="21" fillId="0" borderId="4" xfId="2" applyFont="1" applyBorder="1" applyAlignment="1">
      <alignment horizontal="center" vertical="center" shrinkToFit="1"/>
    </xf>
    <xf numFmtId="0" fontId="3" fillId="0" borderId="19" xfId="0" applyFont="1" applyBorder="1" applyAlignment="1">
      <alignment vertical="center" wrapText="1"/>
    </xf>
    <xf numFmtId="0" fontId="3" fillId="0" borderId="20" xfId="0" applyFont="1" applyBorder="1" applyAlignment="1">
      <alignment vertical="center" wrapText="1"/>
    </xf>
    <xf numFmtId="0" fontId="2" fillId="0" borderId="0" xfId="0" applyFont="1" applyFill="1">
      <alignment vertical="center"/>
    </xf>
    <xf numFmtId="0" fontId="2" fillId="0" borderId="0" xfId="0" applyFont="1" applyFill="1" applyAlignment="1">
      <alignment horizontal="right" vertical="center"/>
    </xf>
    <xf numFmtId="0" fontId="12" fillId="0" borderId="0" xfId="0" applyFont="1" applyFill="1" applyAlignment="1">
      <alignment horizontal="center" vertical="center"/>
    </xf>
    <xf numFmtId="0" fontId="3" fillId="0" borderId="0" xfId="0" applyFont="1" applyFill="1">
      <alignment vertical="center"/>
    </xf>
    <xf numFmtId="0" fontId="3" fillId="0" borderId="0" xfId="0" applyFont="1" applyFill="1" applyAlignment="1">
      <alignment horizontal="center" vertical="center"/>
    </xf>
    <xf numFmtId="0" fontId="3" fillId="0" borderId="2" xfId="0" applyNumberFormat="1" applyFont="1" applyFill="1" applyBorder="1" applyAlignment="1">
      <alignment horizontal="center" vertical="center" shrinkToFit="1"/>
    </xf>
    <xf numFmtId="0" fontId="3" fillId="0" borderId="4" xfId="0" applyNumberFormat="1" applyFont="1" applyFill="1" applyBorder="1" applyAlignment="1">
      <alignment horizontal="center" vertical="center" shrinkToFit="1"/>
    </xf>
    <xf numFmtId="0" fontId="3" fillId="0" borderId="0" xfId="0" applyFont="1" applyFill="1" applyAlignment="1">
      <alignment horizontal="left" vertical="center"/>
    </xf>
    <xf numFmtId="0" fontId="3" fillId="0" borderId="0" xfId="0" applyFont="1" applyFill="1" applyBorder="1" applyAlignment="1">
      <alignment vertical="center" shrinkToFit="1"/>
    </xf>
    <xf numFmtId="0" fontId="3" fillId="0" borderId="15" xfId="0" applyFont="1" applyFill="1" applyBorder="1" applyAlignment="1">
      <alignment horizontal="center" vertical="center"/>
    </xf>
    <xf numFmtId="0" fontId="13" fillId="0" borderId="8" xfId="0" applyFont="1" applyFill="1" applyBorder="1" applyAlignment="1">
      <alignment horizontal="center" vertical="center" wrapText="1"/>
    </xf>
    <xf numFmtId="0" fontId="13" fillId="0" borderId="7" xfId="0" applyFont="1" applyFill="1" applyBorder="1" applyAlignment="1">
      <alignment horizontal="center" vertical="center" wrapText="1"/>
    </xf>
    <xf numFmtId="0" fontId="3" fillId="0" borderId="14" xfId="0" applyFont="1" applyFill="1" applyBorder="1" applyAlignment="1">
      <alignment horizontal="center" vertical="center"/>
    </xf>
    <xf numFmtId="0" fontId="3" fillId="0" borderId="37" xfId="0" applyFont="1" applyFill="1" applyBorder="1" applyAlignment="1">
      <alignment horizontal="center" vertical="center"/>
    </xf>
    <xf numFmtId="0" fontId="3" fillId="0" borderId="38" xfId="0" applyFont="1" applyFill="1" applyBorder="1" applyAlignment="1">
      <alignment horizontal="center" vertical="center"/>
    </xf>
    <xf numFmtId="0" fontId="14" fillId="0" borderId="15" xfId="0" applyFont="1" applyFill="1" applyBorder="1" applyAlignment="1">
      <alignment horizontal="center" vertical="center" wrapText="1"/>
    </xf>
    <xf numFmtId="0" fontId="13" fillId="0" borderId="9" xfId="0" applyFont="1" applyFill="1" applyBorder="1" applyAlignment="1">
      <alignment horizontal="center" vertical="center"/>
    </xf>
    <xf numFmtId="0" fontId="10" fillId="0" borderId="0" xfId="0" applyFont="1" applyFill="1">
      <alignment vertical="center"/>
    </xf>
    <xf numFmtId="0" fontId="3" fillId="0" borderId="13" xfId="0" applyFont="1" applyFill="1" applyBorder="1" applyAlignment="1">
      <alignment horizontal="center" vertical="center"/>
    </xf>
    <xf numFmtId="0" fontId="13" fillId="0" borderId="6" xfId="0" applyFont="1" applyFill="1" applyBorder="1" applyAlignment="1">
      <alignment horizontal="center" vertical="center"/>
    </xf>
    <xf numFmtId="0" fontId="13" fillId="0" borderId="11" xfId="0" applyFont="1" applyFill="1" applyBorder="1" applyAlignment="1">
      <alignment horizontal="center" vertical="center"/>
    </xf>
    <xf numFmtId="0" fontId="14" fillId="0" borderId="11" xfId="0" applyFont="1" applyFill="1" applyBorder="1" applyAlignment="1">
      <alignment horizontal="center" vertical="center"/>
    </xf>
    <xf numFmtId="0" fontId="14" fillId="0" borderId="29" xfId="0" applyFont="1" applyFill="1" applyBorder="1" applyAlignment="1">
      <alignment horizontal="center" vertical="center" wrapText="1"/>
    </xf>
    <xf numFmtId="0" fontId="14" fillId="0" borderId="30" xfId="0" applyFont="1" applyFill="1" applyBorder="1" applyAlignment="1">
      <alignment horizontal="center" vertical="center"/>
    </xf>
    <xf numFmtId="0" fontId="14" fillId="0" borderId="12" xfId="0" applyFont="1" applyFill="1" applyBorder="1" applyAlignment="1">
      <alignment horizontal="center" vertical="center" wrapText="1"/>
    </xf>
    <xf numFmtId="0" fontId="14" fillId="0" borderId="13" xfId="0" applyFont="1" applyFill="1" applyBorder="1" applyAlignment="1">
      <alignment horizontal="center" vertical="center"/>
    </xf>
    <xf numFmtId="0" fontId="13" fillId="0" borderId="12" xfId="0" applyFont="1" applyFill="1" applyBorder="1" applyAlignment="1">
      <alignment horizontal="center" vertical="center"/>
    </xf>
    <xf numFmtId="0" fontId="3" fillId="0" borderId="0" xfId="0" applyFont="1" applyFill="1" applyAlignment="1">
      <alignment vertical="center" shrinkToFit="1"/>
    </xf>
    <xf numFmtId="0" fontId="3" fillId="0" borderId="23" xfId="0" applyFont="1" applyFill="1" applyBorder="1" applyAlignment="1">
      <alignment horizontal="left" vertical="center" shrinkToFit="1"/>
    </xf>
    <xf numFmtId="0" fontId="3" fillId="0" borderId="20" xfId="0" applyFont="1" applyFill="1" applyBorder="1" applyAlignment="1">
      <alignment vertical="center" shrinkToFit="1"/>
    </xf>
    <xf numFmtId="0" fontId="3" fillId="0" borderId="19" xfId="0" applyFont="1" applyFill="1" applyBorder="1" applyAlignment="1">
      <alignment vertical="center" shrinkToFit="1"/>
    </xf>
    <xf numFmtId="176" fontId="3" fillId="0" borderId="19" xfId="0" applyNumberFormat="1" applyFont="1" applyFill="1" applyBorder="1" applyAlignment="1">
      <alignment vertical="center" shrinkToFit="1"/>
    </xf>
    <xf numFmtId="176" fontId="3" fillId="0" borderId="33" xfId="0" applyNumberFormat="1" applyFont="1" applyFill="1" applyBorder="1" applyAlignment="1">
      <alignment vertical="center" shrinkToFit="1"/>
    </xf>
    <xf numFmtId="176" fontId="3" fillId="0" borderId="34" xfId="0" applyNumberFormat="1" applyFont="1" applyFill="1" applyBorder="1" applyAlignment="1">
      <alignment vertical="center" shrinkToFit="1"/>
    </xf>
    <xf numFmtId="176" fontId="3" fillId="0" borderId="18" xfId="0" applyNumberFormat="1" applyFont="1" applyFill="1" applyBorder="1" applyAlignment="1">
      <alignment vertical="center" shrinkToFit="1"/>
    </xf>
    <xf numFmtId="176" fontId="3" fillId="0" borderId="14" xfId="0" applyNumberFormat="1" applyFont="1" applyFill="1" applyBorder="1" applyAlignment="1">
      <alignment vertical="center" shrinkToFit="1"/>
    </xf>
    <xf numFmtId="9" fontId="3" fillId="0" borderId="10" xfId="0" applyNumberFormat="1" applyFont="1" applyFill="1" applyBorder="1" applyAlignment="1">
      <alignment vertical="center" shrinkToFit="1"/>
    </xf>
    <xf numFmtId="176" fontId="3" fillId="0" borderId="23" xfId="0" applyNumberFormat="1" applyFont="1" applyFill="1" applyBorder="1" applyAlignment="1">
      <alignment vertical="center" shrinkToFit="1"/>
    </xf>
    <xf numFmtId="9" fontId="3" fillId="0" borderId="23" xfId="0" applyNumberFormat="1" applyFont="1" applyFill="1" applyBorder="1" applyAlignment="1">
      <alignment vertical="center" shrinkToFit="1"/>
    </xf>
    <xf numFmtId="0" fontId="3" fillId="0" borderId="18" xfId="0" applyFont="1" applyFill="1" applyBorder="1" applyAlignment="1">
      <alignment vertical="center" shrinkToFit="1"/>
    </xf>
    <xf numFmtId="0" fontId="3" fillId="0" borderId="24" xfId="0" applyFont="1" applyFill="1" applyBorder="1" applyAlignment="1">
      <alignment horizontal="left" vertical="center" shrinkToFit="1"/>
    </xf>
    <xf numFmtId="0" fontId="3" fillId="0" borderId="10" xfId="0" applyFont="1" applyFill="1" applyBorder="1" applyAlignment="1">
      <alignment vertical="center" shrinkToFit="1"/>
    </xf>
    <xf numFmtId="0" fontId="3" fillId="0" borderId="5" xfId="0" applyFont="1" applyFill="1" applyBorder="1" applyAlignment="1">
      <alignment vertical="center" shrinkToFit="1"/>
    </xf>
    <xf numFmtId="176" fontId="3" fillId="0" borderId="5" xfId="0" applyNumberFormat="1" applyFont="1" applyFill="1" applyBorder="1" applyAlignment="1">
      <alignment vertical="center" shrinkToFit="1"/>
    </xf>
    <xf numFmtId="176" fontId="3" fillId="0" borderId="31" xfId="0" applyNumberFormat="1" applyFont="1" applyFill="1" applyBorder="1" applyAlignment="1">
      <alignment vertical="center" shrinkToFit="1"/>
    </xf>
    <xf numFmtId="176" fontId="3" fillId="0" borderId="32" xfId="0" applyNumberFormat="1" applyFont="1" applyFill="1" applyBorder="1" applyAlignment="1">
      <alignment vertical="center" shrinkToFit="1"/>
    </xf>
    <xf numFmtId="176" fontId="3" fillId="0" borderId="10" xfId="0" applyNumberFormat="1" applyFont="1" applyFill="1" applyBorder="1" applyAlignment="1">
      <alignment vertical="center" shrinkToFit="1"/>
    </xf>
    <xf numFmtId="176" fontId="3" fillId="0" borderId="24" xfId="0" applyNumberFormat="1" applyFont="1" applyFill="1" applyBorder="1" applyAlignment="1">
      <alignment vertical="center" shrinkToFit="1"/>
    </xf>
    <xf numFmtId="0" fontId="3" fillId="0" borderId="28" xfId="0" applyFont="1" applyFill="1" applyBorder="1" applyAlignment="1">
      <alignment horizontal="center" vertical="center" shrinkToFit="1"/>
    </xf>
    <xf numFmtId="0" fontId="3" fillId="0" borderId="26" xfId="0" applyFont="1" applyFill="1" applyBorder="1" applyAlignment="1">
      <alignment vertical="center" shrinkToFit="1"/>
    </xf>
    <xf numFmtId="0" fontId="3" fillId="0" borderId="25" xfId="0" applyFont="1" applyFill="1" applyBorder="1" applyAlignment="1">
      <alignment vertical="center" shrinkToFit="1"/>
    </xf>
    <xf numFmtId="176" fontId="3" fillId="0" borderId="25" xfId="0" applyNumberFormat="1" applyFont="1" applyFill="1" applyBorder="1" applyAlignment="1">
      <alignment vertical="center" shrinkToFit="1"/>
    </xf>
    <xf numFmtId="176" fontId="3" fillId="0" borderId="35" xfId="0" applyNumberFormat="1" applyFont="1" applyFill="1" applyBorder="1" applyAlignment="1">
      <alignment vertical="center" shrinkToFit="1"/>
    </xf>
    <xf numFmtId="176" fontId="3" fillId="0" borderId="36" xfId="0" applyNumberFormat="1" applyFont="1" applyFill="1" applyBorder="1" applyAlignment="1">
      <alignment vertical="center" shrinkToFit="1"/>
    </xf>
    <xf numFmtId="176" fontId="3" fillId="0" borderId="27" xfId="0" applyNumberFormat="1" applyFont="1" applyFill="1" applyBorder="1" applyAlignment="1">
      <alignment vertical="center" shrinkToFit="1"/>
    </xf>
    <xf numFmtId="176" fontId="3" fillId="0" borderId="28" xfId="0" applyNumberFormat="1" applyFont="1" applyFill="1" applyBorder="1" applyAlignment="1">
      <alignment vertical="center" shrinkToFit="1"/>
    </xf>
    <xf numFmtId="9" fontId="3" fillId="0" borderId="27" xfId="0" applyNumberFormat="1" applyFont="1" applyFill="1" applyBorder="1" applyAlignment="1">
      <alignment vertical="center" shrinkToFit="1"/>
    </xf>
    <xf numFmtId="0" fontId="4" fillId="0" borderId="0" xfId="0" applyFont="1" applyFill="1">
      <alignment vertical="center"/>
    </xf>
    <xf numFmtId="0" fontId="3" fillId="0" borderId="0" xfId="0" applyFont="1" applyFill="1" applyAlignment="1">
      <alignment horizontal="right" vertical="center"/>
    </xf>
    <xf numFmtId="0" fontId="3" fillId="0" borderId="2" xfId="0" applyFont="1" applyFill="1" applyBorder="1" applyAlignment="1">
      <alignment vertical="center" shrinkToFit="1"/>
    </xf>
    <xf numFmtId="0" fontId="3" fillId="0" borderId="3" xfId="0" applyFont="1" applyFill="1" applyBorder="1" applyAlignment="1">
      <alignment vertical="center" shrinkToFit="1"/>
    </xf>
    <xf numFmtId="0" fontId="3" fillId="0" borderId="4" xfId="0" applyFont="1" applyFill="1" applyBorder="1" applyAlignment="1">
      <alignment vertical="center" shrinkToFit="1"/>
    </xf>
    <xf numFmtId="0" fontId="3" fillId="0" borderId="0" xfId="0" applyFont="1" applyFill="1" applyAlignment="1">
      <alignment vertical="center"/>
    </xf>
    <xf numFmtId="0" fontId="3" fillId="0" borderId="0" xfId="0" applyFont="1" applyFill="1" applyAlignment="1">
      <alignment vertical="top" wrapText="1"/>
    </xf>
    <xf numFmtId="0" fontId="3" fillId="0" borderId="7" xfId="0" applyFont="1" applyFill="1" applyBorder="1" applyAlignment="1">
      <alignment vertical="top" wrapText="1" shrinkToFit="1"/>
    </xf>
    <xf numFmtId="0" fontId="3" fillId="0" borderId="8" xfId="0" applyFont="1" applyFill="1" applyBorder="1" applyAlignment="1">
      <alignment vertical="top" wrapText="1" shrinkToFit="1"/>
    </xf>
    <xf numFmtId="0" fontId="3" fillId="0" borderId="8" xfId="0" applyFont="1" applyFill="1" applyBorder="1" applyAlignment="1">
      <alignment vertical="top" shrinkToFit="1"/>
    </xf>
    <xf numFmtId="0" fontId="3" fillId="0" borderId="9" xfId="0" applyFont="1" applyFill="1" applyBorder="1" applyAlignment="1">
      <alignment vertical="top" shrinkToFit="1"/>
    </xf>
    <xf numFmtId="0" fontId="3" fillId="0" borderId="5" xfId="0" applyFont="1" applyFill="1" applyBorder="1" applyAlignment="1">
      <alignment vertical="top" shrinkToFit="1"/>
    </xf>
    <xf numFmtId="0" fontId="3" fillId="0" borderId="0" xfId="0" applyFont="1" applyFill="1" applyAlignment="1">
      <alignment vertical="top" shrinkToFit="1"/>
    </xf>
    <xf numFmtId="0" fontId="3" fillId="0" borderId="10" xfId="0" applyFont="1" applyFill="1" applyBorder="1" applyAlignment="1">
      <alignment vertical="top" shrinkToFit="1"/>
    </xf>
    <xf numFmtId="0" fontId="3" fillId="0" borderId="11" xfId="0" applyFont="1" applyFill="1" applyBorder="1" applyAlignment="1">
      <alignment vertical="top" shrinkToFit="1"/>
    </xf>
    <xf numFmtId="0" fontId="3" fillId="0" borderId="6" xfId="0" applyFont="1" applyFill="1" applyBorder="1" applyAlignment="1">
      <alignment vertical="top" shrinkToFit="1"/>
    </xf>
    <xf numFmtId="0" fontId="3" fillId="0" borderId="12" xfId="0" applyFont="1" applyFill="1" applyBorder="1" applyAlignment="1">
      <alignment vertical="top" shrinkToFit="1"/>
    </xf>
    <xf numFmtId="0" fontId="3" fillId="0" borderId="0" xfId="0" applyFont="1" applyFill="1" applyAlignment="1">
      <alignment vertical="center" wrapText="1"/>
    </xf>
    <xf numFmtId="0" fontId="4" fillId="0" borderId="0" xfId="0" applyFont="1" applyFill="1" applyAlignment="1">
      <alignment vertical="top" wrapText="1"/>
    </xf>
    <xf numFmtId="0" fontId="3" fillId="0" borderId="7" xfId="0" applyFont="1" applyFill="1" applyBorder="1" applyAlignment="1">
      <alignment horizontal="center" vertical="center" wrapText="1" shrinkToFit="1"/>
    </xf>
    <xf numFmtId="9" fontId="3" fillId="0" borderId="8" xfId="0" applyNumberFormat="1" applyFont="1" applyFill="1" applyBorder="1" applyAlignment="1">
      <alignment horizontal="center" vertical="center" wrapText="1" shrinkToFit="1"/>
    </xf>
    <xf numFmtId="0" fontId="3" fillId="0" borderId="8" xfId="0" applyFont="1" applyFill="1" applyBorder="1" applyAlignment="1">
      <alignment horizontal="center" vertical="center" wrapText="1" shrinkToFit="1"/>
    </xf>
    <xf numFmtId="9" fontId="3" fillId="0" borderId="8" xfId="0" applyNumberFormat="1" applyFont="1" applyFill="1" applyBorder="1" applyAlignment="1">
      <alignment horizontal="center" vertical="center" shrinkToFit="1"/>
    </xf>
    <xf numFmtId="0" fontId="3" fillId="0" borderId="9" xfId="0" applyFont="1" applyFill="1" applyBorder="1" applyAlignment="1">
      <alignment horizontal="center" vertical="center" shrinkToFit="1"/>
    </xf>
    <xf numFmtId="0" fontId="3" fillId="0" borderId="44" xfId="0" applyFont="1" applyFill="1" applyBorder="1" applyAlignment="1">
      <alignment horizontal="center" vertical="center" shrinkToFit="1"/>
    </xf>
    <xf numFmtId="9" fontId="3" fillId="0" borderId="45" xfId="0" applyNumberFormat="1" applyFont="1" applyFill="1" applyBorder="1" applyAlignment="1">
      <alignment horizontal="center" vertical="center" shrinkToFit="1"/>
    </xf>
    <xf numFmtId="0" fontId="3" fillId="0" borderId="45" xfId="0" applyFont="1" applyFill="1" applyBorder="1" applyAlignment="1">
      <alignment horizontal="center" vertical="center" shrinkToFit="1"/>
    </xf>
    <xf numFmtId="0" fontId="3" fillId="0" borderId="46" xfId="0" applyFont="1" applyFill="1" applyBorder="1" applyAlignment="1">
      <alignment horizontal="center" vertical="center" shrinkToFit="1"/>
    </xf>
    <xf numFmtId="0" fontId="3" fillId="0" borderId="19" xfId="0" applyFont="1" applyFill="1" applyBorder="1" applyAlignment="1">
      <alignment horizontal="center" vertical="center" shrinkToFit="1"/>
    </xf>
    <xf numFmtId="0" fontId="3" fillId="0" borderId="20" xfId="0" applyFont="1" applyFill="1" applyBorder="1" applyAlignment="1">
      <alignment horizontal="center" vertical="center" shrinkToFit="1"/>
    </xf>
    <xf numFmtId="0" fontId="3" fillId="0" borderId="18" xfId="0" applyFont="1" applyFill="1" applyBorder="1" applyAlignment="1">
      <alignment horizontal="center" vertical="center" shrinkToFit="1"/>
    </xf>
    <xf numFmtId="0" fontId="3" fillId="0" borderId="16" xfId="0" applyFont="1" applyFill="1" applyBorder="1" applyAlignment="1">
      <alignment vertical="top" wrapText="1" shrinkToFit="1"/>
    </xf>
    <xf numFmtId="0" fontId="3" fillId="0" borderId="22" xfId="0" applyFont="1" applyFill="1" applyBorder="1" applyAlignment="1">
      <alignment vertical="top" wrapText="1" shrinkToFit="1"/>
    </xf>
    <xf numFmtId="0" fontId="3" fillId="0" borderId="21" xfId="0" applyFont="1" applyFill="1" applyBorder="1" applyAlignment="1">
      <alignment vertical="top" wrapText="1" shrinkToFit="1"/>
    </xf>
    <xf numFmtId="0" fontId="3" fillId="0" borderId="5" xfId="0" applyFont="1" applyFill="1" applyBorder="1" applyAlignment="1">
      <alignment vertical="top" wrapText="1" shrinkToFit="1"/>
    </xf>
    <xf numFmtId="0" fontId="3" fillId="0" borderId="0" xfId="0" applyFont="1" applyFill="1" applyAlignment="1">
      <alignment vertical="top" wrapText="1" shrinkToFit="1"/>
    </xf>
    <xf numFmtId="0" fontId="3" fillId="0" borderId="10" xfId="0" applyFont="1" applyFill="1" applyBorder="1" applyAlignment="1">
      <alignment vertical="top" wrapText="1" shrinkToFit="1"/>
    </xf>
    <xf numFmtId="0" fontId="3" fillId="0" borderId="11" xfId="0" applyFont="1" applyFill="1" applyBorder="1" applyAlignment="1">
      <alignment vertical="top" wrapText="1" shrinkToFit="1"/>
    </xf>
    <xf numFmtId="0" fontId="3" fillId="0" borderId="6" xfId="0" applyFont="1" applyFill="1" applyBorder="1" applyAlignment="1">
      <alignment vertical="top" wrapText="1" shrinkToFit="1"/>
    </xf>
    <xf numFmtId="0" fontId="3" fillId="0" borderId="12" xfId="0" applyFont="1" applyFill="1" applyBorder="1" applyAlignment="1">
      <alignment vertical="top" wrapText="1" shrinkToFit="1"/>
    </xf>
    <xf numFmtId="0" fontId="3" fillId="0" borderId="9" xfId="0" applyFont="1" applyFill="1" applyBorder="1" applyAlignment="1">
      <alignment vertical="top" wrapText="1" shrinkToFit="1"/>
    </xf>
    <xf numFmtId="0" fontId="3" fillId="0" borderId="6" xfId="0" applyFont="1" applyFill="1" applyBorder="1">
      <alignment vertical="center"/>
    </xf>
    <xf numFmtId="0" fontId="4" fillId="0" borderId="0" xfId="0" applyFont="1" applyFill="1" applyAlignment="1">
      <alignment vertical="top" shrinkToFit="1"/>
    </xf>
    <xf numFmtId="0" fontId="4" fillId="0" borderId="0" xfId="0" applyFont="1" applyFill="1" applyAlignment="1">
      <alignment vertical="center" wrapText="1"/>
    </xf>
  </cellXfs>
  <cellStyles count="3">
    <cellStyle name="ハイパーリンク" xfId="2" builtinId="8"/>
    <cellStyle name="桁区切り" xfId="1" builtinId="6"/>
    <cellStyle name="標準" xfId="0" builtinId="0"/>
  </cellStyles>
  <dxfs count="0"/>
  <tableStyles count="0" defaultTableStyle="TableStyleMedium9"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5"/>
  <sheetViews>
    <sheetView tabSelected="1" view="pageBreakPreview" zoomScale="115" zoomScaleNormal="100" zoomScaleSheetLayoutView="115" workbookViewId="0">
      <selection activeCell="P18" sqref="P18"/>
    </sheetView>
  </sheetViews>
  <sheetFormatPr defaultColWidth="9" defaultRowHeight="18.75" customHeight="1" x14ac:dyDescent="0.15"/>
  <cols>
    <col min="1" max="1" width="3.375" style="7" customWidth="1"/>
    <col min="2" max="2" width="11.125" style="7" customWidth="1"/>
    <col min="3" max="8" width="6.625" style="7" customWidth="1"/>
    <col min="9" max="9" width="3.375" style="7" customWidth="1"/>
    <col min="10" max="10" width="10" style="7" customWidth="1"/>
    <col min="11" max="11" width="3.375" style="7" customWidth="1"/>
    <col min="12" max="12" width="7.875" style="7" customWidth="1"/>
    <col min="13" max="13" width="3.375" style="7" customWidth="1"/>
    <col min="14" max="14" width="4.5" style="7" customWidth="1"/>
    <col min="15" max="15" width="9" style="23"/>
    <col min="16" max="16384" width="9" style="6"/>
  </cols>
  <sheetData>
    <row r="1" spans="1:15" ht="24" customHeight="1" x14ac:dyDescent="0.15">
      <c r="M1" s="83" t="s">
        <v>25</v>
      </c>
      <c r="N1" s="83"/>
    </row>
    <row r="2" spans="1:15" ht="24" customHeight="1" x14ac:dyDescent="0.15">
      <c r="A2" s="87" t="s">
        <v>83</v>
      </c>
      <c r="B2" s="87"/>
      <c r="C2" s="87"/>
      <c r="D2" s="87"/>
      <c r="E2" s="87"/>
      <c r="F2" s="87"/>
      <c r="G2" s="87"/>
      <c r="H2" s="87"/>
      <c r="I2" s="87"/>
      <c r="J2" s="87"/>
      <c r="K2" s="87"/>
      <c r="L2" s="87"/>
      <c r="M2" s="87"/>
      <c r="N2" s="87"/>
    </row>
    <row r="3" spans="1:15" ht="24" customHeight="1" x14ac:dyDescent="0.15"/>
    <row r="4" spans="1:15" ht="24" customHeight="1" x14ac:dyDescent="0.15">
      <c r="A4" s="7" t="s">
        <v>6</v>
      </c>
      <c r="B4" s="8" t="s">
        <v>16</v>
      </c>
      <c r="C4" s="73" t="s">
        <v>142</v>
      </c>
      <c r="D4" s="74"/>
      <c r="E4" s="74"/>
      <c r="F4" s="74"/>
      <c r="G4" s="74"/>
      <c r="H4" s="74"/>
      <c r="I4" s="74"/>
      <c r="J4" s="74"/>
      <c r="K4" s="74"/>
      <c r="L4" s="74"/>
      <c r="M4" s="74"/>
      <c r="N4" s="75"/>
      <c r="O4" s="23" t="str">
        <f>IF(C4="","入力してください","")</f>
        <v/>
      </c>
    </row>
    <row r="5" spans="1:15" ht="7.5" customHeight="1" x14ac:dyDescent="0.15">
      <c r="B5" s="8"/>
      <c r="C5" s="8"/>
      <c r="D5" s="8"/>
      <c r="E5" s="9"/>
      <c r="F5" s="25"/>
      <c r="G5" s="25"/>
      <c r="H5" s="25"/>
      <c r="I5" s="25"/>
      <c r="J5" s="25"/>
      <c r="K5" s="25"/>
      <c r="L5" s="25"/>
      <c r="M5" s="25"/>
      <c r="N5" s="25"/>
    </row>
    <row r="6" spans="1:15" ht="24" customHeight="1" x14ac:dyDescent="0.15">
      <c r="A6" s="7" t="s">
        <v>48</v>
      </c>
      <c r="B6" s="8" t="s">
        <v>49</v>
      </c>
      <c r="C6" s="8"/>
      <c r="D6" s="73" t="s">
        <v>143</v>
      </c>
      <c r="E6" s="74"/>
      <c r="F6" s="74"/>
      <c r="G6" s="74"/>
      <c r="H6" s="75"/>
      <c r="I6" s="10" t="s">
        <v>86</v>
      </c>
      <c r="J6" s="25" t="s">
        <v>87</v>
      </c>
      <c r="K6" s="73" t="s">
        <v>144</v>
      </c>
      <c r="L6" s="74"/>
      <c r="M6" s="74"/>
      <c r="N6" s="75"/>
      <c r="O6" s="23" t="str">
        <f>IF(D6="","入力してください","")</f>
        <v/>
      </c>
    </row>
    <row r="7" spans="1:15" ht="7.5" customHeight="1" x14ac:dyDescent="0.15">
      <c r="B7" s="8"/>
      <c r="C7" s="8"/>
      <c r="D7" s="8"/>
      <c r="E7" s="9"/>
      <c r="F7" s="25"/>
      <c r="G7" s="25"/>
      <c r="H7" s="25"/>
      <c r="I7" s="25"/>
      <c r="J7" s="25"/>
      <c r="K7" s="25"/>
      <c r="L7" s="25"/>
      <c r="M7" s="25"/>
      <c r="N7" s="25"/>
    </row>
    <row r="8" spans="1:15" ht="24" customHeight="1" x14ac:dyDescent="0.15">
      <c r="A8" s="7" t="s">
        <v>13</v>
      </c>
      <c r="B8" s="8" t="s">
        <v>45</v>
      </c>
      <c r="C8" s="73" t="s">
        <v>145</v>
      </c>
      <c r="D8" s="74"/>
      <c r="E8" s="74"/>
      <c r="F8" s="74"/>
      <c r="G8" s="74"/>
      <c r="H8" s="74"/>
      <c r="I8" s="74"/>
      <c r="J8" s="74"/>
      <c r="K8" s="74"/>
      <c r="L8" s="74"/>
      <c r="M8" s="74"/>
      <c r="N8" s="75"/>
      <c r="O8" s="23" t="str">
        <f>IF(C8="","入力してください","")</f>
        <v/>
      </c>
    </row>
    <row r="9" spans="1:15" ht="7.5" customHeight="1" x14ac:dyDescent="0.15">
      <c r="B9" s="8"/>
      <c r="C9" s="8"/>
      <c r="D9" s="8"/>
      <c r="E9" s="9"/>
      <c r="F9" s="25"/>
      <c r="G9" s="25"/>
      <c r="H9" s="25"/>
      <c r="I9" s="25"/>
      <c r="J9" s="25"/>
      <c r="K9" s="25"/>
      <c r="L9" s="25"/>
      <c r="M9" s="25"/>
      <c r="N9" s="25"/>
    </row>
    <row r="10" spans="1:15" ht="24" customHeight="1" x14ac:dyDescent="0.15">
      <c r="A10" s="7" t="s">
        <v>11</v>
      </c>
      <c r="B10" s="8" t="s">
        <v>85</v>
      </c>
      <c r="C10" s="8"/>
      <c r="D10" s="8"/>
      <c r="E10" s="73" t="s">
        <v>193</v>
      </c>
      <c r="F10" s="74"/>
      <c r="G10" s="74"/>
      <c r="H10" s="74"/>
      <c r="I10" s="74"/>
      <c r="J10" s="74"/>
      <c r="K10" s="74"/>
      <c r="L10" s="74"/>
      <c r="M10" s="74"/>
      <c r="N10" s="75"/>
      <c r="O10" s="23" t="str">
        <f>IF(E10="","入力してください","")</f>
        <v/>
      </c>
    </row>
    <row r="11" spans="1:15" ht="7.5" customHeight="1" x14ac:dyDescent="0.15">
      <c r="B11" s="9"/>
      <c r="C11" s="9"/>
      <c r="D11" s="9"/>
      <c r="E11" s="9"/>
      <c r="F11" s="25"/>
      <c r="G11" s="25"/>
      <c r="H11" s="25"/>
      <c r="I11" s="25"/>
      <c r="J11" s="25"/>
      <c r="K11" s="25"/>
      <c r="L11" s="25"/>
      <c r="M11" s="25"/>
      <c r="N11" s="25"/>
    </row>
    <row r="12" spans="1:15" ht="24" customHeight="1" x14ac:dyDescent="0.15">
      <c r="A12" s="7" t="s">
        <v>58</v>
      </c>
      <c r="B12" s="9" t="s">
        <v>59</v>
      </c>
      <c r="C12" s="9"/>
      <c r="D12" s="9"/>
      <c r="E12" s="88">
        <v>2018</v>
      </c>
      <c r="F12" s="89"/>
      <c r="G12" s="10" t="s">
        <v>90</v>
      </c>
      <c r="H12" s="7" t="s">
        <v>91</v>
      </c>
      <c r="N12" s="50" t="s">
        <v>146</v>
      </c>
      <c r="O12" s="23" t="str">
        <f>IF(E12="","入力してください","")</f>
        <v/>
      </c>
    </row>
    <row r="13" spans="1:15" ht="7.5" customHeight="1" x14ac:dyDescent="0.15">
      <c r="B13" s="9"/>
      <c r="C13" s="9"/>
      <c r="D13" s="9"/>
      <c r="E13" s="9"/>
      <c r="F13" s="25"/>
      <c r="G13" s="25"/>
      <c r="H13" s="25"/>
      <c r="I13" s="25"/>
      <c r="J13" s="25"/>
      <c r="K13" s="25"/>
      <c r="L13" s="25"/>
      <c r="M13" s="25"/>
      <c r="N13" s="25"/>
    </row>
    <row r="14" spans="1:15" ht="24" customHeight="1" x14ac:dyDescent="0.15">
      <c r="A14" s="7" t="s">
        <v>53</v>
      </c>
      <c r="B14" s="7" t="s">
        <v>0</v>
      </c>
      <c r="C14" s="84" t="s">
        <v>5</v>
      </c>
      <c r="D14" s="85"/>
      <c r="E14" s="76">
        <v>67</v>
      </c>
      <c r="F14" s="77"/>
      <c r="G14" s="11" t="s">
        <v>7</v>
      </c>
      <c r="I14" s="84" t="s">
        <v>8</v>
      </c>
      <c r="J14" s="85"/>
      <c r="K14" s="76">
        <v>11</v>
      </c>
      <c r="L14" s="86"/>
      <c r="M14" s="77"/>
      <c r="N14" s="12" t="s">
        <v>7</v>
      </c>
      <c r="O14" s="23" t="str">
        <f>IF(OR(E14="",K14=""),"入力してください","")</f>
        <v/>
      </c>
    </row>
    <row r="15" spans="1:15" ht="7.5" customHeight="1" x14ac:dyDescent="0.15">
      <c r="F15" s="13"/>
      <c r="G15" s="13"/>
      <c r="H15" s="13"/>
      <c r="I15" s="13"/>
      <c r="J15" s="13"/>
      <c r="K15" s="13"/>
      <c r="L15" s="13"/>
      <c r="M15" s="12"/>
      <c r="N15" s="12"/>
    </row>
    <row r="16" spans="1:15" ht="24" customHeight="1" x14ac:dyDescent="0.15">
      <c r="A16" s="7" t="s">
        <v>60</v>
      </c>
      <c r="B16" s="7" t="s">
        <v>70</v>
      </c>
      <c r="F16" s="13"/>
      <c r="G16" s="13"/>
      <c r="H16" s="13"/>
      <c r="I16" s="13"/>
      <c r="J16" s="13"/>
      <c r="K16" s="92">
        <v>32</v>
      </c>
      <c r="L16" s="93"/>
      <c r="M16" s="94"/>
      <c r="N16" s="12" t="s">
        <v>51</v>
      </c>
      <c r="O16" s="23" t="str">
        <f>IF(K16="","入力してください","")</f>
        <v/>
      </c>
    </row>
    <row r="17" spans="1:15" ht="7.5" customHeight="1" x14ac:dyDescent="0.15">
      <c r="F17" s="13"/>
      <c r="G17" s="13"/>
      <c r="H17" s="13"/>
      <c r="I17" s="13"/>
      <c r="J17" s="13"/>
      <c r="K17" s="13"/>
      <c r="L17" s="13"/>
      <c r="M17" s="12"/>
      <c r="N17" s="12"/>
    </row>
    <row r="18" spans="1:15" ht="24" customHeight="1" x14ac:dyDescent="0.15">
      <c r="A18" s="7" t="s">
        <v>24</v>
      </c>
      <c r="B18" s="7" t="s">
        <v>77</v>
      </c>
      <c r="E18" s="90">
        <v>200</v>
      </c>
      <c r="F18" s="91"/>
      <c r="G18" s="14" t="s">
        <v>21</v>
      </c>
      <c r="H18" s="13"/>
      <c r="K18" s="100"/>
      <c r="L18" s="100"/>
      <c r="M18" s="100"/>
      <c r="N18" s="100"/>
      <c r="O18" s="23" t="str">
        <f>IF(E18="","入力してください","")</f>
        <v/>
      </c>
    </row>
    <row r="19" spans="1:15" ht="7.5" customHeight="1" x14ac:dyDescent="0.15">
      <c r="E19" s="3"/>
      <c r="F19" s="13"/>
      <c r="G19" s="13"/>
      <c r="L19" s="24"/>
      <c r="M19" s="24"/>
      <c r="N19" s="15"/>
    </row>
    <row r="20" spans="1:15" ht="24" customHeight="1" x14ac:dyDescent="0.15">
      <c r="A20" s="7" t="s">
        <v>76</v>
      </c>
      <c r="B20" s="7" t="s">
        <v>78</v>
      </c>
      <c r="E20" s="3"/>
      <c r="F20" s="13"/>
      <c r="G20" s="13"/>
      <c r="H20" s="7" t="s">
        <v>52</v>
      </c>
      <c r="J20" s="95">
        <v>964</v>
      </c>
      <c r="K20" s="96"/>
      <c r="L20" s="97"/>
      <c r="M20" s="24" t="s">
        <v>51</v>
      </c>
      <c r="N20" s="15"/>
      <c r="O20" s="23" t="str">
        <f>IF(J20="","入力してください","")</f>
        <v/>
      </c>
    </row>
    <row r="21" spans="1:15" ht="7.5" customHeight="1" x14ac:dyDescent="0.15">
      <c r="E21" s="3"/>
      <c r="F21" s="13"/>
      <c r="G21" s="13"/>
      <c r="L21" s="24"/>
      <c r="M21" s="24"/>
      <c r="N21" s="15"/>
    </row>
    <row r="22" spans="1:15" ht="24" customHeight="1" x14ac:dyDescent="0.15">
      <c r="B22" s="21" t="s">
        <v>17</v>
      </c>
      <c r="C22" s="76">
        <v>202</v>
      </c>
      <c r="D22" s="77"/>
      <c r="E22" s="3" t="s">
        <v>22</v>
      </c>
      <c r="F22" s="13"/>
      <c r="G22" s="72" t="s">
        <v>18</v>
      </c>
      <c r="H22" s="72"/>
      <c r="I22" s="76">
        <v>200</v>
      </c>
      <c r="J22" s="77"/>
      <c r="K22" s="10" t="s">
        <v>22</v>
      </c>
      <c r="M22" s="24"/>
      <c r="N22" s="15"/>
    </row>
    <row r="23" spans="1:15" ht="7.5" customHeight="1" x14ac:dyDescent="0.15">
      <c r="B23" s="21"/>
      <c r="C23" s="64"/>
      <c r="D23" s="64"/>
      <c r="E23" s="3"/>
      <c r="F23" s="13"/>
      <c r="G23" s="24"/>
      <c r="H23" s="24"/>
      <c r="I23" s="64"/>
      <c r="J23" s="64"/>
      <c r="K23" s="10"/>
      <c r="M23" s="24"/>
      <c r="N23" s="15"/>
    </row>
    <row r="24" spans="1:15" ht="24" customHeight="1" x14ac:dyDescent="0.15">
      <c r="B24" s="21" t="s">
        <v>19</v>
      </c>
      <c r="C24" s="76">
        <v>200</v>
      </c>
      <c r="D24" s="77"/>
      <c r="E24" s="3" t="s">
        <v>22</v>
      </c>
      <c r="F24" s="13"/>
      <c r="G24" s="72" t="s">
        <v>20</v>
      </c>
      <c r="H24" s="72"/>
      <c r="I24" s="76">
        <v>197</v>
      </c>
      <c r="J24" s="77"/>
      <c r="K24" s="10" t="s">
        <v>22</v>
      </c>
      <c r="M24" s="24"/>
      <c r="N24" s="15"/>
    </row>
    <row r="25" spans="1:15" ht="7.5" customHeight="1" x14ac:dyDescent="0.15">
      <c r="B25" s="21"/>
      <c r="C25" s="64"/>
      <c r="D25" s="64"/>
      <c r="E25" s="3"/>
      <c r="F25" s="13"/>
      <c r="G25" s="24"/>
      <c r="H25" s="24"/>
      <c r="I25" s="4"/>
      <c r="J25" s="4"/>
      <c r="K25" s="10"/>
      <c r="M25" s="24"/>
      <c r="N25" s="15"/>
    </row>
    <row r="26" spans="1:15" ht="24" customHeight="1" x14ac:dyDescent="0.15">
      <c r="B26" s="21" t="s">
        <v>46</v>
      </c>
      <c r="C26" s="76">
        <v>165</v>
      </c>
      <c r="D26" s="77"/>
      <c r="E26" s="3" t="s">
        <v>7</v>
      </c>
      <c r="F26" s="13"/>
      <c r="G26" s="72" t="s">
        <v>47</v>
      </c>
      <c r="H26" s="72"/>
      <c r="I26" s="90"/>
      <c r="J26" s="91"/>
      <c r="K26" s="10" t="s">
        <v>7</v>
      </c>
      <c r="M26" s="24"/>
      <c r="N26" s="15"/>
    </row>
    <row r="27" spans="1:15" ht="7.5" customHeight="1" x14ac:dyDescent="0.15">
      <c r="F27" s="13"/>
      <c r="G27" s="13"/>
      <c r="M27" s="16"/>
      <c r="N27" s="16"/>
    </row>
    <row r="28" spans="1:15" ht="24" customHeight="1" x14ac:dyDescent="0.15">
      <c r="A28" s="7" t="s">
        <v>50</v>
      </c>
      <c r="B28" s="8" t="s">
        <v>75</v>
      </c>
      <c r="C28" s="8"/>
      <c r="D28" s="8"/>
      <c r="E28" s="8"/>
      <c r="F28" s="10"/>
      <c r="G28" s="25"/>
      <c r="H28" s="25"/>
      <c r="I28" s="25"/>
      <c r="J28" s="17"/>
      <c r="K28" s="17"/>
      <c r="L28" s="17"/>
      <c r="M28" s="17"/>
      <c r="N28" s="17"/>
    </row>
    <row r="29" spans="1:15" s="7" customFormat="1" ht="24" customHeight="1" x14ac:dyDescent="0.15">
      <c r="B29" s="80" t="s">
        <v>74</v>
      </c>
      <c r="C29" s="80"/>
      <c r="D29" s="98" t="s">
        <v>148</v>
      </c>
      <c r="E29" s="99"/>
      <c r="F29" s="99"/>
      <c r="G29" s="81" t="s">
        <v>23</v>
      </c>
      <c r="H29" s="80"/>
      <c r="I29" s="82"/>
      <c r="J29" s="73" t="s">
        <v>147</v>
      </c>
      <c r="K29" s="74"/>
      <c r="L29" s="74"/>
      <c r="M29" s="74"/>
      <c r="N29" s="75"/>
      <c r="O29" s="23" t="str">
        <f>IF(OR(D29="",J29=""),"入力してください","")</f>
        <v/>
      </c>
    </row>
    <row r="30" spans="1:15" ht="7.5" customHeight="1" x14ac:dyDescent="0.15">
      <c r="F30" s="13"/>
      <c r="G30" s="13"/>
      <c r="M30" s="16"/>
      <c r="N30" s="16"/>
    </row>
    <row r="31" spans="1:15" ht="24" customHeight="1" x14ac:dyDescent="0.15">
      <c r="A31" s="7" t="s">
        <v>54</v>
      </c>
      <c r="B31" s="8" t="s">
        <v>80</v>
      </c>
      <c r="C31" s="8"/>
      <c r="D31" s="8"/>
      <c r="E31" s="8"/>
      <c r="F31" s="10"/>
      <c r="G31" s="17"/>
      <c r="H31" s="17"/>
      <c r="I31" s="17"/>
      <c r="J31" s="17"/>
      <c r="K31" s="17"/>
      <c r="L31" s="17"/>
      <c r="M31" s="17"/>
      <c r="N31" s="17"/>
    </row>
    <row r="32" spans="1:15" ht="24" customHeight="1" x14ac:dyDescent="0.15">
      <c r="B32" s="73" t="s">
        <v>149</v>
      </c>
      <c r="C32" s="74"/>
      <c r="D32" s="74"/>
      <c r="E32" s="74"/>
      <c r="F32" s="74"/>
      <c r="G32" s="74"/>
      <c r="H32" s="74"/>
      <c r="I32" s="74"/>
      <c r="J32" s="74"/>
      <c r="K32" s="74"/>
      <c r="L32" s="74"/>
      <c r="M32" s="74"/>
      <c r="N32" s="75"/>
      <c r="O32" s="23" t="str">
        <f>IF(B32="","入力してください","")</f>
        <v/>
      </c>
    </row>
    <row r="33" spans="1:15" ht="7.5" customHeight="1" x14ac:dyDescent="0.15">
      <c r="B33" s="5"/>
      <c r="C33" s="5"/>
      <c r="D33" s="5"/>
      <c r="E33" s="5"/>
      <c r="F33" s="5"/>
      <c r="G33" s="5"/>
      <c r="H33" s="5"/>
      <c r="I33" s="5"/>
      <c r="J33" s="5"/>
      <c r="K33" s="5"/>
      <c r="L33" s="5"/>
      <c r="M33" s="5"/>
      <c r="N33" s="5"/>
    </row>
    <row r="34" spans="1:15" s="7" customFormat="1" ht="24" customHeight="1" x14ac:dyDescent="0.15">
      <c r="B34" s="80" t="s">
        <v>74</v>
      </c>
      <c r="C34" s="80"/>
      <c r="D34" s="73" t="s">
        <v>150</v>
      </c>
      <c r="E34" s="74"/>
      <c r="F34" s="74"/>
      <c r="G34" s="81" t="s">
        <v>55</v>
      </c>
      <c r="H34" s="80"/>
      <c r="I34" s="82"/>
      <c r="J34" s="73" t="s">
        <v>151</v>
      </c>
      <c r="K34" s="74"/>
      <c r="L34" s="74"/>
      <c r="M34" s="74"/>
      <c r="N34" s="75"/>
      <c r="O34" s="23" t="str">
        <f>IF(OR(D34="",J34=""),"入力してください","")</f>
        <v/>
      </c>
    </row>
    <row r="35" spans="1:15" ht="7.5" customHeight="1" x14ac:dyDescent="0.15">
      <c r="F35" s="25"/>
      <c r="G35" s="25"/>
      <c r="H35" s="25"/>
      <c r="I35" s="25"/>
      <c r="J35" s="25"/>
      <c r="K35" s="25"/>
      <c r="L35" s="25"/>
      <c r="M35" s="25"/>
      <c r="N35" s="25"/>
    </row>
    <row r="36" spans="1:15" ht="24" customHeight="1" x14ac:dyDescent="0.15">
      <c r="A36" s="7" t="s">
        <v>61</v>
      </c>
      <c r="B36" s="7" t="s">
        <v>81</v>
      </c>
      <c r="M36" s="16"/>
      <c r="N36" s="16"/>
    </row>
    <row r="37" spans="1:15" ht="24" customHeight="1" x14ac:dyDescent="0.15">
      <c r="B37" s="73" t="s">
        <v>152</v>
      </c>
      <c r="C37" s="74"/>
      <c r="D37" s="74"/>
      <c r="E37" s="74"/>
      <c r="F37" s="74"/>
      <c r="G37" s="74"/>
      <c r="H37" s="74"/>
      <c r="I37" s="74"/>
      <c r="J37" s="74"/>
      <c r="K37" s="74"/>
      <c r="L37" s="74"/>
      <c r="M37" s="74"/>
      <c r="N37" s="75"/>
      <c r="O37" s="23" t="str">
        <f>IF(B37="","入力してください","")</f>
        <v/>
      </c>
    </row>
    <row r="38" spans="1:15" ht="7.5" customHeight="1" x14ac:dyDescent="0.15">
      <c r="F38" s="25"/>
      <c r="G38" s="25"/>
      <c r="H38" s="25"/>
      <c r="I38" s="25"/>
      <c r="J38" s="25"/>
      <c r="K38" s="25"/>
      <c r="L38" s="25"/>
      <c r="M38" s="25"/>
      <c r="N38" s="25"/>
    </row>
    <row r="39" spans="1:15" s="7" customFormat="1" ht="24" customHeight="1" x14ac:dyDescent="0.15">
      <c r="B39" s="80" t="s">
        <v>74</v>
      </c>
      <c r="C39" s="80"/>
      <c r="D39" s="73" t="s">
        <v>153</v>
      </c>
      <c r="E39" s="74"/>
      <c r="F39" s="74"/>
      <c r="G39" s="81" t="s">
        <v>55</v>
      </c>
      <c r="H39" s="80"/>
      <c r="I39" s="82"/>
      <c r="J39" s="73" t="s">
        <v>154</v>
      </c>
      <c r="K39" s="74"/>
      <c r="L39" s="74"/>
      <c r="M39" s="74"/>
      <c r="N39" s="75"/>
      <c r="O39" s="23" t="str">
        <f>IF(OR(D39="",J39=""),"入力してください","")</f>
        <v/>
      </c>
    </row>
    <row r="40" spans="1:15" ht="7.5" customHeight="1" x14ac:dyDescent="0.15">
      <c r="F40" s="25"/>
      <c r="G40" s="25"/>
      <c r="H40" s="25"/>
      <c r="I40" s="25"/>
      <c r="J40" s="25"/>
      <c r="K40" s="25"/>
      <c r="L40" s="25"/>
      <c r="M40" s="25"/>
      <c r="N40" s="25"/>
    </row>
    <row r="41" spans="1:15" ht="24" customHeight="1" x14ac:dyDescent="0.15">
      <c r="A41" s="7" t="s">
        <v>88</v>
      </c>
      <c r="B41" s="28" t="s">
        <v>69</v>
      </c>
      <c r="E41" s="29"/>
      <c r="F41" s="73" t="s">
        <v>155</v>
      </c>
      <c r="G41" s="74"/>
      <c r="H41" s="74"/>
      <c r="I41" s="74"/>
      <c r="J41" s="74"/>
      <c r="K41" s="74"/>
      <c r="L41" s="74"/>
      <c r="M41" s="74"/>
      <c r="N41" s="75"/>
      <c r="O41" s="23" t="str">
        <f>IF(F41="","入力してください","")</f>
        <v/>
      </c>
    </row>
    <row r="42" spans="1:15" ht="7.5" customHeight="1" x14ac:dyDescent="0.15">
      <c r="F42" s="25"/>
      <c r="G42" s="25"/>
      <c r="H42" s="25"/>
      <c r="I42" s="25"/>
      <c r="J42" s="25"/>
      <c r="K42" s="25"/>
      <c r="L42" s="25"/>
      <c r="M42" s="25"/>
      <c r="N42" s="25"/>
    </row>
    <row r="43" spans="1:15" ht="24" customHeight="1" x14ac:dyDescent="0.15">
      <c r="A43" s="7" t="s">
        <v>92</v>
      </c>
    </row>
    <row r="44" spans="1:15" ht="24" customHeight="1" x14ac:dyDescent="0.15">
      <c r="B44" s="22" t="s">
        <v>1</v>
      </c>
      <c r="C44" s="78" t="s">
        <v>156</v>
      </c>
      <c r="D44" s="79"/>
      <c r="E44" s="79"/>
      <c r="F44" s="79"/>
      <c r="G44" s="79"/>
      <c r="H44" s="79"/>
      <c r="I44" s="19" t="s">
        <v>2</v>
      </c>
      <c r="J44" s="20"/>
      <c r="K44" s="73" t="s">
        <v>157</v>
      </c>
      <c r="L44" s="74"/>
      <c r="M44" s="74"/>
      <c r="N44" s="75"/>
      <c r="O44" s="23" t="str">
        <f>IF(OR(C44="",K44=""),"入力してください","")</f>
        <v/>
      </c>
    </row>
    <row r="45" spans="1:15" ht="24" customHeight="1" x14ac:dyDescent="0.15">
      <c r="B45" s="18" t="s">
        <v>4</v>
      </c>
      <c r="C45" s="66" t="s">
        <v>200</v>
      </c>
      <c r="D45" s="67"/>
      <c r="E45" s="67"/>
      <c r="F45" s="67"/>
      <c r="G45" s="67"/>
      <c r="H45" s="68"/>
      <c r="I45" s="19" t="s">
        <v>3</v>
      </c>
      <c r="J45" s="20"/>
      <c r="K45" s="69" t="s">
        <v>158</v>
      </c>
      <c r="L45" s="70"/>
      <c r="M45" s="70"/>
      <c r="N45" s="71"/>
      <c r="O45" s="23" t="str">
        <f>IF(OR(C45="",K45=""),"入力してください","")</f>
        <v/>
      </c>
    </row>
  </sheetData>
  <mergeCells count="44">
    <mergeCell ref="K16:M16"/>
    <mergeCell ref="J20:L20"/>
    <mergeCell ref="G22:H22"/>
    <mergeCell ref="B29:C29"/>
    <mergeCell ref="D29:F29"/>
    <mergeCell ref="G29:I29"/>
    <mergeCell ref="C26:D26"/>
    <mergeCell ref="I22:J22"/>
    <mergeCell ref="C22:D22"/>
    <mergeCell ref="K18:N18"/>
    <mergeCell ref="E18:F18"/>
    <mergeCell ref="J39:N39"/>
    <mergeCell ref="B32:N32"/>
    <mergeCell ref="B37:N37"/>
    <mergeCell ref="G26:H26"/>
    <mergeCell ref="I26:J26"/>
    <mergeCell ref="M1:N1"/>
    <mergeCell ref="C14:D14"/>
    <mergeCell ref="C8:N8"/>
    <mergeCell ref="K14:M14"/>
    <mergeCell ref="C4:N4"/>
    <mergeCell ref="A2:N2"/>
    <mergeCell ref="E14:F14"/>
    <mergeCell ref="I14:J14"/>
    <mergeCell ref="E10:N10"/>
    <mergeCell ref="K6:N6"/>
    <mergeCell ref="D6:H6"/>
    <mergeCell ref="E12:F12"/>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s>
  <phoneticPr fontId="1"/>
  <dataValidations count="3">
    <dataValidation type="list" allowBlank="1" showInputMessage="1" showErrorMessage="1" sqref="K6">
      <formula1>"国立大学, 公立大学, 私立大学, 短期大学, 高等専門学校, その他"</formula1>
    </dataValidation>
    <dataValidation type="list" allowBlank="1" showInputMessage="1" showErrorMessage="1" sqref="N12">
      <formula1>"有,無"</formula1>
    </dataValidation>
    <dataValidation type="list" allowBlank="1" showInputMessage="1" showErrorMessage="1" sqref="F41:N41">
      <formula1>"認定教育プログラム,認定教育プログラム+（プラス）,認定教育プログラムと認定教育プログラム+（プラス）"</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view="pageBreakPreview" zoomScale="115" zoomScaleNormal="100" zoomScaleSheetLayoutView="115" workbookViewId="0">
      <selection activeCell="D83" sqref="D83:Z83"/>
    </sheetView>
  </sheetViews>
  <sheetFormatPr defaultColWidth="9" defaultRowHeight="18.75" customHeight="1" x14ac:dyDescent="0.15"/>
  <cols>
    <col min="1" max="1" width="2.5" style="6" customWidth="1"/>
    <col min="2" max="2" width="27.875" style="6" customWidth="1"/>
    <col min="3" max="13" width="3.375" style="6" customWidth="1"/>
    <col min="14" max="14" width="8.875" style="6" customWidth="1"/>
    <col min="15" max="15" width="18.875" style="6" customWidth="1"/>
    <col min="16" max="19" width="3.375" style="6" customWidth="1"/>
    <col min="20" max="20" width="3.5" style="6" customWidth="1"/>
    <col min="21" max="26" width="3.375" style="6" customWidth="1"/>
    <col min="27" max="16384" width="9" style="6"/>
  </cols>
  <sheetData>
    <row r="1" spans="1:26" ht="15" customHeight="1" x14ac:dyDescent="0.15">
      <c r="W1" s="179" t="s">
        <v>199</v>
      </c>
      <c r="X1" s="179"/>
      <c r="Y1" s="179"/>
      <c r="Z1" s="179"/>
    </row>
    <row r="2" spans="1:26" ht="18" customHeight="1" x14ac:dyDescent="0.15">
      <c r="A2" s="144" t="s">
        <v>67</v>
      </c>
      <c r="B2" s="144"/>
      <c r="C2" s="144"/>
      <c r="D2" s="144"/>
      <c r="E2" s="144"/>
      <c r="F2" s="144"/>
      <c r="G2" s="144"/>
      <c r="H2" s="144"/>
      <c r="I2" s="144"/>
      <c r="J2" s="144"/>
      <c r="K2" s="144"/>
      <c r="L2" s="144"/>
      <c r="M2" s="144"/>
      <c r="N2" s="144"/>
      <c r="O2" s="144"/>
      <c r="P2" s="144"/>
      <c r="Q2" s="144"/>
      <c r="R2" s="144"/>
      <c r="S2" s="144"/>
      <c r="T2" s="144"/>
      <c r="U2" s="144"/>
      <c r="V2" s="144"/>
      <c r="W2" s="144"/>
      <c r="X2" s="144"/>
      <c r="Y2" s="144"/>
      <c r="Z2" s="144"/>
    </row>
    <row r="3" spans="1:26" ht="15" customHeight="1" x14ac:dyDescent="0.15">
      <c r="B3" s="21"/>
      <c r="C3" s="21"/>
      <c r="D3" s="21"/>
      <c r="E3" s="21"/>
      <c r="F3" s="21"/>
      <c r="G3" s="21"/>
      <c r="H3" s="21"/>
      <c r="I3" s="21"/>
      <c r="J3" s="21"/>
      <c r="K3" s="21"/>
      <c r="L3" s="21"/>
      <c r="M3" s="21"/>
      <c r="N3" s="21"/>
      <c r="O3" s="21"/>
      <c r="P3" s="21"/>
      <c r="Q3" s="21"/>
      <c r="R3" s="21"/>
      <c r="S3" s="21"/>
      <c r="T3" s="21"/>
      <c r="U3" s="21"/>
      <c r="V3" s="21"/>
      <c r="W3" s="21"/>
      <c r="X3" s="21"/>
      <c r="Y3" s="21"/>
      <c r="Z3" s="21"/>
    </row>
    <row r="4" spans="1:26" ht="18" customHeight="1" x14ac:dyDescent="0.15">
      <c r="A4" s="6" t="s">
        <v>93</v>
      </c>
      <c r="B4" s="21"/>
      <c r="C4" s="21"/>
      <c r="D4" s="21"/>
      <c r="E4" s="21"/>
      <c r="F4" s="21"/>
      <c r="G4" s="21"/>
      <c r="H4" s="8" t="s">
        <v>106</v>
      </c>
      <c r="I4" s="21"/>
      <c r="J4" s="21"/>
      <c r="K4" s="21"/>
      <c r="L4" s="21"/>
      <c r="M4" s="21"/>
      <c r="N4" s="21"/>
      <c r="O4" s="92" t="s">
        <v>159</v>
      </c>
      <c r="P4" s="93"/>
      <c r="Q4" s="93"/>
      <c r="R4" s="93"/>
      <c r="S4" s="93"/>
      <c r="T4" s="93"/>
      <c r="U4" s="93"/>
      <c r="V4" s="93"/>
      <c r="W4" s="93"/>
      <c r="X4" s="93"/>
      <c r="Y4" s="93"/>
      <c r="Z4" s="94"/>
    </row>
    <row r="5" spans="1:26" ht="6" customHeight="1" x14ac:dyDescent="0.15">
      <c r="B5" s="21"/>
      <c r="C5" s="21"/>
      <c r="D5" s="21"/>
      <c r="E5" s="21"/>
      <c r="F5" s="21"/>
      <c r="G5" s="21"/>
      <c r="H5" s="21"/>
      <c r="I5" s="21"/>
      <c r="J5" s="21"/>
      <c r="K5" s="21"/>
      <c r="L5" s="21"/>
      <c r="M5" s="21"/>
      <c r="N5" s="21"/>
      <c r="O5" s="9"/>
      <c r="P5" s="21"/>
      <c r="Q5" s="21"/>
      <c r="R5" s="21"/>
      <c r="S5" s="21"/>
      <c r="T5" s="21"/>
      <c r="U5" s="21"/>
      <c r="V5" s="21"/>
      <c r="W5" s="21"/>
      <c r="X5" s="21"/>
      <c r="Y5" s="21"/>
      <c r="Z5" s="21"/>
    </row>
    <row r="6" spans="1:26" ht="18" customHeight="1" x14ac:dyDescent="0.15">
      <c r="B6" s="145" t="s">
        <v>160</v>
      </c>
      <c r="C6" s="146"/>
      <c r="D6" s="146"/>
      <c r="E6" s="146"/>
      <c r="F6" s="146"/>
      <c r="G6" s="146"/>
      <c r="H6" s="146"/>
      <c r="I6" s="146"/>
      <c r="J6" s="146"/>
      <c r="K6" s="146"/>
      <c r="L6" s="146"/>
      <c r="M6" s="146"/>
      <c r="N6" s="146"/>
      <c r="O6" s="146"/>
      <c r="P6" s="146"/>
      <c r="Q6" s="146"/>
      <c r="R6" s="146"/>
      <c r="S6" s="146"/>
      <c r="T6" s="146"/>
      <c r="U6" s="146"/>
      <c r="V6" s="146"/>
      <c r="W6" s="146"/>
      <c r="X6" s="146"/>
      <c r="Y6" s="146"/>
      <c r="Z6" s="147"/>
    </row>
    <row r="7" spans="1:26" ht="18" customHeight="1" x14ac:dyDescent="0.15">
      <c r="B7" s="148"/>
      <c r="C7" s="149"/>
      <c r="D7" s="149"/>
      <c r="E7" s="149"/>
      <c r="F7" s="149"/>
      <c r="G7" s="149"/>
      <c r="H7" s="149"/>
      <c r="I7" s="149"/>
      <c r="J7" s="149"/>
      <c r="K7" s="149"/>
      <c r="L7" s="149"/>
      <c r="M7" s="149"/>
      <c r="N7" s="149"/>
      <c r="O7" s="149"/>
      <c r="P7" s="149"/>
      <c r="Q7" s="149"/>
      <c r="R7" s="149"/>
      <c r="S7" s="149"/>
      <c r="T7" s="149"/>
      <c r="U7" s="149"/>
      <c r="V7" s="149"/>
      <c r="W7" s="149"/>
      <c r="X7" s="149"/>
      <c r="Y7" s="149"/>
      <c r="Z7" s="150"/>
    </row>
    <row r="8" spans="1:26" ht="18" customHeight="1" x14ac:dyDescent="0.15">
      <c r="B8" s="148"/>
      <c r="C8" s="149"/>
      <c r="D8" s="149"/>
      <c r="E8" s="149"/>
      <c r="F8" s="149"/>
      <c r="G8" s="149"/>
      <c r="H8" s="149"/>
      <c r="I8" s="149"/>
      <c r="J8" s="149"/>
      <c r="K8" s="149"/>
      <c r="L8" s="149"/>
      <c r="M8" s="149"/>
      <c r="N8" s="149"/>
      <c r="O8" s="149"/>
      <c r="P8" s="149"/>
      <c r="Q8" s="149"/>
      <c r="R8" s="149"/>
      <c r="S8" s="149"/>
      <c r="T8" s="149"/>
      <c r="U8" s="149"/>
      <c r="V8" s="149"/>
      <c r="W8" s="149"/>
      <c r="X8" s="149"/>
      <c r="Y8" s="149"/>
      <c r="Z8" s="150"/>
    </row>
    <row r="9" spans="1:26" ht="18" customHeight="1" x14ac:dyDescent="0.15">
      <c r="B9" s="148"/>
      <c r="C9" s="149"/>
      <c r="D9" s="149"/>
      <c r="E9" s="149"/>
      <c r="F9" s="149"/>
      <c r="G9" s="149"/>
      <c r="H9" s="149"/>
      <c r="I9" s="149"/>
      <c r="J9" s="149"/>
      <c r="K9" s="149"/>
      <c r="L9" s="149"/>
      <c r="M9" s="149"/>
      <c r="N9" s="149"/>
      <c r="O9" s="149"/>
      <c r="P9" s="149"/>
      <c r="Q9" s="149"/>
      <c r="R9" s="149"/>
      <c r="S9" s="149"/>
      <c r="T9" s="149"/>
      <c r="U9" s="149"/>
      <c r="V9" s="149"/>
      <c r="W9" s="149"/>
      <c r="X9" s="149"/>
      <c r="Y9" s="149"/>
      <c r="Z9" s="150"/>
    </row>
    <row r="10" spans="1:26" ht="18" customHeight="1" x14ac:dyDescent="0.15">
      <c r="B10" s="148"/>
      <c r="C10" s="151"/>
      <c r="D10" s="151"/>
      <c r="E10" s="151"/>
      <c r="F10" s="151"/>
      <c r="G10" s="151"/>
      <c r="H10" s="151"/>
      <c r="I10" s="151"/>
      <c r="J10" s="151"/>
      <c r="K10" s="151"/>
      <c r="L10" s="151"/>
      <c r="M10" s="151"/>
      <c r="N10" s="151"/>
      <c r="O10" s="151"/>
      <c r="P10" s="151"/>
      <c r="Q10" s="151"/>
      <c r="R10" s="151"/>
      <c r="S10" s="151"/>
      <c r="T10" s="151"/>
      <c r="U10" s="151"/>
      <c r="V10" s="151"/>
      <c r="W10" s="151"/>
      <c r="X10" s="151"/>
      <c r="Y10" s="151"/>
      <c r="Z10" s="150"/>
    </row>
    <row r="11" spans="1:26" ht="18" customHeight="1" x14ac:dyDescent="0.15">
      <c r="B11" s="152"/>
      <c r="C11" s="153"/>
      <c r="D11" s="153"/>
      <c r="E11" s="153"/>
      <c r="F11" s="153"/>
      <c r="G11" s="153"/>
      <c r="H11" s="153"/>
      <c r="I11" s="153"/>
      <c r="J11" s="153"/>
      <c r="K11" s="153"/>
      <c r="L11" s="153"/>
      <c r="M11" s="153"/>
      <c r="N11" s="153"/>
      <c r="O11" s="153"/>
      <c r="P11" s="153"/>
      <c r="Q11" s="153"/>
      <c r="R11" s="153"/>
      <c r="S11" s="153"/>
      <c r="T11" s="153"/>
      <c r="U11" s="153"/>
      <c r="V11" s="153"/>
      <c r="W11" s="153"/>
      <c r="X11" s="153"/>
      <c r="Y11" s="153"/>
      <c r="Z11" s="154"/>
    </row>
    <row r="12" spans="1:26" ht="7.5" customHeight="1" x14ac:dyDescent="0.15">
      <c r="B12" s="21"/>
      <c r="C12" s="21"/>
      <c r="D12" s="21"/>
      <c r="E12" s="21"/>
      <c r="F12" s="21"/>
      <c r="G12" s="21"/>
      <c r="H12" s="21"/>
      <c r="I12" s="21"/>
      <c r="J12" s="21"/>
      <c r="K12" s="21"/>
      <c r="L12" s="21"/>
      <c r="M12" s="21"/>
      <c r="N12" s="21"/>
      <c r="O12" s="21"/>
      <c r="P12" s="21"/>
      <c r="Q12" s="21"/>
      <c r="R12" s="21"/>
      <c r="S12" s="21"/>
      <c r="T12" s="21"/>
      <c r="U12" s="21"/>
      <c r="V12" s="21"/>
      <c r="W12" s="21"/>
      <c r="X12" s="21"/>
      <c r="Y12" s="21"/>
      <c r="Z12" s="21"/>
    </row>
    <row r="13" spans="1:26" ht="18" customHeight="1" x14ac:dyDescent="0.15">
      <c r="A13" s="140" t="s">
        <v>119</v>
      </c>
      <c r="B13" s="140"/>
      <c r="C13" s="140"/>
      <c r="D13" s="140"/>
      <c r="E13" s="140"/>
      <c r="F13" s="140"/>
      <c r="G13" s="140"/>
      <c r="H13" s="140"/>
      <c r="I13" s="140"/>
      <c r="J13" s="140"/>
      <c r="K13" s="140"/>
      <c r="L13" s="140"/>
      <c r="M13" s="140"/>
      <c r="N13" s="140"/>
      <c r="O13" s="140"/>
      <c r="P13" s="140"/>
      <c r="Q13" s="140"/>
      <c r="R13" s="140"/>
      <c r="S13" s="140"/>
      <c r="T13" s="140"/>
      <c r="U13" s="140"/>
      <c r="V13" s="140"/>
      <c r="W13" s="140"/>
      <c r="X13" s="140"/>
      <c r="Y13" s="140"/>
      <c r="Z13" s="140"/>
    </row>
    <row r="14" spans="1:26" ht="18" customHeight="1" x14ac:dyDescent="0.15">
      <c r="A14" s="140"/>
      <c r="B14" s="140"/>
      <c r="C14" s="140"/>
      <c r="D14" s="140"/>
      <c r="E14" s="140"/>
      <c r="F14" s="140"/>
      <c r="G14" s="140"/>
      <c r="H14" s="140"/>
      <c r="I14" s="140"/>
      <c r="J14" s="140"/>
      <c r="K14" s="140"/>
      <c r="L14" s="140"/>
      <c r="M14" s="140"/>
      <c r="N14" s="140"/>
      <c r="O14" s="140"/>
      <c r="P14" s="140"/>
      <c r="Q14" s="140"/>
      <c r="R14" s="140"/>
      <c r="S14" s="140"/>
      <c r="T14" s="140"/>
      <c r="U14" s="140"/>
      <c r="V14" s="140"/>
      <c r="W14" s="140"/>
      <c r="X14" s="140"/>
      <c r="Y14" s="140"/>
      <c r="Z14" s="140"/>
    </row>
    <row r="15" spans="1:26" ht="18" customHeight="1" x14ac:dyDescent="0.15">
      <c r="A15" s="7"/>
      <c r="B15" s="92" t="s">
        <v>94</v>
      </c>
      <c r="C15" s="93"/>
      <c r="D15" s="93"/>
      <c r="E15" s="93"/>
      <c r="F15" s="94"/>
      <c r="G15" s="22" t="s">
        <v>135</v>
      </c>
      <c r="H15" s="46" t="s">
        <v>134</v>
      </c>
      <c r="I15" s="93" t="s">
        <v>95</v>
      </c>
      <c r="J15" s="93"/>
      <c r="K15" s="93"/>
      <c r="L15" s="30" t="s">
        <v>98</v>
      </c>
      <c r="M15" s="30" t="s">
        <v>101</v>
      </c>
      <c r="N15" s="92" t="s">
        <v>94</v>
      </c>
      <c r="O15" s="93"/>
      <c r="P15" s="93"/>
      <c r="Q15" s="93"/>
      <c r="R15" s="93"/>
      <c r="S15" s="94"/>
      <c r="T15" s="22" t="s">
        <v>135</v>
      </c>
      <c r="U15" s="46" t="s">
        <v>134</v>
      </c>
      <c r="V15" s="93" t="s">
        <v>95</v>
      </c>
      <c r="W15" s="93"/>
      <c r="X15" s="93"/>
      <c r="Y15" s="30" t="s">
        <v>98</v>
      </c>
      <c r="Z15" s="30" t="s">
        <v>101</v>
      </c>
    </row>
    <row r="16" spans="1:26" ht="18" customHeight="1" x14ac:dyDescent="0.15">
      <c r="A16" s="7"/>
      <c r="B16" s="131" t="s">
        <v>161</v>
      </c>
      <c r="C16" s="132"/>
      <c r="D16" s="132"/>
      <c r="E16" s="132"/>
      <c r="F16" s="133"/>
      <c r="G16" s="47">
        <v>2</v>
      </c>
      <c r="H16" s="47" t="s">
        <v>163</v>
      </c>
      <c r="I16" s="125" t="s">
        <v>164</v>
      </c>
      <c r="J16" s="126"/>
      <c r="K16" s="127"/>
      <c r="L16" s="47" t="s">
        <v>163</v>
      </c>
      <c r="M16" s="47"/>
      <c r="N16" s="101"/>
      <c r="O16" s="102"/>
      <c r="P16" s="102"/>
      <c r="Q16" s="102"/>
      <c r="R16" s="102"/>
      <c r="S16" s="103"/>
      <c r="T16" s="47"/>
      <c r="U16" s="47"/>
      <c r="V16" s="125"/>
      <c r="W16" s="126"/>
      <c r="X16" s="127"/>
      <c r="Y16" s="47"/>
      <c r="Z16" s="47"/>
    </row>
    <row r="17" spans="1:26" ht="18" customHeight="1" x14ac:dyDescent="0.15">
      <c r="A17" s="7"/>
      <c r="B17" s="134" t="s">
        <v>162</v>
      </c>
      <c r="C17" s="135"/>
      <c r="D17" s="135"/>
      <c r="E17" s="135"/>
      <c r="F17" s="136"/>
      <c r="G17" s="48">
        <v>2</v>
      </c>
      <c r="H17" s="48" t="s">
        <v>163</v>
      </c>
      <c r="I17" s="128" t="s">
        <v>164</v>
      </c>
      <c r="J17" s="129"/>
      <c r="K17" s="130"/>
      <c r="L17" s="48"/>
      <c r="M17" s="48" t="s">
        <v>163</v>
      </c>
      <c r="N17" s="109"/>
      <c r="O17" s="110"/>
      <c r="P17" s="110"/>
      <c r="Q17" s="110"/>
      <c r="R17" s="110"/>
      <c r="S17" s="111"/>
      <c r="T17" s="48"/>
      <c r="U17" s="48"/>
      <c r="V17" s="128"/>
      <c r="W17" s="129"/>
      <c r="X17" s="130"/>
      <c r="Y17" s="48"/>
      <c r="Z17" s="48"/>
    </row>
    <row r="18" spans="1:26" ht="18" customHeight="1" x14ac:dyDescent="0.15">
      <c r="A18" s="7"/>
      <c r="B18" s="134"/>
      <c r="C18" s="135"/>
      <c r="D18" s="135"/>
      <c r="E18" s="135"/>
      <c r="F18" s="136"/>
      <c r="G18" s="48"/>
      <c r="H18" s="48"/>
      <c r="I18" s="128"/>
      <c r="J18" s="129"/>
      <c r="K18" s="130"/>
      <c r="L18" s="48"/>
      <c r="M18" s="48"/>
      <c r="N18" s="109"/>
      <c r="O18" s="110"/>
      <c r="P18" s="110"/>
      <c r="Q18" s="110"/>
      <c r="R18" s="110"/>
      <c r="S18" s="111"/>
      <c r="T18" s="48"/>
      <c r="U18" s="48"/>
      <c r="V18" s="128"/>
      <c r="W18" s="129"/>
      <c r="X18" s="130"/>
      <c r="Y18" s="48"/>
      <c r="Z18" s="48"/>
    </row>
    <row r="19" spans="1:26" ht="18" customHeight="1" x14ac:dyDescent="0.15">
      <c r="A19" s="7"/>
      <c r="B19" s="134"/>
      <c r="C19" s="135"/>
      <c r="D19" s="135"/>
      <c r="E19" s="135"/>
      <c r="F19" s="136"/>
      <c r="G19" s="48"/>
      <c r="H19" s="48"/>
      <c r="I19" s="128"/>
      <c r="J19" s="129"/>
      <c r="K19" s="130"/>
      <c r="L19" s="48"/>
      <c r="M19" s="48"/>
      <c r="N19" s="109"/>
      <c r="O19" s="110"/>
      <c r="P19" s="110"/>
      <c r="Q19" s="110"/>
      <c r="R19" s="110"/>
      <c r="S19" s="111"/>
      <c r="T19" s="48"/>
      <c r="U19" s="48"/>
      <c r="V19" s="128"/>
      <c r="W19" s="129"/>
      <c r="X19" s="130"/>
      <c r="Y19" s="48"/>
      <c r="Z19" s="48"/>
    </row>
    <row r="20" spans="1:26" ht="18" customHeight="1" x14ac:dyDescent="0.15">
      <c r="A20" s="7"/>
      <c r="B20" s="134"/>
      <c r="C20" s="135"/>
      <c r="D20" s="135"/>
      <c r="E20" s="135"/>
      <c r="F20" s="136"/>
      <c r="G20" s="48"/>
      <c r="H20" s="48"/>
      <c r="I20" s="128"/>
      <c r="J20" s="129"/>
      <c r="K20" s="130"/>
      <c r="L20" s="48"/>
      <c r="M20" s="48"/>
      <c r="N20" s="109"/>
      <c r="O20" s="110"/>
      <c r="P20" s="110"/>
      <c r="Q20" s="110"/>
      <c r="R20" s="110"/>
      <c r="S20" s="111"/>
      <c r="T20" s="48"/>
      <c r="U20" s="48"/>
      <c r="V20" s="128"/>
      <c r="W20" s="129"/>
      <c r="X20" s="130"/>
      <c r="Y20" s="48"/>
      <c r="Z20" s="48"/>
    </row>
    <row r="21" spans="1:26" ht="18" customHeight="1" x14ac:dyDescent="0.15">
      <c r="A21" s="21"/>
      <c r="B21" s="134"/>
      <c r="C21" s="135"/>
      <c r="D21" s="135"/>
      <c r="E21" s="135"/>
      <c r="F21" s="136"/>
      <c r="G21" s="48"/>
      <c r="H21" s="48"/>
      <c r="I21" s="128"/>
      <c r="J21" s="129"/>
      <c r="K21" s="130"/>
      <c r="L21" s="48"/>
      <c r="M21" s="48"/>
      <c r="N21" s="109"/>
      <c r="O21" s="110"/>
      <c r="P21" s="110"/>
      <c r="Q21" s="110"/>
      <c r="R21" s="110"/>
      <c r="S21" s="111"/>
      <c r="T21" s="48"/>
      <c r="U21" s="48"/>
      <c r="V21" s="128"/>
      <c r="W21" s="129"/>
      <c r="X21" s="130"/>
      <c r="Y21" s="48"/>
      <c r="Z21" s="48"/>
    </row>
    <row r="22" spans="1:26" ht="18" customHeight="1" x14ac:dyDescent="0.15">
      <c r="A22" s="21"/>
      <c r="B22" s="141"/>
      <c r="C22" s="142"/>
      <c r="D22" s="142"/>
      <c r="E22" s="142"/>
      <c r="F22" s="143"/>
      <c r="G22" s="49"/>
      <c r="H22" s="49"/>
      <c r="I22" s="137"/>
      <c r="J22" s="138"/>
      <c r="K22" s="139"/>
      <c r="L22" s="54"/>
      <c r="M22" s="54"/>
      <c r="N22" s="158"/>
      <c r="O22" s="159"/>
      <c r="P22" s="159"/>
      <c r="Q22" s="159"/>
      <c r="R22" s="159"/>
      <c r="S22" s="160"/>
      <c r="T22" s="49"/>
      <c r="U22" s="49"/>
      <c r="V22" s="137"/>
      <c r="W22" s="138"/>
      <c r="X22" s="139"/>
      <c r="Y22" s="54"/>
      <c r="Z22" s="54"/>
    </row>
    <row r="23" spans="1:26" ht="7.5" customHeight="1" x14ac:dyDescent="0.15">
      <c r="A23" s="21"/>
      <c r="B23" s="31"/>
      <c r="C23" s="31"/>
      <c r="D23" s="21"/>
      <c r="E23" s="21"/>
      <c r="F23" s="21"/>
      <c r="G23" s="21"/>
      <c r="H23" s="21"/>
      <c r="I23" s="21"/>
      <c r="J23" s="21"/>
      <c r="K23" s="21"/>
      <c r="L23" s="31"/>
      <c r="M23" s="31"/>
      <c r="N23" s="31"/>
      <c r="O23" s="31"/>
      <c r="P23" s="31"/>
      <c r="Q23" s="31"/>
      <c r="R23" s="31"/>
      <c r="S23" s="31"/>
      <c r="T23" s="31"/>
      <c r="U23" s="31"/>
      <c r="V23" s="31"/>
      <c r="W23" s="31"/>
      <c r="X23" s="31"/>
      <c r="Y23" s="31"/>
      <c r="Z23" s="21"/>
    </row>
    <row r="24" spans="1:26" ht="18" customHeight="1" x14ac:dyDescent="0.15">
      <c r="A24" s="140" t="s">
        <v>120</v>
      </c>
      <c r="B24" s="140"/>
      <c r="C24" s="140"/>
      <c r="D24" s="140"/>
      <c r="E24" s="140"/>
      <c r="F24" s="140"/>
      <c r="G24" s="140"/>
      <c r="H24" s="140"/>
      <c r="I24" s="140"/>
      <c r="J24" s="140"/>
      <c r="K24" s="140"/>
      <c r="L24" s="140"/>
      <c r="M24" s="140"/>
      <c r="N24" s="140"/>
      <c r="O24" s="140"/>
      <c r="P24" s="140"/>
      <c r="Q24" s="140"/>
      <c r="R24" s="140"/>
      <c r="S24" s="140"/>
      <c r="T24" s="140"/>
      <c r="U24" s="140"/>
      <c r="V24" s="140"/>
      <c r="W24" s="140"/>
      <c r="X24" s="140"/>
      <c r="Y24" s="140"/>
      <c r="Z24" s="140"/>
    </row>
    <row r="25" spans="1:26" ht="18" customHeight="1" x14ac:dyDescent="0.15">
      <c r="A25" s="140"/>
      <c r="B25" s="140"/>
      <c r="C25" s="140"/>
      <c r="D25" s="140"/>
      <c r="E25" s="140"/>
      <c r="F25" s="140"/>
      <c r="G25" s="140"/>
      <c r="H25" s="140"/>
      <c r="I25" s="140"/>
      <c r="J25" s="140"/>
      <c r="K25" s="140"/>
      <c r="L25" s="140"/>
      <c r="M25" s="140"/>
      <c r="N25" s="140"/>
      <c r="O25" s="140"/>
      <c r="P25" s="140"/>
      <c r="Q25" s="140"/>
      <c r="R25" s="140"/>
      <c r="S25" s="140"/>
      <c r="T25" s="140"/>
      <c r="U25" s="140"/>
      <c r="V25" s="140"/>
      <c r="W25" s="140"/>
      <c r="X25" s="140"/>
      <c r="Y25" s="140"/>
      <c r="Z25" s="140"/>
    </row>
    <row r="26" spans="1:26" ht="18" customHeight="1" x14ac:dyDescent="0.15">
      <c r="A26" s="7"/>
      <c r="B26" s="92" t="s">
        <v>94</v>
      </c>
      <c r="C26" s="93"/>
      <c r="D26" s="93"/>
      <c r="E26" s="93"/>
      <c r="F26" s="94"/>
      <c r="G26" s="22" t="s">
        <v>135</v>
      </c>
      <c r="H26" s="46" t="s">
        <v>134</v>
      </c>
      <c r="I26" s="93" t="s">
        <v>95</v>
      </c>
      <c r="J26" s="93"/>
      <c r="K26" s="93"/>
      <c r="L26" s="30" t="s">
        <v>121</v>
      </c>
      <c r="M26" s="30" t="s">
        <v>122</v>
      </c>
      <c r="N26" s="92" t="s">
        <v>94</v>
      </c>
      <c r="O26" s="93"/>
      <c r="P26" s="93"/>
      <c r="Q26" s="93"/>
      <c r="R26" s="93"/>
      <c r="S26" s="94"/>
      <c r="T26" s="22" t="s">
        <v>135</v>
      </c>
      <c r="U26" s="46" t="s">
        <v>134</v>
      </c>
      <c r="V26" s="93" t="s">
        <v>95</v>
      </c>
      <c r="W26" s="93"/>
      <c r="X26" s="93"/>
      <c r="Y26" s="30" t="s">
        <v>121</v>
      </c>
      <c r="Z26" s="30" t="s">
        <v>122</v>
      </c>
    </row>
    <row r="27" spans="1:26" ht="18" customHeight="1" x14ac:dyDescent="0.15">
      <c r="A27" s="7"/>
      <c r="B27" s="131" t="s">
        <v>161</v>
      </c>
      <c r="C27" s="132"/>
      <c r="D27" s="132"/>
      <c r="E27" s="132"/>
      <c r="F27" s="133"/>
      <c r="G27" s="47">
        <v>2</v>
      </c>
      <c r="H27" s="47" t="s">
        <v>163</v>
      </c>
      <c r="I27" s="125" t="s">
        <v>164</v>
      </c>
      <c r="J27" s="126"/>
      <c r="K27" s="127"/>
      <c r="L27" s="47" t="s">
        <v>163</v>
      </c>
      <c r="M27" s="47"/>
      <c r="N27" s="101"/>
      <c r="O27" s="102"/>
      <c r="P27" s="102"/>
      <c r="Q27" s="102"/>
      <c r="R27" s="102"/>
      <c r="S27" s="103"/>
      <c r="T27" s="47"/>
      <c r="U27" s="47"/>
      <c r="V27" s="125"/>
      <c r="W27" s="126"/>
      <c r="X27" s="127"/>
      <c r="Y27" s="47"/>
      <c r="Z27" s="47"/>
    </row>
    <row r="28" spans="1:26" ht="18" customHeight="1" x14ac:dyDescent="0.15">
      <c r="A28" s="7"/>
      <c r="B28" s="134" t="s">
        <v>162</v>
      </c>
      <c r="C28" s="135"/>
      <c r="D28" s="135"/>
      <c r="E28" s="135"/>
      <c r="F28" s="136"/>
      <c r="G28" s="48">
        <v>2</v>
      </c>
      <c r="H28" s="48" t="s">
        <v>163</v>
      </c>
      <c r="I28" s="128" t="s">
        <v>164</v>
      </c>
      <c r="J28" s="129"/>
      <c r="K28" s="130"/>
      <c r="L28" s="48"/>
      <c r="M28" s="48" t="s">
        <v>163</v>
      </c>
      <c r="N28" s="109"/>
      <c r="O28" s="110"/>
      <c r="P28" s="110"/>
      <c r="Q28" s="110"/>
      <c r="R28" s="110"/>
      <c r="S28" s="111"/>
      <c r="T28" s="48"/>
      <c r="U28" s="48"/>
      <c r="V28" s="128"/>
      <c r="W28" s="129"/>
      <c r="X28" s="130"/>
      <c r="Y28" s="48"/>
      <c r="Z28" s="48"/>
    </row>
    <row r="29" spans="1:26" ht="18" customHeight="1" x14ac:dyDescent="0.15">
      <c r="A29" s="7"/>
      <c r="B29" s="134"/>
      <c r="C29" s="135"/>
      <c r="D29" s="135"/>
      <c r="E29" s="135"/>
      <c r="F29" s="136"/>
      <c r="G29" s="48"/>
      <c r="H29" s="48"/>
      <c r="I29" s="128"/>
      <c r="J29" s="129"/>
      <c r="K29" s="130"/>
      <c r="L29" s="48"/>
      <c r="M29" s="48"/>
      <c r="N29" s="109"/>
      <c r="O29" s="110"/>
      <c r="P29" s="110"/>
      <c r="Q29" s="110"/>
      <c r="R29" s="110"/>
      <c r="S29" s="111"/>
      <c r="T29" s="48"/>
      <c r="U29" s="48"/>
      <c r="V29" s="128"/>
      <c r="W29" s="129"/>
      <c r="X29" s="130"/>
      <c r="Y29" s="48"/>
      <c r="Z29" s="48"/>
    </row>
    <row r="30" spans="1:26" ht="18" customHeight="1" x14ac:dyDescent="0.15">
      <c r="A30" s="7"/>
      <c r="B30" s="134"/>
      <c r="C30" s="135"/>
      <c r="D30" s="135"/>
      <c r="E30" s="135"/>
      <c r="F30" s="136"/>
      <c r="G30" s="48"/>
      <c r="H30" s="48"/>
      <c r="I30" s="128"/>
      <c r="J30" s="129"/>
      <c r="K30" s="130"/>
      <c r="L30" s="48"/>
      <c r="M30" s="48"/>
      <c r="N30" s="109"/>
      <c r="O30" s="110"/>
      <c r="P30" s="110"/>
      <c r="Q30" s="110"/>
      <c r="R30" s="110"/>
      <c r="S30" s="111"/>
      <c r="T30" s="48"/>
      <c r="U30" s="48"/>
      <c r="V30" s="128"/>
      <c r="W30" s="129"/>
      <c r="X30" s="130"/>
      <c r="Y30" s="48"/>
      <c r="Z30" s="48"/>
    </row>
    <row r="31" spans="1:26" ht="18" customHeight="1" x14ac:dyDescent="0.15">
      <c r="A31" s="7"/>
      <c r="B31" s="134"/>
      <c r="C31" s="135"/>
      <c r="D31" s="135"/>
      <c r="E31" s="135"/>
      <c r="F31" s="136"/>
      <c r="G31" s="48"/>
      <c r="H31" s="48"/>
      <c r="I31" s="128"/>
      <c r="J31" s="129"/>
      <c r="K31" s="130"/>
      <c r="L31" s="48"/>
      <c r="M31" s="48"/>
      <c r="N31" s="109"/>
      <c r="O31" s="110"/>
      <c r="P31" s="110"/>
      <c r="Q31" s="110"/>
      <c r="R31" s="110"/>
      <c r="S31" s="111"/>
      <c r="T31" s="48"/>
      <c r="U31" s="48"/>
      <c r="V31" s="128"/>
      <c r="W31" s="129"/>
      <c r="X31" s="130"/>
      <c r="Y31" s="48"/>
      <c r="Z31" s="48"/>
    </row>
    <row r="32" spans="1:26" ht="18" customHeight="1" x14ac:dyDescent="0.15">
      <c r="A32" s="7"/>
      <c r="B32" s="134"/>
      <c r="C32" s="135"/>
      <c r="D32" s="135"/>
      <c r="E32" s="135"/>
      <c r="F32" s="136"/>
      <c r="G32" s="48"/>
      <c r="H32" s="48"/>
      <c r="I32" s="128"/>
      <c r="J32" s="129"/>
      <c r="K32" s="130"/>
      <c r="L32" s="48"/>
      <c r="M32" s="48"/>
      <c r="N32" s="109"/>
      <c r="O32" s="110"/>
      <c r="P32" s="110"/>
      <c r="Q32" s="110"/>
      <c r="R32" s="110"/>
      <c r="S32" s="111"/>
      <c r="T32" s="48"/>
      <c r="U32" s="48"/>
      <c r="V32" s="128"/>
      <c r="W32" s="129"/>
      <c r="X32" s="130"/>
      <c r="Y32" s="48"/>
      <c r="Z32" s="48"/>
    </row>
    <row r="33" spans="1:26" ht="18" customHeight="1" x14ac:dyDescent="0.15">
      <c r="A33" s="7"/>
      <c r="B33" s="141"/>
      <c r="C33" s="142"/>
      <c r="D33" s="142"/>
      <c r="E33" s="142"/>
      <c r="F33" s="143"/>
      <c r="G33" s="49"/>
      <c r="H33" s="49"/>
      <c r="I33" s="137"/>
      <c r="J33" s="138"/>
      <c r="K33" s="139"/>
      <c r="L33" s="54"/>
      <c r="M33" s="54"/>
      <c r="N33" s="158"/>
      <c r="O33" s="159"/>
      <c r="P33" s="159"/>
      <c r="Q33" s="159"/>
      <c r="R33" s="159"/>
      <c r="S33" s="160"/>
      <c r="T33" s="49"/>
      <c r="U33" s="49"/>
      <c r="V33" s="137"/>
      <c r="W33" s="138"/>
      <c r="X33" s="139"/>
      <c r="Y33" s="54"/>
      <c r="Z33" s="54"/>
    </row>
    <row r="34" spans="1:26" ht="7.5" customHeight="1" x14ac:dyDescent="0.15">
      <c r="A34" s="21"/>
      <c r="B34" s="31"/>
      <c r="C34" s="31"/>
      <c r="D34" s="21"/>
      <c r="E34" s="21"/>
      <c r="F34" s="21"/>
      <c r="G34" s="21"/>
      <c r="H34" s="21"/>
      <c r="I34" s="21"/>
      <c r="J34" s="21"/>
      <c r="K34" s="21"/>
      <c r="L34" s="31"/>
      <c r="M34" s="31"/>
      <c r="N34" s="31"/>
      <c r="O34" s="31"/>
      <c r="P34" s="31"/>
      <c r="Q34" s="31"/>
      <c r="R34" s="31"/>
      <c r="S34" s="31"/>
      <c r="T34" s="31"/>
      <c r="U34" s="31"/>
      <c r="V34" s="31"/>
      <c r="W34" s="31"/>
      <c r="X34" s="31"/>
      <c r="Y34" s="31"/>
      <c r="Z34" s="21"/>
    </row>
    <row r="35" spans="1:26" ht="18" customHeight="1" x14ac:dyDescent="0.15">
      <c r="A35" s="140" t="s">
        <v>123</v>
      </c>
      <c r="B35" s="140"/>
      <c r="C35" s="140"/>
      <c r="D35" s="140"/>
      <c r="E35" s="140"/>
      <c r="F35" s="140"/>
      <c r="G35" s="140"/>
      <c r="H35" s="140"/>
      <c r="I35" s="140"/>
      <c r="J35" s="140"/>
      <c r="K35" s="140"/>
      <c r="L35" s="140"/>
      <c r="M35" s="140"/>
      <c r="N35" s="140"/>
      <c r="O35" s="140"/>
      <c r="P35" s="140"/>
      <c r="Q35" s="140"/>
      <c r="R35" s="140"/>
      <c r="S35" s="140"/>
      <c r="T35" s="140"/>
      <c r="U35" s="140"/>
      <c r="V35" s="140"/>
      <c r="W35" s="140"/>
      <c r="X35" s="140"/>
      <c r="Y35" s="140"/>
      <c r="Z35" s="140"/>
    </row>
    <row r="36" spans="1:26" ht="18" customHeight="1" x14ac:dyDescent="0.15">
      <c r="A36" s="140"/>
      <c r="B36" s="140"/>
      <c r="C36" s="140"/>
      <c r="D36" s="140"/>
      <c r="E36" s="140"/>
      <c r="F36" s="140"/>
      <c r="G36" s="140"/>
      <c r="H36" s="140"/>
      <c r="I36" s="140"/>
      <c r="J36" s="140"/>
      <c r="K36" s="140"/>
      <c r="L36" s="140"/>
      <c r="M36" s="140"/>
      <c r="N36" s="140"/>
      <c r="O36" s="140"/>
      <c r="P36" s="140"/>
      <c r="Q36" s="140"/>
      <c r="R36" s="140"/>
      <c r="S36" s="140"/>
      <c r="T36" s="140"/>
      <c r="U36" s="140"/>
      <c r="V36" s="140"/>
      <c r="W36" s="140"/>
      <c r="X36" s="140"/>
      <c r="Y36" s="140"/>
      <c r="Z36" s="140"/>
    </row>
    <row r="37" spans="1:26" ht="18" customHeight="1" x14ac:dyDescent="0.15">
      <c r="A37" s="7"/>
      <c r="B37" s="92" t="s">
        <v>94</v>
      </c>
      <c r="C37" s="93"/>
      <c r="D37" s="93"/>
      <c r="E37" s="93"/>
      <c r="F37" s="94"/>
      <c r="G37" s="22" t="s">
        <v>135</v>
      </c>
      <c r="H37" s="46" t="s">
        <v>134</v>
      </c>
      <c r="I37" s="92" t="s">
        <v>95</v>
      </c>
      <c r="J37" s="93"/>
      <c r="K37" s="94"/>
      <c r="L37" s="30" t="s">
        <v>124</v>
      </c>
      <c r="M37" s="30" t="s">
        <v>125</v>
      </c>
      <c r="N37" s="92" t="s">
        <v>94</v>
      </c>
      <c r="O37" s="93"/>
      <c r="P37" s="93"/>
      <c r="Q37" s="93"/>
      <c r="R37" s="93"/>
      <c r="S37" s="94"/>
      <c r="T37" s="22" t="s">
        <v>135</v>
      </c>
      <c r="U37" s="46" t="s">
        <v>134</v>
      </c>
      <c r="V37" s="92" t="s">
        <v>95</v>
      </c>
      <c r="W37" s="93"/>
      <c r="X37" s="94"/>
      <c r="Y37" s="30" t="s">
        <v>124</v>
      </c>
      <c r="Z37" s="30" t="s">
        <v>125</v>
      </c>
    </row>
    <row r="38" spans="1:26" ht="18" customHeight="1" x14ac:dyDescent="0.15">
      <c r="A38" s="21"/>
      <c r="B38" s="131" t="s">
        <v>162</v>
      </c>
      <c r="C38" s="132"/>
      <c r="D38" s="132"/>
      <c r="E38" s="132"/>
      <c r="F38" s="133"/>
      <c r="G38" s="47">
        <v>2</v>
      </c>
      <c r="H38" s="47" t="s">
        <v>163</v>
      </c>
      <c r="I38" s="125" t="s">
        <v>164</v>
      </c>
      <c r="J38" s="126"/>
      <c r="K38" s="127"/>
      <c r="L38" s="47" t="s">
        <v>163</v>
      </c>
      <c r="M38" s="47" t="s">
        <v>163</v>
      </c>
      <c r="N38" s="101"/>
      <c r="O38" s="102"/>
      <c r="P38" s="102"/>
      <c r="Q38" s="102"/>
      <c r="R38" s="102"/>
      <c r="S38" s="103"/>
      <c r="T38" s="47"/>
      <c r="U38" s="47"/>
      <c r="V38" s="125"/>
      <c r="W38" s="126"/>
      <c r="X38" s="127"/>
      <c r="Y38" s="47"/>
      <c r="Z38" s="47"/>
    </row>
    <row r="39" spans="1:26" ht="18" customHeight="1" x14ac:dyDescent="0.15">
      <c r="A39" s="21"/>
      <c r="B39" s="134"/>
      <c r="C39" s="135"/>
      <c r="D39" s="135"/>
      <c r="E39" s="135"/>
      <c r="F39" s="136"/>
      <c r="G39" s="48"/>
      <c r="H39" s="48"/>
      <c r="I39" s="128"/>
      <c r="J39" s="129"/>
      <c r="K39" s="130"/>
      <c r="L39" s="48"/>
      <c r="M39" s="48"/>
      <c r="N39" s="109"/>
      <c r="O39" s="110"/>
      <c r="P39" s="110"/>
      <c r="Q39" s="110"/>
      <c r="R39" s="110"/>
      <c r="S39" s="111"/>
      <c r="T39" s="48"/>
      <c r="U39" s="48"/>
      <c r="V39" s="128"/>
      <c r="W39" s="129"/>
      <c r="X39" s="130"/>
      <c r="Y39" s="48"/>
      <c r="Z39" s="48"/>
    </row>
    <row r="40" spans="1:26" ht="18" customHeight="1" x14ac:dyDescent="0.15">
      <c r="A40" s="21"/>
      <c r="B40" s="134"/>
      <c r="C40" s="135"/>
      <c r="D40" s="135"/>
      <c r="E40" s="135"/>
      <c r="F40" s="136"/>
      <c r="G40" s="48"/>
      <c r="H40" s="48"/>
      <c r="I40" s="128"/>
      <c r="J40" s="129"/>
      <c r="K40" s="130"/>
      <c r="L40" s="48"/>
      <c r="M40" s="48"/>
      <c r="N40" s="109"/>
      <c r="O40" s="110"/>
      <c r="P40" s="110"/>
      <c r="Q40" s="110"/>
      <c r="R40" s="110"/>
      <c r="S40" s="111"/>
      <c r="T40" s="48"/>
      <c r="U40" s="48"/>
      <c r="V40" s="128"/>
      <c r="W40" s="129"/>
      <c r="X40" s="130"/>
      <c r="Y40" s="48"/>
      <c r="Z40" s="48"/>
    </row>
    <row r="41" spans="1:26" ht="18" customHeight="1" x14ac:dyDescent="0.15">
      <c r="A41" s="21"/>
      <c r="B41" s="134"/>
      <c r="C41" s="135"/>
      <c r="D41" s="135"/>
      <c r="E41" s="135"/>
      <c r="F41" s="136"/>
      <c r="G41" s="48"/>
      <c r="H41" s="48"/>
      <c r="I41" s="128"/>
      <c r="J41" s="129"/>
      <c r="K41" s="130"/>
      <c r="L41" s="48"/>
      <c r="M41" s="48"/>
      <c r="N41" s="109"/>
      <c r="O41" s="110"/>
      <c r="P41" s="110"/>
      <c r="Q41" s="110"/>
      <c r="R41" s="110"/>
      <c r="S41" s="111"/>
      <c r="T41" s="48"/>
      <c r="U41" s="48"/>
      <c r="V41" s="128"/>
      <c r="W41" s="129"/>
      <c r="X41" s="130"/>
      <c r="Y41" s="48"/>
      <c r="Z41" s="48"/>
    </row>
    <row r="42" spans="1:26" ht="18" customHeight="1" x14ac:dyDescent="0.15">
      <c r="A42" s="21"/>
      <c r="B42" s="134"/>
      <c r="C42" s="135"/>
      <c r="D42" s="135"/>
      <c r="E42" s="135"/>
      <c r="F42" s="136"/>
      <c r="G42" s="48"/>
      <c r="H42" s="48"/>
      <c r="I42" s="128"/>
      <c r="J42" s="129"/>
      <c r="K42" s="130"/>
      <c r="L42" s="48"/>
      <c r="M42" s="48"/>
      <c r="N42" s="109"/>
      <c r="O42" s="110"/>
      <c r="P42" s="110"/>
      <c r="Q42" s="110"/>
      <c r="R42" s="110"/>
      <c r="S42" s="111"/>
      <c r="T42" s="48"/>
      <c r="U42" s="48"/>
      <c r="V42" s="128"/>
      <c r="W42" s="129"/>
      <c r="X42" s="130"/>
      <c r="Y42" s="48"/>
      <c r="Z42" s="48"/>
    </row>
    <row r="43" spans="1:26" ht="18" customHeight="1" x14ac:dyDescent="0.15">
      <c r="A43" s="21"/>
      <c r="B43" s="134"/>
      <c r="C43" s="135"/>
      <c r="D43" s="135"/>
      <c r="E43" s="135"/>
      <c r="F43" s="136"/>
      <c r="G43" s="48"/>
      <c r="H43" s="48"/>
      <c r="I43" s="128"/>
      <c r="J43" s="129"/>
      <c r="K43" s="130"/>
      <c r="L43" s="48"/>
      <c r="M43" s="48"/>
      <c r="N43" s="109"/>
      <c r="O43" s="110"/>
      <c r="P43" s="110"/>
      <c r="Q43" s="110"/>
      <c r="R43" s="110"/>
      <c r="S43" s="111"/>
      <c r="T43" s="48"/>
      <c r="U43" s="48"/>
      <c r="V43" s="128"/>
      <c r="W43" s="129"/>
      <c r="X43" s="130"/>
      <c r="Y43" s="48"/>
      <c r="Z43" s="48"/>
    </row>
    <row r="44" spans="1:26" ht="18" customHeight="1" x14ac:dyDescent="0.15">
      <c r="A44" s="21"/>
      <c r="B44" s="141"/>
      <c r="C44" s="142"/>
      <c r="D44" s="142"/>
      <c r="E44" s="142"/>
      <c r="F44" s="143"/>
      <c r="G44" s="49"/>
      <c r="H44" s="49"/>
      <c r="I44" s="137"/>
      <c r="J44" s="138"/>
      <c r="K44" s="139"/>
      <c r="L44" s="54"/>
      <c r="M44" s="54"/>
      <c r="N44" s="158"/>
      <c r="O44" s="159"/>
      <c r="P44" s="159"/>
      <c r="Q44" s="159"/>
      <c r="R44" s="159"/>
      <c r="S44" s="160"/>
      <c r="T44" s="49"/>
      <c r="U44" s="49"/>
      <c r="V44" s="137"/>
      <c r="W44" s="138"/>
      <c r="X44" s="139"/>
      <c r="Y44" s="54"/>
      <c r="Z44" s="54"/>
    </row>
    <row r="45" spans="1:26" ht="7.5" customHeight="1" x14ac:dyDescent="0.15">
      <c r="B45" s="32"/>
      <c r="C45" s="32"/>
      <c r="D45" s="32"/>
      <c r="E45" s="32"/>
      <c r="F45" s="32"/>
      <c r="G45" s="32"/>
      <c r="H45" s="32"/>
      <c r="I45" s="32"/>
      <c r="J45" s="32"/>
      <c r="K45" s="32"/>
      <c r="L45" s="32"/>
      <c r="M45" s="32"/>
      <c r="N45" s="32"/>
      <c r="O45" s="32"/>
      <c r="P45" s="32"/>
      <c r="Q45" s="32"/>
      <c r="R45" s="32"/>
      <c r="S45" s="32"/>
      <c r="T45" s="32"/>
      <c r="U45" s="32"/>
      <c r="V45" s="32"/>
      <c r="W45" s="32"/>
      <c r="X45" s="32"/>
      <c r="Y45" s="32"/>
    </row>
    <row r="46" spans="1:26" ht="18" customHeight="1" x14ac:dyDescent="0.15">
      <c r="A46" s="140" t="s">
        <v>126</v>
      </c>
      <c r="B46" s="140"/>
      <c r="C46" s="140"/>
      <c r="D46" s="140"/>
      <c r="E46" s="140"/>
      <c r="F46" s="140"/>
      <c r="G46" s="140"/>
      <c r="H46" s="140"/>
      <c r="I46" s="140"/>
      <c r="J46" s="140"/>
      <c r="K46" s="140"/>
      <c r="L46" s="140"/>
      <c r="M46" s="140"/>
      <c r="N46" s="140"/>
      <c r="O46" s="140"/>
      <c r="P46" s="140"/>
      <c r="Q46" s="140"/>
      <c r="R46" s="140"/>
      <c r="S46" s="140"/>
      <c r="T46" s="140"/>
      <c r="U46" s="140"/>
      <c r="V46" s="140"/>
      <c r="W46" s="140"/>
      <c r="X46" s="140"/>
      <c r="Y46" s="140"/>
      <c r="Z46" s="140"/>
    </row>
    <row r="47" spans="1:26" ht="18" customHeight="1" x14ac:dyDescent="0.15">
      <c r="A47" s="140"/>
      <c r="B47" s="140"/>
      <c r="C47" s="140"/>
      <c r="D47" s="140"/>
      <c r="E47" s="140"/>
      <c r="F47" s="140"/>
      <c r="G47" s="140"/>
      <c r="H47" s="140"/>
      <c r="I47" s="140"/>
      <c r="J47" s="140"/>
      <c r="K47" s="140"/>
      <c r="L47" s="140"/>
      <c r="M47" s="140"/>
      <c r="N47" s="140"/>
      <c r="O47" s="140"/>
      <c r="P47" s="140"/>
      <c r="Q47" s="140"/>
      <c r="R47" s="140"/>
      <c r="S47" s="140"/>
      <c r="T47" s="140"/>
      <c r="U47" s="140"/>
      <c r="V47" s="140"/>
      <c r="W47" s="140"/>
      <c r="X47" s="140"/>
      <c r="Y47" s="140"/>
      <c r="Z47" s="140"/>
    </row>
    <row r="48" spans="1:26" ht="18" customHeight="1" x14ac:dyDescent="0.15">
      <c r="A48" s="7"/>
      <c r="B48" s="92" t="s">
        <v>94</v>
      </c>
      <c r="C48" s="93"/>
      <c r="D48" s="93"/>
      <c r="E48" s="93"/>
      <c r="F48" s="94"/>
      <c r="G48" s="22" t="s">
        <v>135</v>
      </c>
      <c r="H48" s="46" t="s">
        <v>134</v>
      </c>
      <c r="I48" s="92" t="s">
        <v>95</v>
      </c>
      <c r="J48" s="93"/>
      <c r="K48" s="94"/>
      <c r="L48" s="30" t="s">
        <v>100</v>
      </c>
      <c r="M48" s="30" t="s">
        <v>102</v>
      </c>
      <c r="N48" s="92" t="s">
        <v>94</v>
      </c>
      <c r="O48" s="93"/>
      <c r="P48" s="93"/>
      <c r="Q48" s="93"/>
      <c r="R48" s="93"/>
      <c r="S48" s="94"/>
      <c r="T48" s="22" t="s">
        <v>135</v>
      </c>
      <c r="U48" s="46" t="s">
        <v>134</v>
      </c>
      <c r="V48" s="92" t="s">
        <v>95</v>
      </c>
      <c r="W48" s="93"/>
      <c r="X48" s="94"/>
      <c r="Y48" s="30" t="s">
        <v>100</v>
      </c>
      <c r="Z48" s="30" t="s">
        <v>102</v>
      </c>
    </row>
    <row r="49" spans="1:26" ht="18" customHeight="1" x14ac:dyDescent="0.15">
      <c r="A49" s="21"/>
      <c r="B49" s="131" t="s">
        <v>162</v>
      </c>
      <c r="C49" s="132"/>
      <c r="D49" s="132"/>
      <c r="E49" s="132"/>
      <c r="F49" s="133"/>
      <c r="G49" s="47">
        <v>2</v>
      </c>
      <c r="H49" s="47" t="s">
        <v>163</v>
      </c>
      <c r="I49" s="125" t="s">
        <v>164</v>
      </c>
      <c r="J49" s="126"/>
      <c r="K49" s="127"/>
      <c r="L49" s="47" t="s">
        <v>163</v>
      </c>
      <c r="M49" s="47" t="s">
        <v>163</v>
      </c>
      <c r="N49" s="101"/>
      <c r="O49" s="102"/>
      <c r="P49" s="102"/>
      <c r="Q49" s="102"/>
      <c r="R49" s="102"/>
      <c r="S49" s="103"/>
      <c r="T49" s="47"/>
      <c r="U49" s="47"/>
      <c r="V49" s="125"/>
      <c r="W49" s="126"/>
      <c r="X49" s="127"/>
      <c r="Y49" s="47"/>
      <c r="Z49" s="47"/>
    </row>
    <row r="50" spans="1:26" ht="18" customHeight="1" x14ac:dyDescent="0.15">
      <c r="A50" s="21"/>
      <c r="B50" s="134"/>
      <c r="C50" s="135"/>
      <c r="D50" s="135"/>
      <c r="E50" s="135"/>
      <c r="F50" s="136"/>
      <c r="G50" s="48"/>
      <c r="H50" s="48"/>
      <c r="I50" s="128"/>
      <c r="J50" s="129"/>
      <c r="K50" s="130"/>
      <c r="L50" s="48"/>
      <c r="M50" s="48"/>
      <c r="N50" s="109"/>
      <c r="O50" s="110"/>
      <c r="P50" s="110"/>
      <c r="Q50" s="110"/>
      <c r="R50" s="110"/>
      <c r="S50" s="111"/>
      <c r="T50" s="48"/>
      <c r="U50" s="48"/>
      <c r="V50" s="128"/>
      <c r="W50" s="129"/>
      <c r="X50" s="130"/>
      <c r="Y50" s="48"/>
      <c r="Z50" s="48"/>
    </row>
    <row r="51" spans="1:26" ht="18" customHeight="1" x14ac:dyDescent="0.15">
      <c r="A51" s="21"/>
      <c r="B51" s="134"/>
      <c r="C51" s="135"/>
      <c r="D51" s="135"/>
      <c r="E51" s="135"/>
      <c r="F51" s="136"/>
      <c r="G51" s="48"/>
      <c r="H51" s="48"/>
      <c r="I51" s="128"/>
      <c r="J51" s="129"/>
      <c r="K51" s="130"/>
      <c r="L51" s="48"/>
      <c r="M51" s="48"/>
      <c r="N51" s="109"/>
      <c r="O51" s="110"/>
      <c r="P51" s="110"/>
      <c r="Q51" s="110"/>
      <c r="R51" s="110"/>
      <c r="S51" s="111"/>
      <c r="T51" s="48"/>
      <c r="U51" s="48"/>
      <c r="V51" s="128"/>
      <c r="W51" s="129"/>
      <c r="X51" s="130"/>
      <c r="Y51" s="48"/>
      <c r="Z51" s="48"/>
    </row>
    <row r="52" spans="1:26" ht="18" customHeight="1" x14ac:dyDescent="0.15">
      <c r="A52" s="21"/>
      <c r="B52" s="134"/>
      <c r="C52" s="135"/>
      <c r="D52" s="135"/>
      <c r="E52" s="135"/>
      <c r="F52" s="136"/>
      <c r="G52" s="48"/>
      <c r="H52" s="48"/>
      <c r="I52" s="128"/>
      <c r="J52" s="129"/>
      <c r="K52" s="130"/>
      <c r="L52" s="48"/>
      <c r="M52" s="48"/>
      <c r="N52" s="109"/>
      <c r="O52" s="110"/>
      <c r="P52" s="110"/>
      <c r="Q52" s="110"/>
      <c r="R52" s="110"/>
      <c r="S52" s="111"/>
      <c r="T52" s="48"/>
      <c r="U52" s="48"/>
      <c r="V52" s="128"/>
      <c r="W52" s="129"/>
      <c r="X52" s="130"/>
      <c r="Y52" s="48"/>
      <c r="Z52" s="48"/>
    </row>
    <row r="53" spans="1:26" ht="18" customHeight="1" x14ac:dyDescent="0.15">
      <c r="A53" s="21"/>
      <c r="B53" s="134"/>
      <c r="C53" s="135"/>
      <c r="D53" s="135"/>
      <c r="E53" s="135"/>
      <c r="F53" s="136"/>
      <c r="G53" s="48"/>
      <c r="H53" s="48"/>
      <c r="I53" s="128"/>
      <c r="J53" s="129"/>
      <c r="K53" s="130"/>
      <c r="L53" s="48"/>
      <c r="M53" s="48"/>
      <c r="N53" s="109"/>
      <c r="O53" s="110"/>
      <c r="P53" s="110"/>
      <c r="Q53" s="110"/>
      <c r="R53" s="110"/>
      <c r="S53" s="111"/>
      <c r="T53" s="48"/>
      <c r="U53" s="48"/>
      <c r="V53" s="128"/>
      <c r="W53" s="129"/>
      <c r="X53" s="130"/>
      <c r="Y53" s="48"/>
      <c r="Z53" s="48"/>
    </row>
    <row r="54" spans="1:26" ht="18" customHeight="1" x14ac:dyDescent="0.15">
      <c r="A54" s="21"/>
      <c r="B54" s="134"/>
      <c r="C54" s="135"/>
      <c r="D54" s="135"/>
      <c r="E54" s="135"/>
      <c r="F54" s="136"/>
      <c r="G54" s="48"/>
      <c r="H54" s="48"/>
      <c r="I54" s="128"/>
      <c r="J54" s="129"/>
      <c r="K54" s="130"/>
      <c r="L54" s="48"/>
      <c r="M54" s="48"/>
      <c r="N54" s="109"/>
      <c r="O54" s="110"/>
      <c r="P54" s="110"/>
      <c r="Q54" s="110"/>
      <c r="R54" s="110"/>
      <c r="S54" s="111"/>
      <c r="T54" s="48"/>
      <c r="U54" s="48"/>
      <c r="V54" s="128"/>
      <c r="W54" s="129"/>
      <c r="X54" s="130"/>
      <c r="Y54" s="48"/>
      <c r="Z54" s="48"/>
    </row>
    <row r="55" spans="1:26" ht="18" customHeight="1" x14ac:dyDescent="0.15">
      <c r="A55" s="21"/>
      <c r="B55" s="141"/>
      <c r="C55" s="142"/>
      <c r="D55" s="142"/>
      <c r="E55" s="142"/>
      <c r="F55" s="143"/>
      <c r="G55" s="49"/>
      <c r="H55" s="49"/>
      <c r="I55" s="137"/>
      <c r="J55" s="138"/>
      <c r="K55" s="139"/>
      <c r="L55" s="54"/>
      <c r="M55" s="54"/>
      <c r="N55" s="158"/>
      <c r="O55" s="159"/>
      <c r="P55" s="159"/>
      <c r="Q55" s="159"/>
      <c r="R55" s="159"/>
      <c r="S55" s="160"/>
      <c r="T55" s="49"/>
      <c r="U55" s="49"/>
      <c r="V55" s="137"/>
      <c r="W55" s="138"/>
      <c r="X55" s="139"/>
      <c r="Y55" s="54"/>
      <c r="Z55" s="54"/>
    </row>
    <row r="56" spans="1:26" ht="7.5" customHeight="1" x14ac:dyDescent="0.15">
      <c r="B56" s="32"/>
      <c r="C56" s="32"/>
      <c r="D56" s="32"/>
      <c r="E56" s="32"/>
      <c r="F56" s="32"/>
      <c r="G56" s="32"/>
      <c r="H56" s="32"/>
      <c r="I56" s="32"/>
      <c r="J56" s="32"/>
      <c r="K56" s="32"/>
      <c r="L56" s="32"/>
      <c r="M56" s="32"/>
      <c r="N56" s="32"/>
      <c r="O56" s="32"/>
      <c r="P56" s="32"/>
      <c r="Q56" s="32"/>
      <c r="R56" s="32"/>
      <c r="S56" s="32"/>
      <c r="T56" s="32"/>
      <c r="U56" s="32"/>
      <c r="V56" s="32"/>
      <c r="W56" s="32"/>
      <c r="X56" s="32"/>
      <c r="Y56" s="32"/>
    </row>
    <row r="57" spans="1:26" ht="18" customHeight="1" x14ac:dyDescent="0.15">
      <c r="A57" s="140" t="s">
        <v>127</v>
      </c>
      <c r="B57" s="140"/>
      <c r="C57" s="140"/>
      <c r="D57" s="140"/>
      <c r="E57" s="140"/>
      <c r="F57" s="140"/>
      <c r="G57" s="140"/>
      <c r="H57" s="140"/>
      <c r="I57" s="140"/>
      <c r="J57" s="140"/>
      <c r="K57" s="140"/>
      <c r="L57" s="140"/>
      <c r="M57" s="140"/>
      <c r="N57" s="140"/>
      <c r="O57" s="140"/>
      <c r="P57" s="140"/>
      <c r="Q57" s="140"/>
      <c r="R57" s="140"/>
      <c r="S57" s="140"/>
      <c r="T57" s="140"/>
      <c r="U57" s="140"/>
      <c r="V57" s="140"/>
      <c r="W57" s="140"/>
      <c r="X57" s="140"/>
      <c r="Y57" s="140"/>
      <c r="Z57" s="140"/>
    </row>
    <row r="58" spans="1:26" ht="18" customHeight="1" x14ac:dyDescent="0.15">
      <c r="A58" s="140"/>
      <c r="B58" s="140"/>
      <c r="C58" s="140"/>
      <c r="D58" s="140"/>
      <c r="E58" s="140"/>
      <c r="F58" s="140"/>
      <c r="G58" s="140"/>
      <c r="H58" s="140"/>
      <c r="I58" s="140"/>
      <c r="J58" s="140"/>
      <c r="K58" s="140"/>
      <c r="L58" s="140"/>
      <c r="M58" s="140"/>
      <c r="N58" s="140"/>
      <c r="O58" s="140"/>
      <c r="P58" s="140"/>
      <c r="Q58" s="140"/>
      <c r="R58" s="140"/>
      <c r="S58" s="140"/>
      <c r="T58" s="140"/>
      <c r="U58" s="140"/>
      <c r="V58" s="140"/>
      <c r="W58" s="140"/>
      <c r="X58" s="140"/>
      <c r="Y58" s="140"/>
      <c r="Z58" s="140"/>
    </row>
    <row r="59" spans="1:26" ht="18" customHeight="1" x14ac:dyDescent="0.15">
      <c r="A59" s="7"/>
      <c r="B59" s="92" t="s">
        <v>94</v>
      </c>
      <c r="C59" s="93"/>
      <c r="D59" s="93"/>
      <c r="E59" s="94"/>
      <c r="F59" s="22" t="s">
        <v>135</v>
      </c>
      <c r="G59" s="46" t="s">
        <v>134</v>
      </c>
      <c r="H59" s="41" t="s">
        <v>95</v>
      </c>
      <c r="I59" s="42"/>
      <c r="J59" s="43"/>
      <c r="K59" s="30" t="s">
        <v>99</v>
      </c>
      <c r="L59" s="30" t="s">
        <v>128</v>
      </c>
      <c r="M59" s="30" t="s">
        <v>129</v>
      </c>
      <c r="N59" s="92" t="s">
        <v>94</v>
      </c>
      <c r="O59" s="93"/>
      <c r="P59" s="93"/>
      <c r="Q59" s="93"/>
      <c r="R59" s="94"/>
      <c r="S59" s="22" t="s">
        <v>135</v>
      </c>
      <c r="T59" s="46" t="s">
        <v>134</v>
      </c>
      <c r="U59" s="41" t="s">
        <v>95</v>
      </c>
      <c r="V59" s="42"/>
      <c r="W59" s="43"/>
      <c r="X59" s="30" t="s">
        <v>99</v>
      </c>
      <c r="Y59" s="30" t="s">
        <v>128</v>
      </c>
      <c r="Z59" s="30" t="s">
        <v>129</v>
      </c>
    </row>
    <row r="60" spans="1:26" ht="18" customHeight="1" x14ac:dyDescent="0.15">
      <c r="A60" s="21"/>
      <c r="B60" s="101" t="s">
        <v>165</v>
      </c>
      <c r="C60" s="102"/>
      <c r="D60" s="102"/>
      <c r="E60" s="103"/>
      <c r="F60" s="47">
        <v>2</v>
      </c>
      <c r="G60" s="47" t="s">
        <v>163</v>
      </c>
      <c r="H60" s="125" t="s">
        <v>164</v>
      </c>
      <c r="I60" s="126"/>
      <c r="J60" s="127"/>
      <c r="K60" s="53" t="s">
        <v>167</v>
      </c>
      <c r="L60" s="47" t="s">
        <v>163</v>
      </c>
      <c r="M60" s="47" t="s">
        <v>163</v>
      </c>
      <c r="N60" s="101"/>
      <c r="O60" s="102"/>
      <c r="P60" s="102"/>
      <c r="Q60" s="102"/>
      <c r="R60" s="103"/>
      <c r="S60" s="47"/>
      <c r="T60" s="47"/>
      <c r="U60" s="125"/>
      <c r="V60" s="126"/>
      <c r="W60" s="127"/>
      <c r="X60" s="53"/>
      <c r="Y60" s="47"/>
      <c r="Z60" s="47"/>
    </row>
    <row r="61" spans="1:26" ht="18" customHeight="1" x14ac:dyDescent="0.15">
      <c r="A61" s="21"/>
      <c r="B61" s="109" t="s">
        <v>166</v>
      </c>
      <c r="C61" s="110"/>
      <c r="D61" s="110"/>
      <c r="E61" s="111"/>
      <c r="F61" s="48">
        <v>2</v>
      </c>
      <c r="G61" s="48" t="s">
        <v>163</v>
      </c>
      <c r="H61" s="128" t="s">
        <v>164</v>
      </c>
      <c r="I61" s="129"/>
      <c r="J61" s="130"/>
      <c r="K61" s="51"/>
      <c r="L61" s="48"/>
      <c r="M61" s="48" t="s">
        <v>163</v>
      </c>
      <c r="N61" s="109"/>
      <c r="O61" s="110"/>
      <c r="P61" s="110"/>
      <c r="Q61" s="110"/>
      <c r="R61" s="111"/>
      <c r="S61" s="48"/>
      <c r="T61" s="48"/>
      <c r="U61" s="128"/>
      <c r="V61" s="129"/>
      <c r="W61" s="130"/>
      <c r="X61" s="51"/>
      <c r="Y61" s="48"/>
      <c r="Z61" s="48"/>
    </row>
    <row r="62" spans="1:26" ht="18" customHeight="1" x14ac:dyDescent="0.15">
      <c r="A62" s="21"/>
      <c r="B62" s="109"/>
      <c r="C62" s="110"/>
      <c r="D62" s="110"/>
      <c r="E62" s="111"/>
      <c r="F62" s="48"/>
      <c r="G62" s="48"/>
      <c r="H62" s="128"/>
      <c r="I62" s="129"/>
      <c r="J62" s="130"/>
      <c r="K62" s="51"/>
      <c r="L62" s="48"/>
      <c r="M62" s="48"/>
      <c r="N62" s="109"/>
      <c r="O62" s="110"/>
      <c r="P62" s="110"/>
      <c r="Q62" s="110"/>
      <c r="R62" s="111"/>
      <c r="S62" s="48"/>
      <c r="T62" s="48"/>
      <c r="U62" s="128"/>
      <c r="V62" s="129"/>
      <c r="W62" s="130"/>
      <c r="X62" s="51"/>
      <c r="Y62" s="48"/>
      <c r="Z62" s="48"/>
    </row>
    <row r="63" spans="1:26" ht="18" customHeight="1" x14ac:dyDescent="0.15">
      <c r="A63" s="21"/>
      <c r="B63" s="109"/>
      <c r="C63" s="110"/>
      <c r="D63" s="110"/>
      <c r="E63" s="111"/>
      <c r="F63" s="48"/>
      <c r="G63" s="48"/>
      <c r="H63" s="128"/>
      <c r="I63" s="129"/>
      <c r="J63" s="130"/>
      <c r="K63" s="51"/>
      <c r="L63" s="48"/>
      <c r="M63" s="48"/>
      <c r="N63" s="109"/>
      <c r="O63" s="110"/>
      <c r="P63" s="110"/>
      <c r="Q63" s="110"/>
      <c r="R63" s="111"/>
      <c r="S63" s="48"/>
      <c r="T63" s="48"/>
      <c r="U63" s="128"/>
      <c r="V63" s="129"/>
      <c r="W63" s="130"/>
      <c r="X63" s="51"/>
      <c r="Y63" s="48"/>
      <c r="Z63" s="48"/>
    </row>
    <row r="64" spans="1:26" ht="18" customHeight="1" x14ac:dyDescent="0.15">
      <c r="A64" s="21"/>
      <c r="B64" s="109"/>
      <c r="C64" s="110"/>
      <c r="D64" s="110"/>
      <c r="E64" s="111"/>
      <c r="F64" s="48"/>
      <c r="G64" s="48"/>
      <c r="H64" s="128"/>
      <c r="I64" s="129"/>
      <c r="J64" s="130"/>
      <c r="K64" s="51"/>
      <c r="L64" s="48"/>
      <c r="M64" s="48"/>
      <c r="N64" s="109"/>
      <c r="O64" s="110"/>
      <c r="P64" s="110"/>
      <c r="Q64" s="110"/>
      <c r="R64" s="111"/>
      <c r="S64" s="48"/>
      <c r="T64" s="48"/>
      <c r="U64" s="128"/>
      <c r="V64" s="129"/>
      <c r="W64" s="130"/>
      <c r="X64" s="51"/>
      <c r="Y64" s="48"/>
      <c r="Z64" s="48"/>
    </row>
    <row r="65" spans="1:26" ht="18" customHeight="1" x14ac:dyDescent="0.15">
      <c r="A65" s="21"/>
      <c r="B65" s="109"/>
      <c r="C65" s="110"/>
      <c r="D65" s="110"/>
      <c r="E65" s="111"/>
      <c r="F65" s="48"/>
      <c r="G65" s="48"/>
      <c r="H65" s="128"/>
      <c r="I65" s="129"/>
      <c r="J65" s="130"/>
      <c r="K65" s="51"/>
      <c r="L65" s="48"/>
      <c r="M65" s="48"/>
      <c r="N65" s="109"/>
      <c r="O65" s="110"/>
      <c r="P65" s="110"/>
      <c r="Q65" s="110"/>
      <c r="R65" s="111"/>
      <c r="S65" s="48"/>
      <c r="T65" s="48"/>
      <c r="U65" s="128"/>
      <c r="V65" s="129"/>
      <c r="W65" s="130"/>
      <c r="X65" s="51"/>
      <c r="Y65" s="48"/>
      <c r="Z65" s="48"/>
    </row>
    <row r="66" spans="1:26" ht="18" customHeight="1" x14ac:dyDescent="0.15">
      <c r="A66" s="21"/>
      <c r="B66" s="158"/>
      <c r="C66" s="159"/>
      <c r="D66" s="159"/>
      <c r="E66" s="160"/>
      <c r="F66" s="49"/>
      <c r="G66" s="49"/>
      <c r="H66" s="137"/>
      <c r="I66" s="138"/>
      <c r="J66" s="139"/>
      <c r="K66" s="52"/>
      <c r="L66" s="54"/>
      <c r="M66" s="54"/>
      <c r="N66" s="158"/>
      <c r="O66" s="159"/>
      <c r="P66" s="159"/>
      <c r="Q66" s="159"/>
      <c r="R66" s="160"/>
      <c r="S66" s="49"/>
      <c r="T66" s="49"/>
      <c r="U66" s="137"/>
      <c r="V66" s="138"/>
      <c r="W66" s="139"/>
      <c r="X66" s="52"/>
      <c r="Y66" s="54"/>
      <c r="Z66" s="54"/>
    </row>
    <row r="67" spans="1:26" ht="7.5" customHeight="1" x14ac:dyDescent="0.15">
      <c r="B67" s="32"/>
      <c r="C67" s="32"/>
      <c r="D67" s="32"/>
      <c r="E67" s="32"/>
      <c r="F67" s="32"/>
      <c r="G67" s="32"/>
      <c r="H67" s="32"/>
      <c r="I67" s="32"/>
      <c r="J67" s="32"/>
      <c r="K67" s="32"/>
      <c r="L67" s="32"/>
      <c r="M67" s="32"/>
      <c r="N67" s="32"/>
      <c r="O67" s="32"/>
      <c r="P67" s="32"/>
      <c r="Q67" s="32"/>
      <c r="R67" s="32"/>
      <c r="S67" s="32"/>
      <c r="T67" s="32"/>
      <c r="U67" s="32"/>
      <c r="V67" s="32"/>
      <c r="W67" s="32"/>
      <c r="X67" s="32"/>
      <c r="Y67" s="32"/>
    </row>
    <row r="68" spans="1:26" ht="18" customHeight="1" x14ac:dyDescent="0.15">
      <c r="A68" s="7" t="s">
        <v>130</v>
      </c>
      <c r="B68" s="7"/>
      <c r="C68" s="7"/>
      <c r="D68" s="7"/>
      <c r="E68" s="7"/>
      <c r="F68" s="7"/>
      <c r="G68" s="7"/>
      <c r="H68" s="7"/>
      <c r="I68" s="7"/>
      <c r="J68" s="7"/>
      <c r="K68" s="7"/>
      <c r="L68" s="21"/>
      <c r="M68" s="21"/>
      <c r="N68" s="21"/>
      <c r="O68" s="21"/>
      <c r="P68" s="21"/>
      <c r="Q68" s="21"/>
      <c r="R68" s="21"/>
      <c r="S68" s="21"/>
      <c r="T68" s="21"/>
      <c r="U68" s="21"/>
      <c r="V68" s="21"/>
      <c r="W68" s="21"/>
      <c r="X68" s="21"/>
      <c r="Y68" s="21"/>
      <c r="Z68" s="21"/>
    </row>
    <row r="69" spans="1:26" ht="18" customHeight="1" x14ac:dyDescent="0.15">
      <c r="A69" s="7"/>
      <c r="B69" s="92" t="s">
        <v>94</v>
      </c>
      <c r="C69" s="93"/>
      <c r="D69" s="93"/>
      <c r="E69" s="93"/>
      <c r="F69" s="94"/>
      <c r="G69" s="92" t="s">
        <v>140</v>
      </c>
      <c r="H69" s="93"/>
      <c r="I69" s="93"/>
      <c r="J69" s="93"/>
      <c r="K69" s="93"/>
      <c r="L69" s="93"/>
      <c r="M69" s="94"/>
      <c r="N69" s="164" t="s">
        <v>94</v>
      </c>
      <c r="O69" s="165"/>
      <c r="P69" s="165"/>
      <c r="Q69" s="165"/>
      <c r="R69" s="165"/>
      <c r="S69" s="166"/>
      <c r="T69" s="92" t="s">
        <v>140</v>
      </c>
      <c r="U69" s="93"/>
      <c r="V69" s="93"/>
      <c r="W69" s="93"/>
      <c r="X69" s="93"/>
      <c r="Y69" s="93"/>
      <c r="Z69" s="94"/>
    </row>
    <row r="70" spans="1:26" ht="18" customHeight="1" x14ac:dyDescent="0.15">
      <c r="A70" s="21"/>
      <c r="B70" s="101"/>
      <c r="C70" s="102"/>
      <c r="D70" s="102"/>
      <c r="E70" s="102"/>
      <c r="F70" s="103"/>
      <c r="G70" s="104"/>
      <c r="H70" s="105"/>
      <c r="I70" s="105"/>
      <c r="J70" s="105"/>
      <c r="K70" s="105"/>
      <c r="L70" s="105"/>
      <c r="M70" s="106"/>
      <c r="N70" s="101"/>
      <c r="O70" s="102"/>
      <c r="P70" s="102"/>
      <c r="Q70" s="102"/>
      <c r="R70" s="102"/>
      <c r="S70" s="103"/>
      <c r="T70" s="104"/>
      <c r="U70" s="105"/>
      <c r="V70" s="105"/>
      <c r="W70" s="105"/>
      <c r="X70" s="105"/>
      <c r="Y70" s="105"/>
      <c r="Z70" s="106"/>
    </row>
    <row r="71" spans="1:26" ht="18" customHeight="1" x14ac:dyDescent="0.15">
      <c r="A71" s="21"/>
      <c r="B71" s="109"/>
      <c r="C71" s="110"/>
      <c r="D71" s="110"/>
      <c r="E71" s="110"/>
      <c r="F71" s="111"/>
      <c r="G71" s="112"/>
      <c r="H71" s="113"/>
      <c r="I71" s="113"/>
      <c r="J71" s="113"/>
      <c r="K71" s="113"/>
      <c r="L71" s="113"/>
      <c r="M71" s="114"/>
      <c r="N71" s="109"/>
      <c r="O71" s="110"/>
      <c r="P71" s="110"/>
      <c r="Q71" s="110"/>
      <c r="R71" s="110"/>
      <c r="S71" s="111"/>
      <c r="T71" s="112"/>
      <c r="U71" s="113"/>
      <c r="V71" s="113"/>
      <c r="W71" s="113"/>
      <c r="X71" s="113"/>
      <c r="Y71" s="113"/>
      <c r="Z71" s="114"/>
    </row>
    <row r="72" spans="1:26" ht="18" customHeight="1" x14ac:dyDescent="0.15">
      <c r="A72" s="21"/>
      <c r="B72" s="109"/>
      <c r="C72" s="110"/>
      <c r="D72" s="110"/>
      <c r="E72" s="110"/>
      <c r="F72" s="111"/>
      <c r="G72" s="112"/>
      <c r="H72" s="113"/>
      <c r="I72" s="113"/>
      <c r="J72" s="113"/>
      <c r="K72" s="113"/>
      <c r="L72" s="113"/>
      <c r="M72" s="114"/>
      <c r="N72" s="109"/>
      <c r="O72" s="110"/>
      <c r="P72" s="110"/>
      <c r="Q72" s="110"/>
      <c r="R72" s="110"/>
      <c r="S72" s="111"/>
      <c r="T72" s="112"/>
      <c r="U72" s="113"/>
      <c r="V72" s="113"/>
      <c r="W72" s="113"/>
      <c r="X72" s="113"/>
      <c r="Y72" s="113"/>
      <c r="Z72" s="114"/>
    </row>
    <row r="73" spans="1:26" ht="18" customHeight="1" x14ac:dyDescent="0.15">
      <c r="A73" s="21"/>
      <c r="B73" s="109"/>
      <c r="C73" s="110"/>
      <c r="D73" s="110"/>
      <c r="E73" s="110"/>
      <c r="F73" s="111"/>
      <c r="G73" s="112"/>
      <c r="H73" s="113"/>
      <c r="I73" s="113"/>
      <c r="J73" s="113"/>
      <c r="K73" s="113"/>
      <c r="L73" s="113"/>
      <c r="M73" s="114"/>
      <c r="N73" s="109"/>
      <c r="O73" s="110"/>
      <c r="P73" s="110"/>
      <c r="Q73" s="110"/>
      <c r="R73" s="110"/>
      <c r="S73" s="111"/>
      <c r="T73" s="112"/>
      <c r="U73" s="113"/>
      <c r="V73" s="113"/>
      <c r="W73" s="113"/>
      <c r="X73" s="113"/>
      <c r="Y73" s="113"/>
      <c r="Z73" s="114"/>
    </row>
    <row r="74" spans="1:26" ht="18" customHeight="1" x14ac:dyDescent="0.15">
      <c r="A74" s="21"/>
      <c r="B74" s="109"/>
      <c r="C74" s="110"/>
      <c r="D74" s="110"/>
      <c r="E74" s="110"/>
      <c r="F74" s="111"/>
      <c r="G74" s="112"/>
      <c r="H74" s="113"/>
      <c r="I74" s="113"/>
      <c r="J74" s="113"/>
      <c r="K74" s="113"/>
      <c r="L74" s="113"/>
      <c r="M74" s="114"/>
      <c r="N74" s="109"/>
      <c r="O74" s="110"/>
      <c r="P74" s="110"/>
      <c r="Q74" s="110"/>
      <c r="R74" s="110"/>
      <c r="S74" s="111"/>
      <c r="T74" s="112"/>
      <c r="U74" s="113"/>
      <c r="V74" s="113"/>
      <c r="W74" s="113"/>
      <c r="X74" s="113"/>
      <c r="Y74" s="113"/>
      <c r="Z74" s="114"/>
    </row>
    <row r="75" spans="1:26" ht="18" customHeight="1" x14ac:dyDescent="0.15">
      <c r="A75" s="21"/>
      <c r="B75" s="109"/>
      <c r="C75" s="110"/>
      <c r="D75" s="110"/>
      <c r="E75" s="110"/>
      <c r="F75" s="111"/>
      <c r="G75" s="112"/>
      <c r="H75" s="113"/>
      <c r="I75" s="113"/>
      <c r="J75" s="113"/>
      <c r="K75" s="113"/>
      <c r="L75" s="113"/>
      <c r="M75" s="114"/>
      <c r="N75" s="109"/>
      <c r="O75" s="110"/>
      <c r="P75" s="110"/>
      <c r="Q75" s="110"/>
      <c r="R75" s="110"/>
      <c r="S75" s="111"/>
      <c r="T75" s="112"/>
      <c r="U75" s="113"/>
      <c r="V75" s="113"/>
      <c r="W75" s="113"/>
      <c r="X75" s="113"/>
      <c r="Y75" s="113"/>
      <c r="Z75" s="114"/>
    </row>
    <row r="76" spans="1:26" ht="18" customHeight="1" x14ac:dyDescent="0.15">
      <c r="A76" s="21"/>
      <c r="B76" s="158"/>
      <c r="C76" s="159"/>
      <c r="D76" s="159"/>
      <c r="E76" s="159"/>
      <c r="F76" s="160"/>
      <c r="G76" s="161"/>
      <c r="H76" s="162"/>
      <c r="I76" s="162"/>
      <c r="J76" s="162"/>
      <c r="K76" s="162"/>
      <c r="L76" s="162"/>
      <c r="M76" s="163"/>
      <c r="N76" s="158"/>
      <c r="O76" s="159"/>
      <c r="P76" s="159"/>
      <c r="Q76" s="159"/>
      <c r="R76" s="159"/>
      <c r="S76" s="160"/>
      <c r="T76" s="161"/>
      <c r="U76" s="162"/>
      <c r="V76" s="162"/>
      <c r="W76" s="162"/>
      <c r="X76" s="162"/>
      <c r="Y76" s="162"/>
      <c r="Z76" s="163"/>
    </row>
    <row r="77" spans="1:26" ht="18" customHeight="1" x14ac:dyDescent="0.15">
      <c r="A77" s="21"/>
      <c r="B77" s="27"/>
      <c r="C77" s="27"/>
      <c r="D77" s="27"/>
      <c r="E77" s="27"/>
      <c r="F77" s="27"/>
      <c r="G77" s="5"/>
      <c r="H77" s="5"/>
      <c r="I77" s="5"/>
      <c r="J77" s="5"/>
      <c r="K77" s="5"/>
      <c r="L77" s="5"/>
      <c r="M77" s="5"/>
      <c r="N77" s="27"/>
      <c r="O77" s="27"/>
      <c r="P77" s="27"/>
      <c r="Q77" s="27"/>
      <c r="R77" s="27"/>
      <c r="S77" s="27"/>
      <c r="T77" s="5"/>
      <c r="U77" s="5"/>
      <c r="V77" s="5"/>
      <c r="W77" s="5"/>
      <c r="X77" s="5"/>
      <c r="Y77" s="5"/>
      <c r="Z77" s="5"/>
    </row>
    <row r="78" spans="1:26" ht="18.75" customHeight="1" x14ac:dyDescent="0.15">
      <c r="A78" s="6" t="s">
        <v>136</v>
      </c>
    </row>
    <row r="79" spans="1:26" ht="18.75" customHeight="1" x14ac:dyDescent="0.15">
      <c r="B79" s="33" t="s">
        <v>96</v>
      </c>
      <c r="C79" s="34"/>
      <c r="D79" s="123" t="s">
        <v>97</v>
      </c>
      <c r="E79" s="123"/>
      <c r="F79" s="123"/>
      <c r="G79" s="123"/>
      <c r="H79" s="123"/>
      <c r="I79" s="123"/>
      <c r="J79" s="123"/>
      <c r="K79" s="123"/>
      <c r="L79" s="123"/>
      <c r="M79" s="123"/>
      <c r="N79" s="123"/>
      <c r="O79" s="123"/>
      <c r="P79" s="123"/>
      <c r="Q79" s="123"/>
      <c r="R79" s="123"/>
      <c r="S79" s="123"/>
      <c r="T79" s="123"/>
      <c r="U79" s="123"/>
      <c r="V79" s="123"/>
      <c r="W79" s="123"/>
      <c r="X79" s="123"/>
      <c r="Y79" s="123"/>
      <c r="Z79" s="124"/>
    </row>
    <row r="80" spans="1:26" ht="78" customHeight="1" x14ac:dyDescent="0.15">
      <c r="B80" s="117" t="s">
        <v>103</v>
      </c>
      <c r="C80" s="38" t="s">
        <v>98</v>
      </c>
      <c r="D80" s="107" t="s">
        <v>172</v>
      </c>
      <c r="E80" s="107"/>
      <c r="F80" s="107"/>
      <c r="G80" s="107"/>
      <c r="H80" s="107"/>
      <c r="I80" s="107"/>
      <c r="J80" s="107"/>
      <c r="K80" s="107"/>
      <c r="L80" s="107"/>
      <c r="M80" s="107"/>
      <c r="N80" s="107"/>
      <c r="O80" s="107"/>
      <c r="P80" s="107"/>
      <c r="Q80" s="107"/>
      <c r="R80" s="107"/>
      <c r="S80" s="107"/>
      <c r="T80" s="107"/>
      <c r="U80" s="107"/>
      <c r="V80" s="107"/>
      <c r="W80" s="107"/>
      <c r="X80" s="107"/>
      <c r="Y80" s="107"/>
      <c r="Z80" s="108"/>
    </row>
    <row r="81" spans="1:26" ht="78" customHeight="1" x14ac:dyDescent="0.15">
      <c r="B81" s="118"/>
      <c r="C81" s="44" t="s">
        <v>131</v>
      </c>
      <c r="D81" s="107" t="s">
        <v>171</v>
      </c>
      <c r="E81" s="107"/>
      <c r="F81" s="107"/>
      <c r="G81" s="107"/>
      <c r="H81" s="107"/>
      <c r="I81" s="107"/>
      <c r="J81" s="107"/>
      <c r="K81" s="107"/>
      <c r="L81" s="107"/>
      <c r="M81" s="107"/>
      <c r="N81" s="107"/>
      <c r="O81" s="107"/>
      <c r="P81" s="107"/>
      <c r="Q81" s="107"/>
      <c r="R81" s="107"/>
      <c r="S81" s="107"/>
      <c r="T81" s="107"/>
      <c r="U81" s="107"/>
      <c r="V81" s="107"/>
      <c r="W81" s="107"/>
      <c r="X81" s="107"/>
      <c r="Y81" s="107"/>
      <c r="Z81" s="108"/>
    </row>
    <row r="82" spans="1:26" ht="78" customHeight="1" x14ac:dyDescent="0.15">
      <c r="B82" s="115" t="s">
        <v>104</v>
      </c>
      <c r="C82" s="35" t="s">
        <v>121</v>
      </c>
      <c r="D82" s="107" t="s">
        <v>201</v>
      </c>
      <c r="E82" s="107"/>
      <c r="F82" s="107"/>
      <c r="G82" s="107"/>
      <c r="H82" s="107"/>
      <c r="I82" s="107"/>
      <c r="J82" s="107"/>
      <c r="K82" s="107"/>
      <c r="L82" s="107"/>
      <c r="M82" s="107"/>
      <c r="N82" s="107"/>
      <c r="O82" s="107"/>
      <c r="P82" s="107"/>
      <c r="Q82" s="107"/>
      <c r="R82" s="107"/>
      <c r="S82" s="107"/>
      <c r="T82" s="107"/>
      <c r="U82" s="107"/>
      <c r="V82" s="107"/>
      <c r="W82" s="107"/>
      <c r="X82" s="107"/>
      <c r="Y82" s="107"/>
      <c r="Z82" s="108"/>
    </row>
    <row r="83" spans="1:26" ht="78" customHeight="1" x14ac:dyDescent="0.15">
      <c r="B83" s="116"/>
      <c r="C83" s="45" t="s">
        <v>122</v>
      </c>
      <c r="D83" s="155" t="s">
        <v>174</v>
      </c>
      <c r="E83" s="156"/>
      <c r="F83" s="156"/>
      <c r="G83" s="156"/>
      <c r="H83" s="156"/>
      <c r="I83" s="156"/>
      <c r="J83" s="156"/>
      <c r="K83" s="156"/>
      <c r="L83" s="156"/>
      <c r="M83" s="156"/>
      <c r="N83" s="156"/>
      <c r="O83" s="156"/>
      <c r="P83" s="156"/>
      <c r="Q83" s="156"/>
      <c r="R83" s="156"/>
      <c r="S83" s="156"/>
      <c r="T83" s="156"/>
      <c r="U83" s="156"/>
      <c r="V83" s="156"/>
      <c r="W83" s="156"/>
      <c r="X83" s="156"/>
      <c r="Y83" s="156"/>
      <c r="Z83" s="157"/>
    </row>
    <row r="84" spans="1:26" ht="66" customHeight="1" x14ac:dyDescent="0.15">
      <c r="B84" s="115" t="s">
        <v>105</v>
      </c>
      <c r="C84" s="35" t="s">
        <v>124</v>
      </c>
      <c r="D84" s="107" t="s">
        <v>168</v>
      </c>
      <c r="E84" s="107"/>
      <c r="F84" s="107"/>
      <c r="G84" s="107"/>
      <c r="H84" s="107"/>
      <c r="I84" s="107"/>
      <c r="J84" s="107"/>
      <c r="K84" s="107"/>
      <c r="L84" s="107"/>
      <c r="M84" s="107"/>
      <c r="N84" s="107"/>
      <c r="O84" s="107"/>
      <c r="P84" s="107"/>
      <c r="Q84" s="107"/>
      <c r="R84" s="107"/>
      <c r="S84" s="107"/>
      <c r="T84" s="107"/>
      <c r="U84" s="107"/>
      <c r="V84" s="107"/>
      <c r="W84" s="107"/>
      <c r="X84" s="107"/>
      <c r="Y84" s="107"/>
      <c r="Z84" s="108"/>
    </row>
    <row r="85" spans="1:26" ht="66" customHeight="1" x14ac:dyDescent="0.15">
      <c r="B85" s="116"/>
      <c r="C85" s="37" t="s">
        <v>125</v>
      </c>
      <c r="D85" s="107" t="s">
        <v>173</v>
      </c>
      <c r="E85" s="107"/>
      <c r="F85" s="107"/>
      <c r="G85" s="107"/>
      <c r="H85" s="107"/>
      <c r="I85" s="107"/>
      <c r="J85" s="107"/>
      <c r="K85" s="107"/>
      <c r="L85" s="107"/>
      <c r="M85" s="107"/>
      <c r="N85" s="107"/>
      <c r="O85" s="107"/>
      <c r="P85" s="107"/>
      <c r="Q85" s="107"/>
      <c r="R85" s="107"/>
      <c r="S85" s="107"/>
      <c r="T85" s="107"/>
      <c r="U85" s="107"/>
      <c r="V85" s="107"/>
      <c r="W85" s="107"/>
      <c r="X85" s="107"/>
      <c r="Y85" s="107"/>
      <c r="Z85" s="108"/>
    </row>
    <row r="86" spans="1:26" ht="66" customHeight="1" x14ac:dyDescent="0.15">
      <c r="B86" s="117" t="s">
        <v>132</v>
      </c>
      <c r="C86" s="38" t="s">
        <v>100</v>
      </c>
      <c r="D86" s="107" t="s">
        <v>169</v>
      </c>
      <c r="E86" s="107"/>
      <c r="F86" s="107"/>
      <c r="G86" s="107"/>
      <c r="H86" s="107"/>
      <c r="I86" s="107"/>
      <c r="J86" s="107"/>
      <c r="K86" s="107"/>
      <c r="L86" s="107"/>
      <c r="M86" s="107"/>
      <c r="N86" s="107"/>
      <c r="O86" s="107"/>
      <c r="P86" s="107"/>
      <c r="Q86" s="107"/>
      <c r="R86" s="107"/>
      <c r="S86" s="107"/>
      <c r="T86" s="107"/>
      <c r="U86" s="107"/>
      <c r="V86" s="107"/>
      <c r="W86" s="107"/>
      <c r="X86" s="107"/>
      <c r="Y86" s="107"/>
      <c r="Z86" s="108"/>
    </row>
    <row r="87" spans="1:26" ht="66" customHeight="1" x14ac:dyDescent="0.15">
      <c r="B87" s="122"/>
      <c r="C87" s="36" t="s">
        <v>102</v>
      </c>
      <c r="D87" s="107" t="s">
        <v>170</v>
      </c>
      <c r="E87" s="107"/>
      <c r="F87" s="107"/>
      <c r="G87" s="107"/>
      <c r="H87" s="107"/>
      <c r="I87" s="107"/>
      <c r="J87" s="107"/>
      <c r="K87" s="107"/>
      <c r="L87" s="107"/>
      <c r="M87" s="107"/>
      <c r="N87" s="107"/>
      <c r="O87" s="107"/>
      <c r="P87" s="107"/>
      <c r="Q87" s="107"/>
      <c r="R87" s="107"/>
      <c r="S87" s="107"/>
      <c r="T87" s="107"/>
      <c r="U87" s="107"/>
      <c r="V87" s="107"/>
      <c r="W87" s="107"/>
      <c r="X87" s="107"/>
      <c r="Y87" s="107"/>
      <c r="Z87" s="108"/>
    </row>
    <row r="88" spans="1:26" ht="66" customHeight="1" x14ac:dyDescent="0.15">
      <c r="B88" s="117" t="s">
        <v>133</v>
      </c>
      <c r="C88" s="35" t="s">
        <v>99</v>
      </c>
      <c r="D88" s="107" t="s">
        <v>175</v>
      </c>
      <c r="E88" s="107"/>
      <c r="F88" s="107"/>
      <c r="G88" s="107"/>
      <c r="H88" s="107"/>
      <c r="I88" s="107"/>
      <c r="J88" s="107"/>
      <c r="K88" s="107"/>
      <c r="L88" s="107"/>
      <c r="M88" s="107"/>
      <c r="N88" s="107"/>
      <c r="O88" s="107"/>
      <c r="P88" s="107"/>
      <c r="Q88" s="107"/>
      <c r="R88" s="107"/>
      <c r="S88" s="107"/>
      <c r="T88" s="107"/>
      <c r="U88" s="107"/>
      <c r="V88" s="107"/>
      <c r="W88" s="107"/>
      <c r="X88" s="107"/>
      <c r="Y88" s="107"/>
      <c r="Z88" s="108"/>
    </row>
    <row r="89" spans="1:26" ht="66" customHeight="1" x14ac:dyDescent="0.15">
      <c r="B89" s="118"/>
      <c r="C89" s="36" t="s">
        <v>128</v>
      </c>
      <c r="D89" s="107" t="s">
        <v>196</v>
      </c>
      <c r="E89" s="107"/>
      <c r="F89" s="107"/>
      <c r="G89" s="107"/>
      <c r="H89" s="107"/>
      <c r="I89" s="107"/>
      <c r="J89" s="107"/>
      <c r="K89" s="107"/>
      <c r="L89" s="107"/>
      <c r="M89" s="107"/>
      <c r="N89" s="107"/>
      <c r="O89" s="107"/>
      <c r="P89" s="107"/>
      <c r="Q89" s="107"/>
      <c r="R89" s="107"/>
      <c r="S89" s="107"/>
      <c r="T89" s="107"/>
      <c r="U89" s="107"/>
      <c r="V89" s="107"/>
      <c r="W89" s="107"/>
      <c r="X89" s="107"/>
      <c r="Y89" s="107"/>
      <c r="Z89" s="108"/>
    </row>
    <row r="90" spans="1:26" ht="66" customHeight="1" x14ac:dyDescent="0.15">
      <c r="B90" s="116"/>
      <c r="C90" s="37" t="s">
        <v>129</v>
      </c>
      <c r="D90" s="119" t="s">
        <v>197</v>
      </c>
      <c r="E90" s="120"/>
      <c r="F90" s="120"/>
      <c r="G90" s="120"/>
      <c r="H90" s="120"/>
      <c r="I90" s="120"/>
      <c r="J90" s="120"/>
      <c r="K90" s="120"/>
      <c r="L90" s="120"/>
      <c r="M90" s="120"/>
      <c r="N90" s="120"/>
      <c r="O90" s="120"/>
      <c r="P90" s="120"/>
      <c r="Q90" s="120"/>
      <c r="R90" s="120"/>
      <c r="S90" s="120"/>
      <c r="T90" s="120"/>
      <c r="U90" s="120"/>
      <c r="V90" s="120"/>
      <c r="W90" s="120"/>
      <c r="X90" s="120"/>
      <c r="Y90" s="120"/>
      <c r="Z90" s="121"/>
    </row>
    <row r="91" spans="1:26" ht="6" customHeight="1" x14ac:dyDescent="0.15"/>
    <row r="92" spans="1:26" ht="18.75" customHeight="1" x14ac:dyDescent="0.15">
      <c r="A92" s="6" t="s">
        <v>137</v>
      </c>
    </row>
    <row r="93" spans="1:26" ht="18.75" customHeight="1" x14ac:dyDescent="0.15">
      <c r="B93" s="167" t="s">
        <v>189</v>
      </c>
      <c r="C93" s="168"/>
      <c r="D93" s="168"/>
      <c r="E93" s="168"/>
      <c r="F93" s="168"/>
      <c r="G93" s="168"/>
      <c r="H93" s="168"/>
      <c r="I93" s="168"/>
      <c r="J93" s="168"/>
      <c r="K93" s="168"/>
      <c r="L93" s="168"/>
      <c r="M93" s="168"/>
      <c r="N93" s="168"/>
      <c r="O93" s="168"/>
      <c r="P93" s="168"/>
      <c r="Q93" s="168"/>
      <c r="R93" s="168"/>
      <c r="S93" s="168"/>
      <c r="T93" s="168"/>
      <c r="U93" s="168"/>
      <c r="V93" s="168"/>
      <c r="W93" s="168"/>
      <c r="X93" s="168"/>
      <c r="Y93" s="168"/>
      <c r="Z93" s="169"/>
    </row>
    <row r="94" spans="1:26" ht="18.75" customHeight="1" x14ac:dyDescent="0.15">
      <c r="B94" s="170"/>
      <c r="C94" s="171"/>
      <c r="D94" s="171"/>
      <c r="E94" s="171"/>
      <c r="F94" s="171"/>
      <c r="G94" s="171"/>
      <c r="H94" s="171"/>
      <c r="I94" s="171"/>
      <c r="J94" s="171"/>
      <c r="K94" s="171"/>
      <c r="L94" s="171"/>
      <c r="M94" s="171"/>
      <c r="N94" s="171"/>
      <c r="O94" s="171"/>
      <c r="P94" s="171"/>
      <c r="Q94" s="171"/>
      <c r="R94" s="171"/>
      <c r="S94" s="171"/>
      <c r="T94" s="171"/>
      <c r="U94" s="171"/>
      <c r="V94" s="171"/>
      <c r="W94" s="171"/>
      <c r="X94" s="171"/>
      <c r="Y94" s="171"/>
      <c r="Z94" s="172"/>
    </row>
    <row r="95" spans="1:26" ht="18.75" customHeight="1" x14ac:dyDescent="0.15">
      <c r="B95" s="173"/>
      <c r="C95" s="174"/>
      <c r="D95" s="174"/>
      <c r="E95" s="174"/>
      <c r="F95" s="174"/>
      <c r="G95" s="174"/>
      <c r="H95" s="174"/>
      <c r="I95" s="174"/>
      <c r="J95" s="174"/>
      <c r="K95" s="174"/>
      <c r="L95" s="174"/>
      <c r="M95" s="174"/>
      <c r="N95" s="174"/>
      <c r="O95" s="174"/>
      <c r="P95" s="174"/>
      <c r="Q95" s="174"/>
      <c r="R95" s="174"/>
      <c r="S95" s="174"/>
      <c r="T95" s="174"/>
      <c r="U95" s="174"/>
      <c r="V95" s="174"/>
      <c r="W95" s="174"/>
      <c r="X95" s="174"/>
      <c r="Y95" s="174"/>
      <c r="Z95" s="175"/>
    </row>
    <row r="96" spans="1:26" ht="6" customHeight="1" x14ac:dyDescent="0.15"/>
    <row r="97" spans="1:26" ht="15" customHeight="1" x14ac:dyDescent="0.15">
      <c r="A97" s="6" t="s">
        <v>138</v>
      </c>
    </row>
    <row r="98" spans="1:26" ht="15" customHeight="1" x14ac:dyDescent="0.15">
      <c r="B98" s="176" t="s">
        <v>194</v>
      </c>
      <c r="C98" s="177"/>
      <c r="D98" s="177"/>
      <c r="E98" s="177"/>
      <c r="F98" s="177"/>
      <c r="G98" s="177"/>
      <c r="H98" s="177"/>
      <c r="I98" s="177"/>
      <c r="J98" s="177"/>
      <c r="K98" s="177"/>
      <c r="L98" s="177"/>
      <c r="M98" s="177"/>
      <c r="N98" s="177"/>
      <c r="O98" s="177"/>
      <c r="P98" s="177"/>
      <c r="Q98" s="177"/>
      <c r="R98" s="177"/>
      <c r="S98" s="177"/>
      <c r="T98" s="177"/>
      <c r="U98" s="177"/>
      <c r="V98" s="177"/>
      <c r="W98" s="177"/>
      <c r="X98" s="177"/>
      <c r="Y98" s="177"/>
      <c r="Z98" s="178"/>
    </row>
  </sheetData>
  <mergeCells count="218">
    <mergeCell ref="N60:R60"/>
    <mergeCell ref="N61:R61"/>
    <mergeCell ref="N62:R62"/>
    <mergeCell ref="N63:R63"/>
    <mergeCell ref="N64:R64"/>
    <mergeCell ref="N65:R65"/>
    <mergeCell ref="N66:R66"/>
    <mergeCell ref="H64:J64"/>
    <mergeCell ref="H65:J65"/>
    <mergeCell ref="H66:J66"/>
    <mergeCell ref="N48:S48"/>
    <mergeCell ref="N49:S49"/>
    <mergeCell ref="N50:S50"/>
    <mergeCell ref="N51:S51"/>
    <mergeCell ref="N52:S52"/>
    <mergeCell ref="N53:S53"/>
    <mergeCell ref="N54:S54"/>
    <mergeCell ref="N55:S55"/>
    <mergeCell ref="B59:E59"/>
    <mergeCell ref="N59:R59"/>
    <mergeCell ref="B41:F41"/>
    <mergeCell ref="B42:F42"/>
    <mergeCell ref="B43:F43"/>
    <mergeCell ref="B44:F44"/>
    <mergeCell ref="N37:S37"/>
    <mergeCell ref="N38:S38"/>
    <mergeCell ref="N39:S39"/>
    <mergeCell ref="N40:S40"/>
    <mergeCell ref="N41:S41"/>
    <mergeCell ref="N42:S42"/>
    <mergeCell ref="N43:S43"/>
    <mergeCell ref="N44:S44"/>
    <mergeCell ref="I43:K43"/>
    <mergeCell ref="B29:F29"/>
    <mergeCell ref="B30:F30"/>
    <mergeCell ref="B31:F31"/>
    <mergeCell ref="B32:F32"/>
    <mergeCell ref="B33:F33"/>
    <mergeCell ref="N26:S26"/>
    <mergeCell ref="N27:S27"/>
    <mergeCell ref="N28:S28"/>
    <mergeCell ref="N29:S29"/>
    <mergeCell ref="N30:S30"/>
    <mergeCell ref="N31:S31"/>
    <mergeCell ref="N32:S32"/>
    <mergeCell ref="N33:S33"/>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D81:Z81"/>
    <mergeCell ref="D82:Z82"/>
    <mergeCell ref="D85:Z85"/>
    <mergeCell ref="D83:Z83"/>
    <mergeCell ref="D84:Z84"/>
    <mergeCell ref="B75:F75"/>
    <mergeCell ref="G75:M75"/>
    <mergeCell ref="N75:S75"/>
    <mergeCell ref="T75:Z75"/>
    <mergeCell ref="B76:F76"/>
    <mergeCell ref="G76:M76"/>
    <mergeCell ref="N76:S76"/>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26:X26"/>
    <mergeCell ref="V27:X27"/>
    <mergeCell ref="V28:X28"/>
    <mergeCell ref="I26:K26"/>
    <mergeCell ref="I27:K27"/>
    <mergeCell ref="I28:K28"/>
    <mergeCell ref="B26:F26"/>
    <mergeCell ref="B27:F27"/>
    <mergeCell ref="B28:F2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s>
  <phoneticPr fontId="1"/>
  <dataValidations count="4">
    <dataValidation type="list" allowBlank="1" showInputMessage="1" showErrorMessage="1" sqref="Y16:Z22 L16:M22 Y27:Z33 L27:M33 L38:M44 Y38:Z44 L49:M55 Y49:Z55 Y60:Z66 L60:M66 H16:H22 U16:U22 H27:H33 U27:U33 H38:H44 U38:U44 H49:H55 U49:U55 G60:G66 T60:T66">
      <formula1>"○"</formula1>
    </dataValidation>
    <dataValidation type="list" allowBlank="1" showInputMessage="1" showErrorMessage="1" sqref="Z23 Z34 D34:K34 D23:K23 V16:V22 I16:I22 V27:V33 I27:I33 V38:V44 I38:I44 V49:V55 I49:I55 U60:U66 H60:H66">
      <formula1>"全学開講,一部開講"</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printOptions horizontalCentered="1"/>
  <pageMargins left="0.78740157480314965" right="0.78740157480314965" top="0.59055118110236227" bottom="0.19685039370078741" header="0.31496062992125984" footer="0.19685039370078741"/>
  <pageSetup paperSize="9" scale="98" orientation="landscape" r:id="rId1"/>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0"/>
  <sheetViews>
    <sheetView showZeros="0" view="pageBreakPreview" zoomScaleNormal="100" zoomScaleSheetLayoutView="100" workbookViewId="0">
      <selection activeCell="W19" sqref="W19"/>
    </sheetView>
  </sheetViews>
  <sheetFormatPr defaultColWidth="9" defaultRowHeight="18.75" customHeight="1" x14ac:dyDescent="0.15"/>
  <cols>
    <col min="1" max="1" width="2.875" style="201" customWidth="1"/>
    <col min="2" max="2" width="30" style="201" customWidth="1"/>
    <col min="3" max="17" width="6.125" style="201" customWidth="1"/>
    <col min="18" max="18" width="6.625" style="201" customWidth="1"/>
    <col min="19" max="16384" width="9" style="201"/>
  </cols>
  <sheetData>
    <row r="1" spans="1:20" ht="18" customHeight="1" x14ac:dyDescent="0.15">
      <c r="F1" s="202" t="s">
        <v>63</v>
      </c>
      <c r="G1" s="202"/>
      <c r="H1" s="202"/>
      <c r="I1" s="202"/>
      <c r="J1" s="202"/>
      <c r="K1" s="202"/>
      <c r="L1" s="202"/>
      <c r="M1" s="202"/>
      <c r="N1" s="202"/>
      <c r="O1" s="202"/>
      <c r="P1" s="202"/>
      <c r="Q1" s="202"/>
      <c r="R1" s="202"/>
    </row>
    <row r="2" spans="1:20" ht="18" customHeight="1" x14ac:dyDescent="0.15">
      <c r="A2" s="203" t="s">
        <v>89</v>
      </c>
      <c r="B2" s="203"/>
      <c r="C2" s="203"/>
      <c r="D2" s="203"/>
      <c r="E2" s="203"/>
      <c r="F2" s="203"/>
      <c r="G2" s="203"/>
      <c r="H2" s="203"/>
      <c r="I2" s="203"/>
      <c r="J2" s="203"/>
      <c r="K2" s="203"/>
      <c r="L2" s="203"/>
      <c r="M2" s="203"/>
      <c r="N2" s="203"/>
      <c r="O2" s="203"/>
      <c r="P2" s="203"/>
      <c r="Q2" s="203"/>
      <c r="R2" s="203"/>
      <c r="S2" s="204"/>
    </row>
    <row r="3" spans="1:20" ht="7.5" customHeight="1" x14ac:dyDescent="0.15">
      <c r="A3" s="205"/>
      <c r="B3" s="205"/>
      <c r="C3" s="205"/>
      <c r="D3" s="205"/>
      <c r="E3" s="205"/>
      <c r="F3" s="205"/>
      <c r="G3" s="205"/>
      <c r="H3" s="205"/>
      <c r="I3" s="205"/>
      <c r="J3" s="205"/>
      <c r="K3" s="205"/>
      <c r="L3" s="205"/>
      <c r="M3" s="205"/>
      <c r="N3" s="205"/>
      <c r="O3" s="205"/>
      <c r="P3" s="205"/>
      <c r="Q3" s="205"/>
      <c r="R3" s="205"/>
    </row>
    <row r="4" spans="1:20" ht="18" customHeight="1" x14ac:dyDescent="0.15">
      <c r="A4" s="204" t="s">
        <v>141</v>
      </c>
      <c r="B4" s="204"/>
      <c r="C4" s="206">
        <v>2018</v>
      </c>
      <c r="D4" s="207"/>
      <c r="E4" s="205" t="s">
        <v>107</v>
      </c>
      <c r="F4" s="205"/>
      <c r="G4" s="205"/>
      <c r="H4" s="205"/>
      <c r="I4" s="205"/>
      <c r="J4" s="208"/>
      <c r="K4" s="205"/>
      <c r="L4" s="205"/>
      <c r="M4" s="209"/>
      <c r="N4" s="209"/>
      <c r="O4" s="209"/>
      <c r="P4" s="209"/>
      <c r="Q4" s="209"/>
      <c r="R4" s="209"/>
    </row>
    <row r="5" spans="1:20" ht="6" customHeight="1" x14ac:dyDescent="0.15">
      <c r="A5" s="205"/>
      <c r="B5" s="205"/>
      <c r="C5" s="205"/>
      <c r="D5" s="205"/>
      <c r="E5" s="205"/>
      <c r="F5" s="205"/>
      <c r="G5" s="205"/>
      <c r="H5" s="205"/>
      <c r="I5" s="205"/>
      <c r="J5" s="205"/>
      <c r="K5" s="205"/>
      <c r="L5" s="205"/>
      <c r="M5" s="205"/>
      <c r="N5" s="205"/>
      <c r="O5" s="205"/>
      <c r="P5" s="205"/>
      <c r="Q5" s="205"/>
      <c r="R5" s="205"/>
    </row>
    <row r="6" spans="1:20" ht="18" customHeight="1" x14ac:dyDescent="0.15">
      <c r="A6" s="204" t="s">
        <v>139</v>
      </c>
      <c r="B6" s="205"/>
      <c r="C6" s="205"/>
      <c r="D6" s="205"/>
      <c r="E6" s="205"/>
      <c r="F6" s="205"/>
      <c r="G6" s="205"/>
      <c r="H6" s="205"/>
      <c r="I6" s="205"/>
      <c r="J6" s="205"/>
      <c r="K6" s="205"/>
      <c r="L6" s="205"/>
      <c r="M6" s="205"/>
      <c r="N6" s="205"/>
      <c r="O6" s="205"/>
      <c r="P6" s="205"/>
      <c r="Q6" s="205"/>
      <c r="R6" s="205"/>
    </row>
    <row r="7" spans="1:20" ht="6" customHeight="1" x14ac:dyDescent="0.15">
      <c r="A7" s="204"/>
      <c r="B7" s="205"/>
      <c r="C7" s="205"/>
      <c r="D7" s="205"/>
      <c r="E7" s="205"/>
      <c r="F7" s="205"/>
      <c r="G7" s="205"/>
      <c r="H7" s="205"/>
      <c r="I7" s="205"/>
      <c r="J7" s="205"/>
      <c r="K7" s="205"/>
      <c r="L7" s="205"/>
      <c r="M7" s="205"/>
      <c r="N7" s="205"/>
      <c r="O7" s="205"/>
      <c r="P7" s="205"/>
      <c r="Q7" s="205"/>
      <c r="R7" s="205"/>
    </row>
    <row r="8" spans="1:20" ht="18" customHeight="1" x14ac:dyDescent="0.15">
      <c r="B8" s="210" t="s">
        <v>79</v>
      </c>
      <c r="C8" s="211" t="s">
        <v>84</v>
      </c>
      <c r="D8" s="212" t="s">
        <v>68</v>
      </c>
      <c r="E8" s="213" t="s">
        <v>202</v>
      </c>
      <c r="F8" s="213"/>
      <c r="G8" s="213" t="s">
        <v>190</v>
      </c>
      <c r="H8" s="213"/>
      <c r="I8" s="213" t="s">
        <v>191</v>
      </c>
      <c r="J8" s="213"/>
      <c r="K8" s="214" t="s">
        <v>192</v>
      </c>
      <c r="L8" s="215"/>
      <c r="M8" s="214"/>
      <c r="N8" s="215"/>
      <c r="O8" s="214"/>
      <c r="P8" s="215"/>
      <c r="Q8" s="216" t="s">
        <v>62</v>
      </c>
      <c r="R8" s="217" t="s">
        <v>56</v>
      </c>
      <c r="T8" s="218"/>
    </row>
    <row r="9" spans="1:20" ht="18" customHeight="1" x14ac:dyDescent="0.15">
      <c r="A9" s="204"/>
      <c r="B9" s="219"/>
      <c r="C9" s="220"/>
      <c r="D9" s="221"/>
      <c r="E9" s="222" t="s">
        <v>44</v>
      </c>
      <c r="F9" s="223" t="s">
        <v>43</v>
      </c>
      <c r="G9" s="224" t="s">
        <v>44</v>
      </c>
      <c r="H9" s="225" t="s">
        <v>43</v>
      </c>
      <c r="I9" s="222" t="s">
        <v>44</v>
      </c>
      <c r="J9" s="223" t="s">
        <v>43</v>
      </c>
      <c r="K9" s="224" t="s">
        <v>44</v>
      </c>
      <c r="L9" s="225" t="s">
        <v>43</v>
      </c>
      <c r="M9" s="222" t="s">
        <v>44</v>
      </c>
      <c r="N9" s="223" t="s">
        <v>43</v>
      </c>
      <c r="O9" s="224" t="s">
        <v>44</v>
      </c>
      <c r="P9" s="225" t="s">
        <v>43</v>
      </c>
      <c r="Q9" s="226"/>
      <c r="R9" s="227"/>
      <c r="T9" s="218"/>
    </row>
    <row r="10" spans="1:20" ht="18" customHeight="1" x14ac:dyDescent="0.15">
      <c r="A10" s="228"/>
      <c r="B10" s="229" t="s">
        <v>204</v>
      </c>
      <c r="C10" s="230">
        <v>120</v>
      </c>
      <c r="D10" s="231">
        <v>600</v>
      </c>
      <c r="E10" s="232">
        <v>124</v>
      </c>
      <c r="F10" s="233">
        <v>121</v>
      </c>
      <c r="G10" s="234">
        <v>125</v>
      </c>
      <c r="H10" s="235">
        <v>120</v>
      </c>
      <c r="I10" s="232">
        <v>121</v>
      </c>
      <c r="J10" s="233">
        <v>120</v>
      </c>
      <c r="K10" s="234">
        <v>133</v>
      </c>
      <c r="L10" s="235">
        <v>130</v>
      </c>
      <c r="M10" s="232"/>
      <c r="N10" s="233"/>
      <c r="O10" s="234"/>
      <c r="P10" s="235"/>
      <c r="Q10" s="236">
        <f>E10+G10+I10+K10+M10+O10</f>
        <v>503</v>
      </c>
      <c r="R10" s="237">
        <f>Q10/D10</f>
        <v>0.83833333333333337</v>
      </c>
    </row>
    <row r="11" spans="1:20" ht="18" customHeight="1" x14ac:dyDescent="0.15">
      <c r="A11" s="228"/>
      <c r="B11" s="229" t="s">
        <v>205</v>
      </c>
      <c r="C11" s="230">
        <v>40</v>
      </c>
      <c r="D11" s="231">
        <v>200</v>
      </c>
      <c r="E11" s="232">
        <v>43</v>
      </c>
      <c r="F11" s="233">
        <v>43</v>
      </c>
      <c r="G11" s="234">
        <v>37</v>
      </c>
      <c r="H11" s="235">
        <v>37</v>
      </c>
      <c r="I11" s="232">
        <v>39</v>
      </c>
      <c r="J11" s="233">
        <v>39</v>
      </c>
      <c r="K11" s="234">
        <v>40</v>
      </c>
      <c r="L11" s="235">
        <v>40</v>
      </c>
      <c r="M11" s="232"/>
      <c r="N11" s="233"/>
      <c r="O11" s="234"/>
      <c r="P11" s="235"/>
      <c r="Q11" s="238">
        <f t="shared" ref="Q11:Q29" si="0">E11+G11+I11+K11+M11+O11</f>
        <v>159</v>
      </c>
      <c r="R11" s="239">
        <f t="shared" ref="R11:R29" si="1">Q11/D11</f>
        <v>0.79500000000000004</v>
      </c>
    </row>
    <row r="12" spans="1:20" ht="18" customHeight="1" x14ac:dyDescent="0.15">
      <c r="A12" s="228"/>
      <c r="B12" s="229" t="s">
        <v>206</v>
      </c>
      <c r="C12" s="230">
        <v>40</v>
      </c>
      <c r="D12" s="231">
        <v>200</v>
      </c>
      <c r="E12" s="232">
        <v>33</v>
      </c>
      <c r="F12" s="233">
        <v>33</v>
      </c>
      <c r="G12" s="234">
        <v>37</v>
      </c>
      <c r="H12" s="235">
        <v>37</v>
      </c>
      <c r="I12" s="232">
        <v>39</v>
      </c>
      <c r="J12" s="233">
        <v>39</v>
      </c>
      <c r="K12" s="234">
        <v>25</v>
      </c>
      <c r="L12" s="235">
        <v>25</v>
      </c>
      <c r="M12" s="232"/>
      <c r="N12" s="233"/>
      <c r="O12" s="234"/>
      <c r="P12" s="235"/>
      <c r="Q12" s="238">
        <f t="shared" si="0"/>
        <v>134</v>
      </c>
      <c r="R12" s="239">
        <f t="shared" si="1"/>
        <v>0.67</v>
      </c>
    </row>
    <row r="13" spans="1:20" ht="18" customHeight="1" x14ac:dyDescent="0.15">
      <c r="A13" s="228"/>
      <c r="B13" s="229"/>
      <c r="C13" s="230"/>
      <c r="D13" s="231"/>
      <c r="E13" s="232"/>
      <c r="F13" s="233"/>
      <c r="G13" s="234"/>
      <c r="H13" s="235"/>
      <c r="I13" s="232"/>
      <c r="J13" s="233"/>
      <c r="K13" s="234"/>
      <c r="L13" s="235"/>
      <c r="M13" s="232"/>
      <c r="N13" s="233"/>
      <c r="O13" s="234"/>
      <c r="P13" s="235"/>
      <c r="Q13" s="238">
        <f t="shared" si="0"/>
        <v>0</v>
      </c>
      <c r="R13" s="239" t="e">
        <f t="shared" si="1"/>
        <v>#DIV/0!</v>
      </c>
    </row>
    <row r="14" spans="1:20" ht="18" customHeight="1" x14ac:dyDescent="0.15">
      <c r="A14" s="228"/>
      <c r="B14" s="229"/>
      <c r="C14" s="230"/>
      <c r="D14" s="231"/>
      <c r="E14" s="232"/>
      <c r="F14" s="233"/>
      <c r="G14" s="234"/>
      <c r="H14" s="235"/>
      <c r="I14" s="232"/>
      <c r="J14" s="233"/>
      <c r="K14" s="234"/>
      <c r="L14" s="235"/>
      <c r="M14" s="232"/>
      <c r="N14" s="233"/>
      <c r="O14" s="234"/>
      <c r="P14" s="235"/>
      <c r="Q14" s="238">
        <f t="shared" si="0"/>
        <v>0</v>
      </c>
      <c r="R14" s="239" t="e">
        <f t="shared" si="1"/>
        <v>#DIV/0!</v>
      </c>
    </row>
    <row r="15" spans="1:20" ht="18" customHeight="1" x14ac:dyDescent="0.15">
      <c r="A15" s="228"/>
      <c r="B15" s="229"/>
      <c r="C15" s="230"/>
      <c r="D15" s="231"/>
      <c r="E15" s="232"/>
      <c r="F15" s="233"/>
      <c r="G15" s="234"/>
      <c r="H15" s="235"/>
      <c r="I15" s="232"/>
      <c r="J15" s="233"/>
      <c r="K15" s="234"/>
      <c r="L15" s="235"/>
      <c r="M15" s="232"/>
      <c r="N15" s="233"/>
      <c r="O15" s="234"/>
      <c r="P15" s="235"/>
      <c r="Q15" s="238">
        <f t="shared" si="0"/>
        <v>0</v>
      </c>
      <c r="R15" s="239" t="e">
        <f t="shared" si="1"/>
        <v>#DIV/0!</v>
      </c>
    </row>
    <row r="16" spans="1:20" ht="18" customHeight="1" x14ac:dyDescent="0.15">
      <c r="A16" s="228"/>
      <c r="B16" s="229"/>
      <c r="C16" s="230"/>
      <c r="D16" s="231"/>
      <c r="E16" s="232"/>
      <c r="F16" s="233"/>
      <c r="G16" s="234"/>
      <c r="H16" s="235"/>
      <c r="I16" s="232"/>
      <c r="J16" s="233"/>
      <c r="K16" s="234"/>
      <c r="L16" s="235"/>
      <c r="M16" s="232"/>
      <c r="N16" s="233"/>
      <c r="O16" s="234"/>
      <c r="P16" s="235"/>
      <c r="Q16" s="238">
        <f t="shared" si="0"/>
        <v>0</v>
      </c>
      <c r="R16" s="239" t="e">
        <f t="shared" si="1"/>
        <v>#DIV/0!</v>
      </c>
    </row>
    <row r="17" spans="1:18" ht="18" customHeight="1" x14ac:dyDescent="0.15">
      <c r="A17" s="228"/>
      <c r="B17" s="229"/>
      <c r="C17" s="230"/>
      <c r="D17" s="231"/>
      <c r="E17" s="232"/>
      <c r="F17" s="233"/>
      <c r="G17" s="234"/>
      <c r="H17" s="235"/>
      <c r="I17" s="232"/>
      <c r="J17" s="233"/>
      <c r="K17" s="234"/>
      <c r="L17" s="235"/>
      <c r="M17" s="232"/>
      <c r="N17" s="233"/>
      <c r="O17" s="234"/>
      <c r="P17" s="235"/>
      <c r="Q17" s="238">
        <f t="shared" si="0"/>
        <v>0</v>
      </c>
      <c r="R17" s="239" t="e">
        <f t="shared" si="1"/>
        <v>#DIV/0!</v>
      </c>
    </row>
    <row r="18" spans="1:18" ht="18" customHeight="1" x14ac:dyDescent="0.15">
      <c r="A18" s="228"/>
      <c r="B18" s="229"/>
      <c r="C18" s="230"/>
      <c r="D18" s="231"/>
      <c r="E18" s="232"/>
      <c r="F18" s="233"/>
      <c r="G18" s="234"/>
      <c r="H18" s="235"/>
      <c r="I18" s="232"/>
      <c r="J18" s="233"/>
      <c r="K18" s="234"/>
      <c r="L18" s="235"/>
      <c r="M18" s="232"/>
      <c r="N18" s="233"/>
      <c r="O18" s="234"/>
      <c r="P18" s="235"/>
      <c r="Q18" s="238">
        <f>E18+G18+I18+K18+M18+O18</f>
        <v>0</v>
      </c>
      <c r="R18" s="239" t="e">
        <f t="shared" si="1"/>
        <v>#DIV/0!</v>
      </c>
    </row>
    <row r="19" spans="1:18" ht="18" customHeight="1" x14ac:dyDescent="0.15">
      <c r="A19" s="228"/>
      <c r="B19" s="229"/>
      <c r="C19" s="230"/>
      <c r="D19" s="231"/>
      <c r="E19" s="232"/>
      <c r="F19" s="233"/>
      <c r="G19" s="234"/>
      <c r="H19" s="235"/>
      <c r="I19" s="232"/>
      <c r="J19" s="233"/>
      <c r="K19" s="234"/>
      <c r="L19" s="235"/>
      <c r="M19" s="232"/>
      <c r="N19" s="233"/>
      <c r="O19" s="234"/>
      <c r="P19" s="235"/>
      <c r="Q19" s="238">
        <f t="shared" si="0"/>
        <v>0</v>
      </c>
      <c r="R19" s="239" t="e">
        <f t="shared" si="1"/>
        <v>#DIV/0!</v>
      </c>
    </row>
    <row r="20" spans="1:18" ht="18" customHeight="1" x14ac:dyDescent="0.15">
      <c r="A20" s="228"/>
      <c r="B20" s="229"/>
      <c r="C20" s="230"/>
      <c r="D20" s="231"/>
      <c r="E20" s="232"/>
      <c r="F20" s="233"/>
      <c r="G20" s="234"/>
      <c r="H20" s="235"/>
      <c r="I20" s="232"/>
      <c r="J20" s="233"/>
      <c r="K20" s="234"/>
      <c r="L20" s="235"/>
      <c r="M20" s="232"/>
      <c r="N20" s="233"/>
      <c r="O20" s="234"/>
      <c r="P20" s="235"/>
      <c r="Q20" s="238">
        <f t="shared" si="0"/>
        <v>0</v>
      </c>
      <c r="R20" s="239" t="e">
        <f t="shared" si="1"/>
        <v>#DIV/0!</v>
      </c>
    </row>
    <row r="21" spans="1:18" ht="18" customHeight="1" x14ac:dyDescent="0.15">
      <c r="A21" s="228"/>
      <c r="B21" s="229"/>
      <c r="C21" s="230"/>
      <c r="D21" s="231"/>
      <c r="E21" s="232"/>
      <c r="F21" s="233"/>
      <c r="G21" s="234"/>
      <c r="H21" s="235"/>
      <c r="I21" s="232"/>
      <c r="J21" s="233"/>
      <c r="K21" s="234"/>
      <c r="L21" s="235"/>
      <c r="M21" s="232"/>
      <c r="N21" s="233"/>
      <c r="O21" s="234"/>
      <c r="P21" s="235"/>
      <c r="Q21" s="238">
        <f t="shared" si="0"/>
        <v>0</v>
      </c>
      <c r="R21" s="239" t="e">
        <f t="shared" si="1"/>
        <v>#DIV/0!</v>
      </c>
    </row>
    <row r="22" spans="1:18" ht="18" customHeight="1" x14ac:dyDescent="0.15">
      <c r="A22" s="228"/>
      <c r="B22" s="229"/>
      <c r="C22" s="230"/>
      <c r="D22" s="231"/>
      <c r="E22" s="232"/>
      <c r="F22" s="233"/>
      <c r="G22" s="234"/>
      <c r="H22" s="235"/>
      <c r="I22" s="232"/>
      <c r="J22" s="233"/>
      <c r="K22" s="234"/>
      <c r="L22" s="235"/>
      <c r="M22" s="232"/>
      <c r="N22" s="233"/>
      <c r="O22" s="234"/>
      <c r="P22" s="235"/>
      <c r="Q22" s="238">
        <f t="shared" si="0"/>
        <v>0</v>
      </c>
      <c r="R22" s="239" t="e">
        <f t="shared" si="1"/>
        <v>#DIV/0!</v>
      </c>
    </row>
    <row r="23" spans="1:18" ht="18" customHeight="1" x14ac:dyDescent="0.15">
      <c r="A23" s="228"/>
      <c r="B23" s="229"/>
      <c r="C23" s="230"/>
      <c r="D23" s="231"/>
      <c r="E23" s="232"/>
      <c r="F23" s="233"/>
      <c r="G23" s="234"/>
      <c r="H23" s="235"/>
      <c r="I23" s="232"/>
      <c r="J23" s="233"/>
      <c r="K23" s="234"/>
      <c r="L23" s="235"/>
      <c r="M23" s="232"/>
      <c r="N23" s="233"/>
      <c r="O23" s="234"/>
      <c r="P23" s="235"/>
      <c r="Q23" s="238">
        <f t="shared" si="0"/>
        <v>0</v>
      </c>
      <c r="R23" s="239" t="e">
        <f t="shared" si="1"/>
        <v>#DIV/0!</v>
      </c>
    </row>
    <row r="24" spans="1:18" ht="18" customHeight="1" x14ac:dyDescent="0.15">
      <c r="A24" s="228"/>
      <c r="B24" s="229"/>
      <c r="C24" s="230"/>
      <c r="D24" s="231"/>
      <c r="E24" s="232"/>
      <c r="F24" s="233"/>
      <c r="G24" s="234"/>
      <c r="H24" s="235"/>
      <c r="I24" s="232"/>
      <c r="J24" s="233"/>
      <c r="K24" s="234"/>
      <c r="L24" s="235"/>
      <c r="M24" s="232"/>
      <c r="N24" s="233"/>
      <c r="O24" s="234"/>
      <c r="P24" s="235"/>
      <c r="Q24" s="238">
        <f t="shared" si="0"/>
        <v>0</v>
      </c>
      <c r="R24" s="239" t="e">
        <f t="shared" si="1"/>
        <v>#DIV/0!</v>
      </c>
    </row>
    <row r="25" spans="1:18" ht="18" customHeight="1" x14ac:dyDescent="0.15">
      <c r="A25" s="228"/>
      <c r="B25" s="229"/>
      <c r="C25" s="230"/>
      <c r="D25" s="231"/>
      <c r="E25" s="232"/>
      <c r="F25" s="233"/>
      <c r="G25" s="234"/>
      <c r="H25" s="235"/>
      <c r="I25" s="232"/>
      <c r="J25" s="233"/>
      <c r="K25" s="234"/>
      <c r="L25" s="235"/>
      <c r="M25" s="232"/>
      <c r="N25" s="233"/>
      <c r="O25" s="234"/>
      <c r="P25" s="235"/>
      <c r="Q25" s="238">
        <f t="shared" si="0"/>
        <v>0</v>
      </c>
      <c r="R25" s="239" t="e">
        <f t="shared" si="1"/>
        <v>#DIV/0!</v>
      </c>
    </row>
    <row r="26" spans="1:18" ht="18" customHeight="1" x14ac:dyDescent="0.15">
      <c r="A26" s="228"/>
      <c r="B26" s="229"/>
      <c r="C26" s="230"/>
      <c r="D26" s="231"/>
      <c r="E26" s="232"/>
      <c r="F26" s="233"/>
      <c r="G26" s="234"/>
      <c r="H26" s="235"/>
      <c r="I26" s="232"/>
      <c r="J26" s="233"/>
      <c r="K26" s="234"/>
      <c r="L26" s="235"/>
      <c r="M26" s="232"/>
      <c r="N26" s="233"/>
      <c r="O26" s="234"/>
      <c r="P26" s="235"/>
      <c r="Q26" s="238">
        <f t="shared" si="0"/>
        <v>0</v>
      </c>
      <c r="R26" s="239" t="e">
        <f t="shared" si="1"/>
        <v>#DIV/0!</v>
      </c>
    </row>
    <row r="27" spans="1:18" ht="18" customHeight="1" x14ac:dyDescent="0.15">
      <c r="A27" s="228"/>
      <c r="B27" s="229"/>
      <c r="C27" s="240"/>
      <c r="D27" s="231"/>
      <c r="E27" s="232"/>
      <c r="F27" s="233"/>
      <c r="G27" s="234"/>
      <c r="H27" s="235"/>
      <c r="I27" s="232"/>
      <c r="J27" s="233"/>
      <c r="K27" s="234"/>
      <c r="L27" s="235"/>
      <c r="M27" s="232"/>
      <c r="N27" s="233"/>
      <c r="O27" s="234"/>
      <c r="P27" s="235"/>
      <c r="Q27" s="238">
        <f t="shared" si="0"/>
        <v>0</v>
      </c>
      <c r="R27" s="239" t="e">
        <f t="shared" si="1"/>
        <v>#DIV/0!</v>
      </c>
    </row>
    <row r="28" spans="1:18" ht="18" customHeight="1" x14ac:dyDescent="0.15">
      <c r="A28" s="228"/>
      <c r="B28" s="229"/>
      <c r="C28" s="240"/>
      <c r="D28" s="231"/>
      <c r="E28" s="232"/>
      <c r="F28" s="233"/>
      <c r="G28" s="234"/>
      <c r="H28" s="235"/>
      <c r="I28" s="232"/>
      <c r="J28" s="233"/>
      <c r="K28" s="234"/>
      <c r="L28" s="235"/>
      <c r="M28" s="232"/>
      <c r="N28" s="233"/>
      <c r="O28" s="234"/>
      <c r="P28" s="235"/>
      <c r="Q28" s="238">
        <f t="shared" si="0"/>
        <v>0</v>
      </c>
      <c r="R28" s="239" t="e">
        <f t="shared" si="1"/>
        <v>#DIV/0!</v>
      </c>
    </row>
    <row r="29" spans="1:18" ht="18" customHeight="1" thickBot="1" x14ac:dyDescent="0.2">
      <c r="A29" s="228"/>
      <c r="B29" s="241"/>
      <c r="C29" s="242"/>
      <c r="D29" s="243"/>
      <c r="E29" s="244"/>
      <c r="F29" s="245"/>
      <c r="G29" s="246"/>
      <c r="H29" s="247"/>
      <c r="I29" s="244"/>
      <c r="J29" s="245"/>
      <c r="K29" s="246"/>
      <c r="L29" s="247"/>
      <c r="M29" s="244"/>
      <c r="N29" s="245"/>
      <c r="O29" s="246"/>
      <c r="P29" s="247"/>
      <c r="Q29" s="248">
        <f t="shared" si="0"/>
        <v>0</v>
      </c>
      <c r="R29" s="237" t="e">
        <f t="shared" si="1"/>
        <v>#DIV/0!</v>
      </c>
    </row>
    <row r="30" spans="1:18" ht="18" customHeight="1" thickTop="1" x14ac:dyDescent="0.15">
      <c r="B30" s="249" t="s">
        <v>57</v>
      </c>
      <c r="C30" s="250">
        <f t="shared" ref="C30:Q30" si="2">SUM(C10:C29)</f>
        <v>200</v>
      </c>
      <c r="D30" s="251">
        <f t="shared" si="2"/>
        <v>1000</v>
      </c>
      <c r="E30" s="252">
        <f t="shared" si="2"/>
        <v>200</v>
      </c>
      <c r="F30" s="253">
        <f t="shared" si="2"/>
        <v>197</v>
      </c>
      <c r="G30" s="254">
        <f t="shared" si="2"/>
        <v>199</v>
      </c>
      <c r="H30" s="255">
        <f t="shared" si="2"/>
        <v>194</v>
      </c>
      <c r="I30" s="252">
        <f t="shared" si="2"/>
        <v>199</v>
      </c>
      <c r="J30" s="253">
        <f t="shared" si="2"/>
        <v>198</v>
      </c>
      <c r="K30" s="254">
        <f t="shared" si="2"/>
        <v>198</v>
      </c>
      <c r="L30" s="255">
        <f t="shared" si="2"/>
        <v>195</v>
      </c>
      <c r="M30" s="252">
        <f t="shared" si="2"/>
        <v>0</v>
      </c>
      <c r="N30" s="253">
        <f t="shared" si="2"/>
        <v>0</v>
      </c>
      <c r="O30" s="254">
        <f t="shared" si="2"/>
        <v>0</v>
      </c>
      <c r="P30" s="255">
        <f t="shared" si="2"/>
        <v>0</v>
      </c>
      <c r="Q30" s="256">
        <f t="shared" si="2"/>
        <v>796</v>
      </c>
      <c r="R30" s="257">
        <f>Q30/D30</f>
        <v>0.79600000000000004</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1"/>
  <sheetViews>
    <sheetView showZeros="0" view="pageBreakPreview" zoomScaleNormal="100" zoomScaleSheetLayoutView="100" workbookViewId="0">
      <selection sqref="A1:XFD1048576"/>
    </sheetView>
  </sheetViews>
  <sheetFormatPr defaultColWidth="11.375" defaultRowHeight="18.75" customHeight="1" x14ac:dyDescent="0.15"/>
  <cols>
    <col min="1" max="1" width="2.875" style="258" customWidth="1"/>
    <col min="2" max="2" width="16.625" style="204" customWidth="1"/>
    <col min="3" max="3" width="8.875" style="204" customWidth="1"/>
    <col min="4" max="4" width="2.125" style="204" customWidth="1"/>
    <col min="5" max="5" width="16.625" style="204" customWidth="1"/>
    <col min="6" max="6" width="8.875" style="204" customWidth="1"/>
    <col min="7" max="7" width="2.125" style="204" customWidth="1"/>
    <col min="8" max="8" width="16.625" style="204" customWidth="1"/>
    <col min="9" max="9" width="8.875" style="204" customWidth="1"/>
    <col min="10" max="10" width="2.125" style="204" customWidth="1"/>
    <col min="11" max="16384" width="11.375" style="204"/>
  </cols>
  <sheetData>
    <row r="1" spans="1:11" ht="18.75" customHeight="1" x14ac:dyDescent="0.15">
      <c r="A1" s="258" t="s">
        <v>108</v>
      </c>
      <c r="J1" s="259" t="s">
        <v>109</v>
      </c>
    </row>
    <row r="2" spans="1:11" ht="18.75" customHeight="1" x14ac:dyDescent="0.15">
      <c r="A2" s="203" t="s">
        <v>64</v>
      </c>
      <c r="B2" s="203"/>
      <c r="C2" s="203"/>
      <c r="D2" s="203"/>
      <c r="E2" s="203"/>
      <c r="F2" s="203"/>
      <c r="G2" s="203"/>
      <c r="H2" s="203"/>
      <c r="I2" s="203"/>
      <c r="J2" s="203"/>
    </row>
    <row r="3" spans="1:11" ht="7.5" customHeight="1" x14ac:dyDescent="0.15">
      <c r="B3" s="205"/>
      <c r="C3" s="205"/>
      <c r="D3" s="205"/>
      <c r="E3" s="205"/>
      <c r="F3" s="205"/>
      <c r="G3" s="205"/>
      <c r="H3" s="205"/>
      <c r="I3" s="205"/>
      <c r="J3" s="205"/>
    </row>
    <row r="4" spans="1:11" ht="18.75" customHeight="1" x14ac:dyDescent="0.15">
      <c r="A4" s="204" t="s">
        <v>6</v>
      </c>
      <c r="B4" s="204" t="s">
        <v>72</v>
      </c>
      <c r="I4" s="205"/>
      <c r="J4" s="205"/>
    </row>
    <row r="5" spans="1:11" ht="18.75" customHeight="1" x14ac:dyDescent="0.15">
      <c r="A5" s="204"/>
      <c r="B5" s="260" t="s">
        <v>176</v>
      </c>
      <c r="C5" s="261"/>
      <c r="D5" s="261"/>
      <c r="E5" s="261"/>
      <c r="F5" s="261"/>
      <c r="G5" s="261"/>
      <c r="H5" s="261"/>
      <c r="I5" s="261"/>
      <c r="J5" s="262"/>
      <c r="K5" s="204" t="str">
        <f>IF(B5="","入力してください","")</f>
        <v/>
      </c>
    </row>
    <row r="6" spans="1:11" ht="7.5" customHeight="1" x14ac:dyDescent="0.15">
      <c r="B6" s="205"/>
      <c r="C6" s="205"/>
      <c r="D6" s="205"/>
      <c r="E6" s="205"/>
      <c r="F6" s="205"/>
      <c r="G6" s="205"/>
      <c r="H6" s="205"/>
      <c r="I6" s="205"/>
      <c r="J6" s="205"/>
    </row>
    <row r="7" spans="1:11" ht="18.75" customHeight="1" x14ac:dyDescent="0.15">
      <c r="A7" s="204" t="s">
        <v>9</v>
      </c>
      <c r="B7" s="204" t="s">
        <v>39</v>
      </c>
      <c r="K7" s="263"/>
    </row>
    <row r="8" spans="1:11" ht="18.75" customHeight="1" x14ac:dyDescent="0.15">
      <c r="A8" s="264"/>
      <c r="B8" s="265" t="s">
        <v>177</v>
      </c>
      <c r="C8" s="266"/>
      <c r="D8" s="266"/>
      <c r="E8" s="266"/>
      <c r="F8" s="266"/>
      <c r="G8" s="266"/>
      <c r="H8" s="266"/>
      <c r="I8" s="267"/>
      <c r="J8" s="268"/>
      <c r="K8" s="204" t="str">
        <f>IF(B8="","入力してください","")</f>
        <v/>
      </c>
    </row>
    <row r="9" spans="1:11" ht="18.75" customHeight="1" x14ac:dyDescent="0.15">
      <c r="A9" s="264"/>
      <c r="B9" s="269"/>
      <c r="C9" s="270"/>
      <c r="D9" s="270"/>
      <c r="E9" s="270"/>
      <c r="F9" s="270"/>
      <c r="G9" s="270"/>
      <c r="H9" s="270"/>
      <c r="I9" s="270"/>
      <c r="J9" s="271"/>
    </row>
    <row r="10" spans="1:11" ht="18.75" customHeight="1" x14ac:dyDescent="0.15">
      <c r="A10" s="264"/>
      <c r="B10" s="269"/>
      <c r="C10" s="270"/>
      <c r="D10" s="270"/>
      <c r="E10" s="270"/>
      <c r="F10" s="270"/>
      <c r="G10" s="270"/>
      <c r="H10" s="270"/>
      <c r="I10" s="270"/>
      <c r="J10" s="271"/>
    </row>
    <row r="11" spans="1:11" ht="18.75" customHeight="1" x14ac:dyDescent="0.15">
      <c r="A11" s="264"/>
      <c r="B11" s="269"/>
      <c r="C11" s="270"/>
      <c r="D11" s="270"/>
      <c r="E11" s="270"/>
      <c r="F11" s="270"/>
      <c r="G11" s="270"/>
      <c r="H11" s="270"/>
      <c r="I11" s="270"/>
      <c r="J11" s="271"/>
    </row>
    <row r="12" spans="1:11" ht="18.75" customHeight="1" x14ac:dyDescent="0.15">
      <c r="A12" s="264"/>
      <c r="B12" s="272"/>
      <c r="C12" s="273"/>
      <c r="D12" s="273"/>
      <c r="E12" s="273"/>
      <c r="F12" s="273"/>
      <c r="G12" s="273"/>
      <c r="H12" s="273"/>
      <c r="I12" s="273"/>
      <c r="J12" s="274"/>
    </row>
    <row r="13" spans="1:11" ht="7.5" customHeight="1" x14ac:dyDescent="0.15">
      <c r="A13" s="264"/>
      <c r="B13" s="264"/>
      <c r="C13" s="264"/>
      <c r="D13" s="264"/>
      <c r="E13" s="264"/>
      <c r="F13" s="264"/>
      <c r="G13" s="264"/>
      <c r="H13" s="264"/>
      <c r="I13" s="264"/>
      <c r="J13" s="264"/>
    </row>
    <row r="14" spans="1:11" ht="18.75" customHeight="1" x14ac:dyDescent="0.15">
      <c r="A14" s="275" t="s">
        <v>10</v>
      </c>
      <c r="B14" s="275" t="s">
        <v>15</v>
      </c>
      <c r="C14" s="275"/>
      <c r="D14" s="275"/>
      <c r="E14" s="275"/>
      <c r="F14" s="275"/>
      <c r="G14" s="275"/>
      <c r="H14" s="275"/>
      <c r="I14" s="275"/>
      <c r="J14" s="275"/>
    </row>
    <row r="15" spans="1:11" ht="18.75" customHeight="1" x14ac:dyDescent="0.15">
      <c r="A15" s="264"/>
      <c r="B15" s="265" t="s">
        <v>207</v>
      </c>
      <c r="C15" s="266"/>
      <c r="D15" s="266"/>
      <c r="E15" s="266"/>
      <c r="F15" s="266"/>
      <c r="G15" s="266"/>
      <c r="H15" s="266"/>
      <c r="I15" s="267"/>
      <c r="J15" s="268"/>
      <c r="K15" s="204" t="str">
        <f>IF(B15="","入力してください","")</f>
        <v/>
      </c>
    </row>
    <row r="16" spans="1:11" ht="18.75" customHeight="1" x14ac:dyDescent="0.15">
      <c r="A16" s="264"/>
      <c r="B16" s="269"/>
      <c r="C16" s="270"/>
      <c r="D16" s="270"/>
      <c r="E16" s="270"/>
      <c r="F16" s="270"/>
      <c r="G16" s="270"/>
      <c r="H16" s="270"/>
      <c r="I16" s="270"/>
      <c r="J16" s="271"/>
    </row>
    <row r="17" spans="1:11" ht="18.75" customHeight="1" x14ac:dyDescent="0.15">
      <c r="A17" s="264"/>
      <c r="B17" s="269"/>
      <c r="C17" s="270"/>
      <c r="D17" s="270"/>
      <c r="E17" s="270"/>
      <c r="F17" s="270"/>
      <c r="G17" s="270"/>
      <c r="H17" s="270"/>
      <c r="I17" s="270"/>
      <c r="J17" s="271"/>
    </row>
    <row r="18" spans="1:11" ht="18.75" customHeight="1" x14ac:dyDescent="0.15">
      <c r="A18" s="264"/>
      <c r="B18" s="269"/>
      <c r="C18" s="270"/>
      <c r="D18" s="270"/>
      <c r="E18" s="270"/>
      <c r="F18" s="270"/>
      <c r="G18" s="270"/>
      <c r="H18" s="270"/>
      <c r="I18" s="270"/>
      <c r="J18" s="271"/>
    </row>
    <row r="19" spans="1:11" ht="18.75" customHeight="1" x14ac:dyDescent="0.15">
      <c r="A19" s="264"/>
      <c r="B19" s="269"/>
      <c r="C19" s="270"/>
      <c r="D19" s="270"/>
      <c r="E19" s="270"/>
      <c r="F19" s="270"/>
      <c r="G19" s="270"/>
      <c r="H19" s="270"/>
      <c r="I19" s="270"/>
      <c r="J19" s="271"/>
    </row>
    <row r="20" spans="1:11" ht="18.75" customHeight="1" x14ac:dyDescent="0.15">
      <c r="A20" s="264"/>
      <c r="B20" s="269"/>
      <c r="C20" s="270"/>
      <c r="D20" s="270"/>
      <c r="E20" s="270"/>
      <c r="F20" s="270"/>
      <c r="G20" s="270"/>
      <c r="H20" s="270"/>
      <c r="I20" s="270"/>
      <c r="J20" s="271"/>
    </row>
    <row r="21" spans="1:11" ht="18.75" customHeight="1" x14ac:dyDescent="0.15">
      <c r="A21" s="264"/>
      <c r="B21" s="269"/>
      <c r="C21" s="270"/>
      <c r="D21" s="270"/>
      <c r="E21" s="270"/>
      <c r="F21" s="270"/>
      <c r="G21" s="270"/>
      <c r="H21" s="270"/>
      <c r="I21" s="270"/>
      <c r="J21" s="271"/>
    </row>
    <row r="22" spans="1:11" ht="18.75" customHeight="1" x14ac:dyDescent="0.15">
      <c r="A22" s="264"/>
      <c r="B22" s="269"/>
      <c r="C22" s="270"/>
      <c r="D22" s="270"/>
      <c r="E22" s="270"/>
      <c r="F22" s="270"/>
      <c r="G22" s="270"/>
      <c r="H22" s="270"/>
      <c r="I22" s="270"/>
      <c r="J22" s="271"/>
    </row>
    <row r="23" spans="1:11" ht="18.75" customHeight="1" x14ac:dyDescent="0.15">
      <c r="A23" s="264"/>
      <c r="B23" s="269"/>
      <c r="C23" s="270"/>
      <c r="D23" s="270"/>
      <c r="E23" s="270"/>
      <c r="F23" s="270"/>
      <c r="G23" s="270"/>
      <c r="H23" s="270"/>
      <c r="I23" s="270"/>
      <c r="J23" s="271"/>
    </row>
    <row r="24" spans="1:11" ht="18.75" customHeight="1" x14ac:dyDescent="0.15">
      <c r="A24" s="264"/>
      <c r="B24" s="269"/>
      <c r="C24" s="270"/>
      <c r="D24" s="270"/>
      <c r="E24" s="270"/>
      <c r="F24" s="270"/>
      <c r="G24" s="270"/>
      <c r="H24" s="270"/>
      <c r="I24" s="270"/>
      <c r="J24" s="271"/>
    </row>
    <row r="25" spans="1:11" ht="18.75" customHeight="1" x14ac:dyDescent="0.15">
      <c r="A25" s="264"/>
      <c r="B25" s="272"/>
      <c r="C25" s="273"/>
      <c r="D25" s="273"/>
      <c r="E25" s="273"/>
      <c r="F25" s="273"/>
      <c r="G25" s="273"/>
      <c r="H25" s="273"/>
      <c r="I25" s="273"/>
      <c r="J25" s="274"/>
    </row>
    <row r="26" spans="1:11" ht="7.5" customHeight="1" x14ac:dyDescent="0.15">
      <c r="A26" s="276"/>
      <c r="B26" s="276"/>
      <c r="C26" s="276"/>
      <c r="D26" s="276"/>
      <c r="E26" s="276"/>
      <c r="F26" s="276"/>
      <c r="G26" s="276"/>
      <c r="H26" s="276"/>
      <c r="I26" s="276"/>
      <c r="J26" s="276"/>
    </row>
    <row r="27" spans="1:11" ht="18.75" customHeight="1" x14ac:dyDescent="0.15">
      <c r="A27" s="204" t="s">
        <v>13</v>
      </c>
      <c r="B27" s="204" t="s">
        <v>26</v>
      </c>
    </row>
    <row r="28" spans="1:11" s="205" customFormat="1" ht="18.75" customHeight="1" x14ac:dyDescent="0.15">
      <c r="B28" s="277" t="s">
        <v>110</v>
      </c>
      <c r="C28" s="278">
        <f>'様式３　履修者等数の実績'!R30</f>
        <v>0.79600000000000004</v>
      </c>
      <c r="D28" s="279"/>
      <c r="E28" s="279" t="s">
        <v>111</v>
      </c>
      <c r="F28" s="278">
        <v>0.9</v>
      </c>
      <c r="G28" s="279"/>
      <c r="H28" s="279" t="s">
        <v>112</v>
      </c>
      <c r="I28" s="280">
        <v>0.9</v>
      </c>
      <c r="J28" s="281"/>
      <c r="K28" s="204"/>
    </row>
    <row r="29" spans="1:11" s="205" customFormat="1" ht="18.75" customHeight="1" x14ac:dyDescent="0.15">
      <c r="B29" s="282" t="s">
        <v>113</v>
      </c>
      <c r="C29" s="283">
        <v>0.9</v>
      </c>
      <c r="D29" s="284"/>
      <c r="E29" s="284" t="s">
        <v>114</v>
      </c>
      <c r="F29" s="283">
        <v>0.9</v>
      </c>
      <c r="G29" s="284"/>
      <c r="H29" s="284" t="s">
        <v>115</v>
      </c>
      <c r="I29" s="65">
        <f>'様式３　履修者等数の実績'!D30</f>
        <v>1000</v>
      </c>
      <c r="J29" s="285"/>
      <c r="K29" s="263"/>
    </row>
    <row r="30" spans="1:11" ht="18.75" customHeight="1" x14ac:dyDescent="0.15">
      <c r="A30" s="204"/>
      <c r="B30" s="286" t="s">
        <v>116</v>
      </c>
      <c r="C30" s="287"/>
      <c r="D30" s="287"/>
      <c r="E30" s="287"/>
      <c r="F30" s="287"/>
      <c r="G30" s="287"/>
      <c r="H30" s="287"/>
      <c r="I30" s="287"/>
      <c r="J30" s="288"/>
      <c r="K30" s="263"/>
    </row>
    <row r="31" spans="1:11" ht="18.75" customHeight="1" x14ac:dyDescent="0.15">
      <c r="A31" s="204"/>
      <c r="B31" s="289" t="s">
        <v>178</v>
      </c>
      <c r="C31" s="290"/>
      <c r="D31" s="290"/>
      <c r="E31" s="290"/>
      <c r="F31" s="290"/>
      <c r="G31" s="290"/>
      <c r="H31" s="290"/>
      <c r="I31" s="290"/>
      <c r="J31" s="291"/>
      <c r="K31" s="263" t="str">
        <f>IF(B31="","入力してください","")</f>
        <v/>
      </c>
    </row>
    <row r="32" spans="1:11" ht="18.75" customHeight="1" x14ac:dyDescent="0.15">
      <c r="A32" s="204"/>
      <c r="B32" s="292"/>
      <c r="C32" s="293"/>
      <c r="D32" s="293"/>
      <c r="E32" s="293"/>
      <c r="F32" s="293"/>
      <c r="G32" s="293"/>
      <c r="H32" s="293"/>
      <c r="I32" s="293"/>
      <c r="J32" s="294"/>
      <c r="K32" s="263"/>
    </row>
    <row r="33" spans="1:11" ht="18.75" customHeight="1" x14ac:dyDescent="0.15">
      <c r="A33" s="204"/>
      <c r="B33" s="292"/>
      <c r="C33" s="293"/>
      <c r="D33" s="293"/>
      <c r="E33" s="293"/>
      <c r="F33" s="293"/>
      <c r="G33" s="293"/>
      <c r="H33" s="293"/>
      <c r="I33" s="293"/>
      <c r="J33" s="294"/>
      <c r="K33" s="263"/>
    </row>
    <row r="34" spans="1:11" ht="18.75" customHeight="1" x14ac:dyDescent="0.15">
      <c r="A34" s="204"/>
      <c r="B34" s="292"/>
      <c r="C34" s="293"/>
      <c r="D34" s="293"/>
      <c r="E34" s="293"/>
      <c r="F34" s="293"/>
      <c r="G34" s="293"/>
      <c r="H34" s="293"/>
      <c r="I34" s="293"/>
      <c r="J34" s="294"/>
      <c r="K34" s="263"/>
    </row>
    <row r="35" spans="1:11" ht="18.75" customHeight="1" x14ac:dyDescent="0.15">
      <c r="A35" s="204"/>
      <c r="B35" s="292"/>
      <c r="C35" s="293"/>
      <c r="D35" s="293"/>
      <c r="E35" s="293"/>
      <c r="F35" s="293"/>
      <c r="G35" s="293"/>
      <c r="H35" s="293"/>
      <c r="I35" s="293"/>
      <c r="J35" s="294"/>
      <c r="K35" s="263"/>
    </row>
    <row r="36" spans="1:11" ht="18.75" customHeight="1" x14ac:dyDescent="0.15">
      <c r="A36" s="204"/>
      <c r="B36" s="292"/>
      <c r="C36" s="293"/>
      <c r="D36" s="293"/>
      <c r="E36" s="293"/>
      <c r="F36" s="293"/>
      <c r="G36" s="293"/>
      <c r="H36" s="293"/>
      <c r="I36" s="293"/>
      <c r="J36" s="294"/>
      <c r="K36" s="263"/>
    </row>
    <row r="37" spans="1:11" ht="18.75" customHeight="1" x14ac:dyDescent="0.15">
      <c r="A37" s="204"/>
      <c r="B37" s="292"/>
      <c r="C37" s="293"/>
      <c r="D37" s="293"/>
      <c r="E37" s="293"/>
      <c r="F37" s="293"/>
      <c r="G37" s="293"/>
      <c r="H37" s="293"/>
      <c r="I37" s="293"/>
      <c r="J37" s="294"/>
      <c r="K37" s="263"/>
    </row>
    <row r="38" spans="1:11" ht="18.75" customHeight="1" x14ac:dyDescent="0.15">
      <c r="A38" s="204"/>
      <c r="B38" s="292"/>
      <c r="C38" s="293"/>
      <c r="D38" s="293"/>
      <c r="E38" s="293"/>
      <c r="F38" s="293"/>
      <c r="G38" s="293"/>
      <c r="H38" s="293"/>
      <c r="I38" s="293"/>
      <c r="J38" s="294"/>
      <c r="K38" s="263"/>
    </row>
    <row r="39" spans="1:11" ht="18.75" customHeight="1" x14ac:dyDescent="0.15">
      <c r="A39" s="204"/>
      <c r="B39" s="292"/>
      <c r="C39" s="293"/>
      <c r="D39" s="293"/>
      <c r="E39" s="293"/>
      <c r="F39" s="293"/>
      <c r="G39" s="293"/>
      <c r="H39" s="293"/>
      <c r="I39" s="293"/>
      <c r="J39" s="294"/>
      <c r="K39" s="263"/>
    </row>
    <row r="40" spans="1:11" ht="18.75" customHeight="1" x14ac:dyDescent="0.15">
      <c r="A40" s="204"/>
      <c r="B40" s="292"/>
      <c r="C40" s="293"/>
      <c r="D40" s="293"/>
      <c r="E40" s="293"/>
      <c r="F40" s="293"/>
      <c r="G40" s="293"/>
      <c r="H40" s="293"/>
      <c r="I40" s="293"/>
      <c r="J40" s="294"/>
      <c r="K40" s="263"/>
    </row>
    <row r="41" spans="1:11" ht="18.75" customHeight="1" x14ac:dyDescent="0.15">
      <c r="A41" s="204"/>
      <c r="B41" s="292"/>
      <c r="C41" s="293"/>
      <c r="D41" s="293"/>
      <c r="E41" s="293"/>
      <c r="F41" s="293"/>
      <c r="G41" s="293"/>
      <c r="H41" s="293"/>
      <c r="I41" s="293"/>
      <c r="J41" s="294"/>
      <c r="K41" s="263"/>
    </row>
    <row r="42" spans="1:11" ht="18.75" customHeight="1" x14ac:dyDescent="0.15">
      <c r="A42" s="276"/>
      <c r="B42" s="292"/>
      <c r="C42" s="293"/>
      <c r="D42" s="293"/>
      <c r="E42" s="293"/>
      <c r="F42" s="293"/>
      <c r="G42" s="293"/>
      <c r="H42" s="293"/>
      <c r="I42" s="293"/>
      <c r="J42" s="294"/>
      <c r="K42" s="263"/>
    </row>
    <row r="43" spans="1:11" ht="18.75" customHeight="1" x14ac:dyDescent="0.15">
      <c r="A43" s="276"/>
      <c r="B43" s="295"/>
      <c r="C43" s="296"/>
      <c r="D43" s="296"/>
      <c r="E43" s="296"/>
      <c r="F43" s="296"/>
      <c r="G43" s="296"/>
      <c r="H43" s="296"/>
      <c r="I43" s="296"/>
      <c r="J43" s="297"/>
    </row>
    <row r="44" spans="1:11" ht="18.75" customHeight="1" x14ac:dyDescent="0.15">
      <c r="A44" s="275" t="s">
        <v>11</v>
      </c>
      <c r="B44" s="204" t="s">
        <v>65</v>
      </c>
      <c r="I44" s="275"/>
      <c r="J44" s="275"/>
    </row>
    <row r="45" spans="1:11" ht="18.75" customHeight="1" x14ac:dyDescent="0.15">
      <c r="A45" s="276"/>
      <c r="B45" s="265" t="s">
        <v>179</v>
      </c>
      <c r="C45" s="266"/>
      <c r="D45" s="266"/>
      <c r="E45" s="266"/>
      <c r="F45" s="266"/>
      <c r="G45" s="266"/>
      <c r="H45" s="266"/>
      <c r="I45" s="266"/>
      <c r="J45" s="298"/>
      <c r="K45" s="204" t="str">
        <f>IF(B45="","入力してください","")</f>
        <v/>
      </c>
    </row>
    <row r="46" spans="1:11" ht="18.75" customHeight="1" x14ac:dyDescent="0.15">
      <c r="A46" s="276"/>
      <c r="B46" s="292"/>
      <c r="C46" s="293"/>
      <c r="D46" s="293"/>
      <c r="E46" s="293"/>
      <c r="F46" s="293"/>
      <c r="G46" s="293"/>
      <c r="H46" s="293"/>
      <c r="I46" s="293"/>
      <c r="J46" s="294"/>
    </row>
    <row r="47" spans="1:11" ht="18.75" customHeight="1" x14ac:dyDescent="0.15">
      <c r="A47" s="276"/>
      <c r="B47" s="292"/>
      <c r="C47" s="293"/>
      <c r="D47" s="293"/>
      <c r="E47" s="293"/>
      <c r="F47" s="293"/>
      <c r="G47" s="293"/>
      <c r="H47" s="293"/>
      <c r="I47" s="293"/>
      <c r="J47" s="294"/>
    </row>
    <row r="48" spans="1:11" ht="18.75" customHeight="1" x14ac:dyDescent="0.15">
      <c r="A48" s="276"/>
      <c r="B48" s="292"/>
      <c r="C48" s="293"/>
      <c r="D48" s="293"/>
      <c r="E48" s="293"/>
      <c r="F48" s="293"/>
      <c r="G48" s="293"/>
      <c r="H48" s="293"/>
      <c r="I48" s="293"/>
      <c r="J48" s="294"/>
    </row>
    <row r="49" spans="1:10" ht="18.75" customHeight="1" x14ac:dyDescent="0.15">
      <c r="A49" s="276"/>
      <c r="B49" s="292"/>
      <c r="C49" s="293"/>
      <c r="D49" s="293"/>
      <c r="E49" s="293"/>
      <c r="F49" s="293"/>
      <c r="G49" s="293"/>
      <c r="H49" s="293"/>
      <c r="I49" s="293"/>
      <c r="J49" s="294"/>
    </row>
    <row r="50" spans="1:10" ht="18.75" customHeight="1" x14ac:dyDescent="0.15">
      <c r="A50" s="276"/>
      <c r="B50" s="292"/>
      <c r="C50" s="293"/>
      <c r="D50" s="293"/>
      <c r="E50" s="293"/>
      <c r="F50" s="293"/>
      <c r="G50" s="293"/>
      <c r="H50" s="293"/>
      <c r="I50" s="293"/>
      <c r="J50" s="294"/>
    </row>
    <row r="51" spans="1:10" ht="18.75" customHeight="1" x14ac:dyDescent="0.15">
      <c r="A51" s="276"/>
      <c r="B51" s="292"/>
      <c r="C51" s="293"/>
      <c r="D51" s="293"/>
      <c r="E51" s="293"/>
      <c r="F51" s="293"/>
      <c r="G51" s="293"/>
      <c r="H51" s="293"/>
      <c r="I51" s="293"/>
      <c r="J51" s="294"/>
    </row>
    <row r="52" spans="1:10" ht="18.75" customHeight="1" x14ac:dyDescent="0.15">
      <c r="A52" s="276"/>
      <c r="B52" s="292"/>
      <c r="C52" s="293"/>
      <c r="D52" s="293"/>
      <c r="E52" s="293"/>
      <c r="F52" s="293"/>
      <c r="G52" s="293"/>
      <c r="H52" s="293"/>
      <c r="I52" s="293"/>
      <c r="J52" s="294"/>
    </row>
    <row r="53" spans="1:10" ht="18.75" customHeight="1" x14ac:dyDescent="0.15">
      <c r="A53" s="276"/>
      <c r="B53" s="292"/>
      <c r="C53" s="293"/>
      <c r="D53" s="293"/>
      <c r="E53" s="293"/>
      <c r="F53" s="293"/>
      <c r="G53" s="293"/>
      <c r="H53" s="293"/>
      <c r="I53" s="293"/>
      <c r="J53" s="294"/>
    </row>
    <row r="54" spans="1:10" ht="18.75" customHeight="1" x14ac:dyDescent="0.15">
      <c r="A54" s="276"/>
      <c r="B54" s="292"/>
      <c r="C54" s="293"/>
      <c r="D54" s="293"/>
      <c r="E54" s="293"/>
      <c r="F54" s="293"/>
      <c r="G54" s="293"/>
      <c r="H54" s="293"/>
      <c r="I54" s="293"/>
      <c r="J54" s="294"/>
    </row>
    <row r="55" spans="1:10" ht="18.75" customHeight="1" x14ac:dyDescent="0.15">
      <c r="A55" s="276"/>
      <c r="B55" s="292"/>
      <c r="C55" s="293"/>
      <c r="D55" s="293"/>
      <c r="E55" s="293"/>
      <c r="F55" s="293"/>
      <c r="G55" s="293"/>
      <c r="H55" s="293"/>
      <c r="I55" s="293"/>
      <c r="J55" s="294"/>
    </row>
    <row r="56" spans="1:10" ht="18.75" customHeight="1" x14ac:dyDescent="0.15">
      <c r="A56" s="276"/>
      <c r="B56" s="292"/>
      <c r="C56" s="293"/>
      <c r="D56" s="293"/>
      <c r="E56" s="293"/>
      <c r="F56" s="293"/>
      <c r="G56" s="293"/>
      <c r="H56" s="293"/>
      <c r="I56" s="293"/>
      <c r="J56" s="294"/>
    </row>
    <row r="57" spans="1:10" ht="18.75" customHeight="1" x14ac:dyDescent="0.15">
      <c r="A57" s="276"/>
      <c r="B57" s="292"/>
      <c r="C57" s="293"/>
      <c r="D57" s="293"/>
      <c r="E57" s="293"/>
      <c r="F57" s="293"/>
      <c r="G57" s="293"/>
      <c r="H57" s="293"/>
      <c r="I57" s="293"/>
      <c r="J57" s="294"/>
    </row>
    <row r="58" spans="1:10" ht="18.75" customHeight="1" x14ac:dyDescent="0.15">
      <c r="A58" s="276"/>
      <c r="B58" s="292"/>
      <c r="C58" s="293"/>
      <c r="D58" s="293"/>
      <c r="E58" s="293"/>
      <c r="F58" s="293"/>
      <c r="G58" s="293"/>
      <c r="H58" s="293"/>
      <c r="I58" s="293"/>
      <c r="J58" s="294"/>
    </row>
    <row r="59" spans="1:10" ht="18.75" customHeight="1" x14ac:dyDescent="0.15">
      <c r="A59" s="276"/>
      <c r="B59" s="292"/>
      <c r="C59" s="293"/>
      <c r="D59" s="293"/>
      <c r="E59" s="293"/>
      <c r="F59" s="293"/>
      <c r="G59" s="293"/>
      <c r="H59" s="293"/>
      <c r="I59" s="293"/>
      <c r="J59" s="294"/>
    </row>
    <row r="60" spans="1:10" ht="18.75" customHeight="1" x14ac:dyDescent="0.15">
      <c r="A60" s="276"/>
      <c r="B60" s="292"/>
      <c r="C60" s="293"/>
      <c r="D60" s="293"/>
      <c r="E60" s="293"/>
      <c r="F60" s="293"/>
      <c r="G60" s="293"/>
      <c r="H60" s="293"/>
      <c r="I60" s="293"/>
      <c r="J60" s="294"/>
    </row>
    <row r="61" spans="1:10" ht="18.75" customHeight="1" x14ac:dyDescent="0.15">
      <c r="A61" s="276"/>
      <c r="B61" s="292"/>
      <c r="C61" s="293"/>
      <c r="D61" s="293"/>
      <c r="E61" s="293"/>
      <c r="F61" s="293"/>
      <c r="G61" s="293"/>
      <c r="H61" s="293"/>
      <c r="I61" s="293"/>
      <c r="J61" s="294"/>
    </row>
    <row r="62" spans="1:10" ht="18.75" customHeight="1" x14ac:dyDescent="0.15">
      <c r="A62" s="276"/>
      <c r="B62" s="292"/>
      <c r="C62" s="293"/>
      <c r="D62" s="293"/>
      <c r="E62" s="293"/>
      <c r="F62" s="293"/>
      <c r="G62" s="293"/>
      <c r="H62" s="293"/>
      <c r="I62" s="293"/>
      <c r="J62" s="294"/>
    </row>
    <row r="63" spans="1:10" ht="18.75" customHeight="1" x14ac:dyDescent="0.15">
      <c r="A63" s="276"/>
      <c r="B63" s="292"/>
      <c r="C63" s="293"/>
      <c r="D63" s="293"/>
      <c r="E63" s="293"/>
      <c r="F63" s="293"/>
      <c r="G63" s="293"/>
      <c r="H63" s="293"/>
      <c r="I63" s="293"/>
      <c r="J63" s="294"/>
    </row>
    <row r="64" spans="1:10" ht="18.75" customHeight="1" x14ac:dyDescent="0.15">
      <c r="A64" s="276"/>
      <c r="B64" s="292"/>
      <c r="C64" s="293"/>
      <c r="D64" s="293"/>
      <c r="E64" s="293"/>
      <c r="F64" s="293"/>
      <c r="G64" s="293"/>
      <c r="H64" s="293"/>
      <c r="I64" s="293"/>
      <c r="J64" s="294"/>
    </row>
    <row r="65" spans="1:11" ht="18.75" customHeight="1" x14ac:dyDescent="0.15">
      <c r="A65" s="276"/>
      <c r="B65" s="295"/>
      <c r="C65" s="296"/>
      <c r="D65" s="296"/>
      <c r="E65" s="296"/>
      <c r="F65" s="296"/>
      <c r="G65" s="296"/>
      <c r="H65" s="296"/>
      <c r="I65" s="296"/>
      <c r="J65" s="297"/>
    </row>
    <row r="66" spans="1:11" ht="7.5" customHeight="1" x14ac:dyDescent="0.15">
      <c r="A66" s="276"/>
      <c r="B66" s="276"/>
      <c r="C66" s="276"/>
      <c r="D66" s="276"/>
      <c r="E66" s="276"/>
      <c r="F66" s="276"/>
      <c r="G66" s="276"/>
      <c r="H66" s="276"/>
      <c r="I66" s="276"/>
      <c r="J66" s="276"/>
    </row>
    <row r="67" spans="1:11" ht="18.75" customHeight="1" x14ac:dyDescent="0.15">
      <c r="A67" s="204" t="s">
        <v>14</v>
      </c>
      <c r="B67" s="204" t="s">
        <v>71</v>
      </c>
    </row>
    <row r="68" spans="1:11" ht="18.75" customHeight="1" x14ac:dyDescent="0.15">
      <c r="A68" s="204"/>
      <c r="B68" s="265" t="s">
        <v>203</v>
      </c>
      <c r="C68" s="266"/>
      <c r="D68" s="266"/>
      <c r="E68" s="266"/>
      <c r="F68" s="266"/>
      <c r="G68" s="266"/>
      <c r="H68" s="266"/>
      <c r="I68" s="267"/>
      <c r="J68" s="268"/>
      <c r="K68" s="263" t="str">
        <f>IF(B68="","入力してください","")</f>
        <v/>
      </c>
    </row>
    <row r="69" spans="1:11" ht="18.75" customHeight="1" x14ac:dyDescent="0.15">
      <c r="A69" s="204"/>
      <c r="B69" s="269"/>
      <c r="C69" s="270"/>
      <c r="D69" s="270"/>
      <c r="E69" s="270"/>
      <c r="F69" s="270"/>
      <c r="G69" s="270"/>
      <c r="H69" s="270"/>
      <c r="I69" s="270"/>
      <c r="J69" s="271"/>
      <c r="K69" s="263"/>
    </row>
    <row r="70" spans="1:11" ht="18.75" customHeight="1" x14ac:dyDescent="0.15">
      <c r="A70" s="204"/>
      <c r="B70" s="269"/>
      <c r="C70" s="270"/>
      <c r="D70" s="270"/>
      <c r="E70" s="270"/>
      <c r="F70" s="270"/>
      <c r="G70" s="270"/>
      <c r="H70" s="270"/>
      <c r="I70" s="270"/>
      <c r="J70" s="271"/>
      <c r="K70" s="263"/>
    </row>
    <row r="71" spans="1:11" ht="18.75" customHeight="1" x14ac:dyDescent="0.15">
      <c r="A71" s="204"/>
      <c r="B71" s="269"/>
      <c r="C71" s="270"/>
      <c r="D71" s="270"/>
      <c r="E71" s="270"/>
      <c r="F71" s="270"/>
      <c r="G71" s="270"/>
      <c r="H71" s="270"/>
      <c r="I71" s="270"/>
      <c r="J71" s="271"/>
      <c r="K71" s="263"/>
    </row>
    <row r="72" spans="1:11" ht="18.75" customHeight="1" x14ac:dyDescent="0.15">
      <c r="A72" s="204"/>
      <c r="B72" s="269"/>
      <c r="C72" s="270"/>
      <c r="D72" s="270"/>
      <c r="E72" s="270"/>
      <c r="F72" s="270"/>
      <c r="G72" s="270"/>
      <c r="H72" s="270"/>
      <c r="I72" s="270"/>
      <c r="J72" s="271"/>
      <c r="K72" s="263"/>
    </row>
    <row r="73" spans="1:11" ht="18.75" customHeight="1" x14ac:dyDescent="0.15">
      <c r="A73" s="204"/>
      <c r="B73" s="269"/>
      <c r="C73" s="270"/>
      <c r="D73" s="270"/>
      <c r="E73" s="270"/>
      <c r="F73" s="270"/>
      <c r="G73" s="270"/>
      <c r="H73" s="270"/>
      <c r="I73" s="270"/>
      <c r="J73" s="271"/>
      <c r="K73" s="263"/>
    </row>
    <row r="74" spans="1:11" ht="18.75" customHeight="1" x14ac:dyDescent="0.15">
      <c r="A74" s="204"/>
      <c r="B74" s="269"/>
      <c r="C74" s="270"/>
      <c r="D74" s="270"/>
      <c r="E74" s="270"/>
      <c r="F74" s="270"/>
      <c r="G74" s="270"/>
      <c r="H74" s="270"/>
      <c r="I74" s="270"/>
      <c r="J74" s="271"/>
      <c r="K74" s="263"/>
    </row>
    <row r="75" spans="1:11" ht="18.75" customHeight="1" x14ac:dyDescent="0.15">
      <c r="A75" s="204"/>
      <c r="B75" s="269"/>
      <c r="C75" s="270"/>
      <c r="D75" s="270"/>
      <c r="E75" s="270"/>
      <c r="F75" s="270"/>
      <c r="G75" s="270"/>
      <c r="H75" s="270"/>
      <c r="I75" s="270"/>
      <c r="J75" s="271"/>
      <c r="K75" s="263"/>
    </row>
    <row r="76" spans="1:11" ht="18.75" customHeight="1" x14ac:dyDescent="0.15">
      <c r="A76" s="204"/>
      <c r="B76" s="269"/>
      <c r="C76" s="270"/>
      <c r="D76" s="270"/>
      <c r="E76" s="270"/>
      <c r="F76" s="270"/>
      <c r="G76" s="270"/>
      <c r="H76" s="270"/>
      <c r="I76" s="270"/>
      <c r="J76" s="271"/>
      <c r="K76" s="263"/>
    </row>
    <row r="77" spans="1:11" ht="18.75" customHeight="1" x14ac:dyDescent="0.15">
      <c r="A77" s="204"/>
      <c r="B77" s="269"/>
      <c r="C77" s="270"/>
      <c r="D77" s="270"/>
      <c r="E77" s="270"/>
      <c r="F77" s="270"/>
      <c r="G77" s="270"/>
      <c r="H77" s="270"/>
      <c r="I77" s="270"/>
      <c r="J77" s="271"/>
      <c r="K77" s="263"/>
    </row>
    <row r="78" spans="1:11" ht="18.75" customHeight="1" x14ac:dyDescent="0.15">
      <c r="A78" s="204"/>
      <c r="B78" s="269"/>
      <c r="C78" s="270"/>
      <c r="D78" s="270"/>
      <c r="E78" s="270"/>
      <c r="F78" s="270"/>
      <c r="G78" s="270"/>
      <c r="H78" s="270"/>
      <c r="I78" s="270"/>
      <c r="J78" s="271"/>
      <c r="K78" s="263"/>
    </row>
    <row r="79" spans="1:11" ht="18.75" customHeight="1" x14ac:dyDescent="0.15">
      <c r="A79" s="204"/>
      <c r="B79" s="269"/>
      <c r="C79" s="270"/>
      <c r="D79" s="270"/>
      <c r="E79" s="270"/>
      <c r="F79" s="270"/>
      <c r="G79" s="270"/>
      <c r="H79" s="270"/>
      <c r="I79" s="270"/>
      <c r="J79" s="271"/>
      <c r="K79" s="263"/>
    </row>
    <row r="80" spans="1:11" ht="18.75" customHeight="1" x14ac:dyDescent="0.15">
      <c r="A80" s="204"/>
      <c r="B80" s="269"/>
      <c r="C80" s="270"/>
      <c r="D80" s="270"/>
      <c r="E80" s="270"/>
      <c r="F80" s="270"/>
      <c r="G80" s="270"/>
      <c r="H80" s="270"/>
      <c r="I80" s="270"/>
      <c r="J80" s="271"/>
      <c r="K80" s="263"/>
    </row>
    <row r="81" spans="1:11" ht="18.75" customHeight="1" x14ac:dyDescent="0.15">
      <c r="A81" s="204"/>
      <c r="B81" s="269"/>
      <c r="C81" s="270"/>
      <c r="D81" s="270"/>
      <c r="E81" s="270"/>
      <c r="F81" s="270"/>
      <c r="G81" s="270"/>
      <c r="H81" s="270"/>
      <c r="I81" s="270"/>
      <c r="J81" s="271"/>
      <c r="K81" s="263"/>
    </row>
    <row r="82" spans="1:11" ht="18.75" customHeight="1" x14ac:dyDescent="0.15">
      <c r="A82" s="204"/>
      <c r="B82" s="269"/>
      <c r="C82" s="270"/>
      <c r="D82" s="270"/>
      <c r="E82" s="270"/>
      <c r="F82" s="270"/>
      <c r="G82" s="270"/>
      <c r="H82" s="270"/>
      <c r="I82" s="270"/>
      <c r="J82" s="271"/>
      <c r="K82" s="263"/>
    </row>
    <row r="83" spans="1:11" ht="18.75" customHeight="1" x14ac:dyDescent="0.15">
      <c r="A83" s="276"/>
      <c r="B83" s="269"/>
      <c r="C83" s="270"/>
      <c r="D83" s="270"/>
      <c r="E83" s="270"/>
      <c r="F83" s="270"/>
      <c r="G83" s="270"/>
      <c r="H83" s="270"/>
      <c r="I83" s="270"/>
      <c r="J83" s="271"/>
      <c r="K83" s="263"/>
    </row>
    <row r="84" spans="1:11" ht="18.75" customHeight="1" x14ac:dyDescent="0.15">
      <c r="A84" s="276"/>
      <c r="B84" s="272"/>
      <c r="C84" s="273"/>
      <c r="D84" s="273"/>
      <c r="E84" s="273"/>
      <c r="F84" s="273"/>
      <c r="G84" s="273"/>
      <c r="H84" s="273"/>
      <c r="I84" s="273"/>
      <c r="J84" s="274"/>
      <c r="K84" s="263"/>
    </row>
    <row r="85" spans="1:11" ht="7.5" customHeight="1" x14ac:dyDescent="0.15">
      <c r="A85" s="276"/>
      <c r="B85" s="276"/>
      <c r="C85" s="276"/>
      <c r="D85" s="276"/>
      <c r="E85" s="276"/>
      <c r="F85" s="276"/>
      <c r="G85" s="276"/>
      <c r="H85" s="276"/>
      <c r="I85" s="276"/>
      <c r="J85" s="276"/>
    </row>
    <row r="86" spans="1:11" ht="18.75" customHeight="1" x14ac:dyDescent="0.15">
      <c r="A86" s="204" t="s">
        <v>12</v>
      </c>
      <c r="B86" s="204" t="s">
        <v>27</v>
      </c>
    </row>
    <row r="87" spans="1:11" ht="18.75" customHeight="1" x14ac:dyDescent="0.15">
      <c r="A87" s="204"/>
      <c r="B87" s="265" t="s">
        <v>180</v>
      </c>
      <c r="C87" s="266"/>
      <c r="D87" s="266"/>
      <c r="E87" s="266"/>
      <c r="F87" s="266"/>
      <c r="G87" s="266"/>
      <c r="H87" s="266"/>
      <c r="I87" s="267"/>
      <c r="J87" s="268"/>
    </row>
    <row r="88" spans="1:11" ht="18.75" customHeight="1" x14ac:dyDescent="0.15">
      <c r="A88" s="204"/>
      <c r="B88" s="269"/>
      <c r="C88" s="270"/>
      <c r="D88" s="270"/>
      <c r="E88" s="270"/>
      <c r="F88" s="270"/>
      <c r="G88" s="270"/>
      <c r="H88" s="270"/>
      <c r="I88" s="270"/>
      <c r="J88" s="271"/>
      <c r="K88" s="263"/>
    </row>
    <row r="89" spans="1:11" ht="18.75" customHeight="1" x14ac:dyDescent="0.15">
      <c r="A89" s="204"/>
      <c r="B89" s="269"/>
      <c r="C89" s="270"/>
      <c r="D89" s="270"/>
      <c r="E89" s="270"/>
      <c r="F89" s="270"/>
      <c r="G89" s="270"/>
      <c r="H89" s="270"/>
      <c r="I89" s="270"/>
      <c r="J89" s="271"/>
      <c r="K89" s="263" t="str">
        <f>IF(B87="","入力してください","")</f>
        <v/>
      </c>
    </row>
    <row r="90" spans="1:11" ht="18.75" customHeight="1" x14ac:dyDescent="0.15">
      <c r="A90" s="204"/>
      <c r="B90" s="269"/>
      <c r="C90" s="270"/>
      <c r="D90" s="270"/>
      <c r="E90" s="270"/>
      <c r="F90" s="270"/>
      <c r="G90" s="270"/>
      <c r="H90" s="270"/>
      <c r="I90" s="270"/>
      <c r="J90" s="271"/>
      <c r="K90" s="263"/>
    </row>
    <row r="91" spans="1:11" ht="18.75" customHeight="1" x14ac:dyDescent="0.15">
      <c r="A91" s="204"/>
      <c r="B91" s="269"/>
      <c r="C91" s="270"/>
      <c r="D91" s="270"/>
      <c r="E91" s="270"/>
      <c r="F91" s="270"/>
      <c r="G91" s="270"/>
      <c r="H91" s="270"/>
      <c r="I91" s="270"/>
      <c r="J91" s="271"/>
      <c r="K91" s="263"/>
    </row>
    <row r="92" spans="1:11" ht="18.75" customHeight="1" x14ac:dyDescent="0.15">
      <c r="A92" s="204"/>
      <c r="B92" s="269"/>
      <c r="C92" s="270"/>
      <c r="D92" s="270"/>
      <c r="E92" s="270"/>
      <c r="F92" s="270"/>
      <c r="G92" s="270"/>
      <c r="H92" s="270"/>
      <c r="I92" s="270"/>
      <c r="J92" s="271"/>
      <c r="K92" s="263"/>
    </row>
    <row r="93" spans="1:11" ht="18.75" customHeight="1" x14ac:dyDescent="0.15">
      <c r="A93" s="204"/>
      <c r="B93" s="269"/>
      <c r="C93" s="270"/>
      <c r="D93" s="270"/>
      <c r="E93" s="270"/>
      <c r="F93" s="270"/>
      <c r="G93" s="270"/>
      <c r="H93" s="270"/>
      <c r="I93" s="270"/>
      <c r="J93" s="271"/>
      <c r="K93" s="263"/>
    </row>
    <row r="94" spans="1:11" ht="18.75" customHeight="1" x14ac:dyDescent="0.15">
      <c r="A94" s="204"/>
      <c r="B94" s="269"/>
      <c r="C94" s="270"/>
      <c r="D94" s="270"/>
      <c r="E94" s="270"/>
      <c r="F94" s="270"/>
      <c r="G94" s="270"/>
      <c r="H94" s="270"/>
      <c r="I94" s="270"/>
      <c r="J94" s="271"/>
      <c r="K94" s="263"/>
    </row>
    <row r="95" spans="1:11" ht="18.75" customHeight="1" x14ac:dyDescent="0.15">
      <c r="A95" s="204"/>
      <c r="B95" s="269"/>
      <c r="C95" s="270"/>
      <c r="D95" s="270"/>
      <c r="E95" s="270"/>
      <c r="F95" s="270"/>
      <c r="G95" s="270"/>
      <c r="H95" s="270"/>
      <c r="I95" s="270"/>
      <c r="J95" s="271"/>
      <c r="K95" s="263"/>
    </row>
    <row r="96" spans="1:11" ht="18.75" customHeight="1" x14ac:dyDescent="0.15">
      <c r="A96" s="204"/>
      <c r="B96" s="269"/>
      <c r="C96" s="270"/>
      <c r="D96" s="270"/>
      <c r="E96" s="270"/>
      <c r="F96" s="270"/>
      <c r="G96" s="270"/>
      <c r="H96" s="270"/>
      <c r="I96" s="270"/>
      <c r="J96" s="271"/>
      <c r="K96" s="263"/>
    </row>
    <row r="97" spans="1:11" ht="18.75" customHeight="1" x14ac:dyDescent="0.15">
      <c r="A97" s="204"/>
      <c r="B97" s="269"/>
      <c r="C97" s="270"/>
      <c r="D97" s="270"/>
      <c r="E97" s="270"/>
      <c r="F97" s="270"/>
      <c r="G97" s="270"/>
      <c r="H97" s="270"/>
      <c r="I97" s="270"/>
      <c r="J97" s="271"/>
      <c r="K97" s="263"/>
    </row>
    <row r="98" spans="1:11" ht="18.75" customHeight="1" x14ac:dyDescent="0.15">
      <c r="A98" s="204"/>
      <c r="B98" s="269"/>
      <c r="C98" s="270"/>
      <c r="D98" s="270"/>
      <c r="E98" s="270"/>
      <c r="F98" s="270"/>
      <c r="G98" s="270"/>
      <c r="H98" s="270"/>
      <c r="I98" s="270"/>
      <c r="J98" s="271"/>
      <c r="K98" s="263"/>
    </row>
    <row r="99" spans="1:11" ht="18.75" customHeight="1" x14ac:dyDescent="0.15">
      <c r="A99" s="204"/>
      <c r="B99" s="269"/>
      <c r="C99" s="270"/>
      <c r="D99" s="270"/>
      <c r="E99" s="270"/>
      <c r="F99" s="270"/>
      <c r="G99" s="270"/>
      <c r="H99" s="270"/>
      <c r="I99" s="270"/>
      <c r="J99" s="271"/>
      <c r="K99" s="263"/>
    </row>
    <row r="100" spans="1:11" ht="18.75" customHeight="1" x14ac:dyDescent="0.15">
      <c r="A100" s="204"/>
      <c r="B100" s="269"/>
      <c r="C100" s="270"/>
      <c r="D100" s="270"/>
      <c r="E100" s="270"/>
      <c r="F100" s="270"/>
      <c r="G100" s="270"/>
      <c r="H100" s="270"/>
      <c r="I100" s="270"/>
      <c r="J100" s="271"/>
      <c r="K100" s="263"/>
    </row>
    <row r="101" spans="1:11" ht="18.75" customHeight="1" x14ac:dyDescent="0.15">
      <c r="A101" s="204"/>
      <c r="B101" s="269"/>
      <c r="C101" s="270"/>
      <c r="D101" s="270"/>
      <c r="E101" s="270"/>
      <c r="F101" s="270"/>
      <c r="G101" s="270"/>
      <c r="H101" s="270"/>
      <c r="I101" s="270"/>
      <c r="J101" s="271"/>
      <c r="K101" s="263"/>
    </row>
    <row r="102" spans="1:11" ht="18.75" customHeight="1" x14ac:dyDescent="0.15">
      <c r="A102" s="204"/>
      <c r="B102" s="269"/>
      <c r="C102" s="270"/>
      <c r="D102" s="270"/>
      <c r="E102" s="270"/>
      <c r="F102" s="270"/>
      <c r="G102" s="270"/>
      <c r="H102" s="270"/>
      <c r="I102" s="270"/>
      <c r="J102" s="271"/>
      <c r="K102" s="263"/>
    </row>
    <row r="103" spans="1:11" ht="18.75" customHeight="1" x14ac:dyDescent="0.15">
      <c r="A103" s="204"/>
      <c r="B103" s="269"/>
      <c r="C103" s="270"/>
      <c r="D103" s="270"/>
      <c r="E103" s="270"/>
      <c r="F103" s="270"/>
      <c r="G103" s="270"/>
      <c r="H103" s="270"/>
      <c r="I103" s="270"/>
      <c r="J103" s="271"/>
      <c r="K103" s="263"/>
    </row>
    <row r="104" spans="1:11" ht="18.75" customHeight="1" x14ac:dyDescent="0.15">
      <c r="A104" s="204"/>
      <c r="B104" s="269"/>
      <c r="C104" s="270"/>
      <c r="D104" s="270"/>
      <c r="E104" s="270"/>
      <c r="F104" s="270"/>
      <c r="G104" s="270"/>
      <c r="H104" s="270"/>
      <c r="I104" s="270"/>
      <c r="J104" s="271"/>
      <c r="K104" s="263"/>
    </row>
    <row r="105" spans="1:11" ht="18.75" customHeight="1" x14ac:dyDescent="0.15">
      <c r="A105" s="276"/>
      <c r="B105" s="269"/>
      <c r="C105" s="270"/>
      <c r="D105" s="270"/>
      <c r="E105" s="270"/>
      <c r="F105" s="270"/>
      <c r="G105" s="270"/>
      <c r="H105" s="270"/>
      <c r="I105" s="270"/>
      <c r="J105" s="271"/>
      <c r="K105" s="263"/>
    </row>
    <row r="106" spans="1:11" ht="18.75" customHeight="1" x14ac:dyDescent="0.15">
      <c r="A106" s="276"/>
      <c r="B106" s="272"/>
      <c r="C106" s="273"/>
      <c r="D106" s="273"/>
      <c r="E106" s="273"/>
      <c r="F106" s="273"/>
      <c r="G106" s="273"/>
      <c r="H106" s="273"/>
      <c r="I106" s="273"/>
      <c r="J106" s="274"/>
      <c r="K106" s="263"/>
    </row>
    <row r="107" spans="1:11" ht="7.5" customHeight="1" x14ac:dyDescent="0.15">
      <c r="A107" s="276"/>
      <c r="B107" s="276"/>
      <c r="C107" s="276"/>
      <c r="D107" s="276"/>
      <c r="E107" s="276"/>
      <c r="F107" s="276"/>
      <c r="G107" s="276"/>
      <c r="H107" s="276"/>
      <c r="I107" s="276"/>
      <c r="J107" s="276"/>
    </row>
    <row r="108" spans="1:11" ht="18.75" customHeight="1" x14ac:dyDescent="0.15">
      <c r="A108" s="204" t="s">
        <v>53</v>
      </c>
      <c r="B108" s="299" t="s">
        <v>82</v>
      </c>
      <c r="C108" s="299"/>
      <c r="D108" s="299"/>
      <c r="E108" s="299"/>
      <c r="F108" s="299"/>
      <c r="G108" s="299"/>
      <c r="H108" s="299"/>
      <c r="I108" s="299"/>
      <c r="J108" s="299"/>
    </row>
    <row r="109" spans="1:11" ht="18.75" customHeight="1" x14ac:dyDescent="0.15">
      <c r="A109" s="276"/>
      <c r="B109" s="265" t="s">
        <v>181</v>
      </c>
      <c r="C109" s="266"/>
      <c r="D109" s="266"/>
      <c r="E109" s="266"/>
      <c r="F109" s="266"/>
      <c r="G109" s="266"/>
      <c r="H109" s="266"/>
      <c r="I109" s="267"/>
      <c r="J109" s="268"/>
    </row>
    <row r="110" spans="1:11" ht="18.75" customHeight="1" x14ac:dyDescent="0.15">
      <c r="A110" s="276"/>
      <c r="B110" s="269"/>
      <c r="C110" s="270"/>
      <c r="D110" s="270"/>
      <c r="E110" s="270"/>
      <c r="F110" s="270"/>
      <c r="G110" s="270"/>
      <c r="H110" s="270"/>
      <c r="I110" s="270"/>
      <c r="J110" s="271"/>
      <c r="K110" s="263"/>
    </row>
    <row r="111" spans="1:11" ht="18.75" customHeight="1" x14ac:dyDescent="0.15">
      <c r="A111" s="276"/>
      <c r="B111" s="269"/>
      <c r="C111" s="270"/>
      <c r="D111" s="270"/>
      <c r="E111" s="270"/>
      <c r="F111" s="270"/>
      <c r="G111" s="270"/>
      <c r="H111" s="270"/>
      <c r="I111" s="270"/>
      <c r="J111" s="271"/>
      <c r="K111" s="204" t="str">
        <f>IF(B109="","入力してください","")</f>
        <v/>
      </c>
    </row>
    <row r="112" spans="1:11" ht="18.75" customHeight="1" x14ac:dyDescent="0.15">
      <c r="A112" s="276"/>
      <c r="B112" s="269"/>
      <c r="C112" s="270"/>
      <c r="D112" s="270"/>
      <c r="E112" s="270"/>
      <c r="F112" s="270"/>
      <c r="G112" s="270"/>
      <c r="H112" s="270"/>
      <c r="I112" s="270"/>
      <c r="J112" s="271"/>
    </row>
    <row r="113" spans="1:10" ht="18.75" customHeight="1" x14ac:dyDescent="0.15">
      <c r="A113" s="276"/>
      <c r="B113" s="269"/>
      <c r="C113" s="270"/>
      <c r="D113" s="270"/>
      <c r="E113" s="270"/>
      <c r="F113" s="270"/>
      <c r="G113" s="270"/>
      <c r="H113" s="270"/>
      <c r="I113" s="270"/>
      <c r="J113" s="271"/>
    </row>
    <row r="114" spans="1:10" ht="18.75" customHeight="1" x14ac:dyDescent="0.15">
      <c r="A114" s="276"/>
      <c r="B114" s="269"/>
      <c r="C114" s="270"/>
      <c r="D114" s="270"/>
      <c r="E114" s="270"/>
      <c r="F114" s="270"/>
      <c r="G114" s="270"/>
      <c r="H114" s="270"/>
      <c r="I114" s="270"/>
      <c r="J114" s="271"/>
    </row>
    <row r="115" spans="1:10" ht="18.75" customHeight="1" x14ac:dyDescent="0.15">
      <c r="A115" s="276"/>
      <c r="B115" s="269"/>
      <c r="C115" s="270"/>
      <c r="D115" s="270"/>
      <c r="E115" s="270"/>
      <c r="F115" s="270"/>
      <c r="G115" s="270"/>
      <c r="H115" s="270"/>
      <c r="I115" s="270"/>
      <c r="J115" s="271"/>
    </row>
    <row r="116" spans="1:10" ht="18.75" customHeight="1" x14ac:dyDescent="0.15">
      <c r="A116" s="276"/>
      <c r="B116" s="269"/>
      <c r="C116" s="270"/>
      <c r="D116" s="270"/>
      <c r="E116" s="270"/>
      <c r="F116" s="270"/>
      <c r="G116" s="270"/>
      <c r="H116" s="270"/>
      <c r="I116" s="270"/>
      <c r="J116" s="271"/>
    </row>
    <row r="117" spans="1:10" ht="18.75" customHeight="1" x14ac:dyDescent="0.15">
      <c r="A117" s="276"/>
      <c r="B117" s="269"/>
      <c r="C117" s="270"/>
      <c r="D117" s="270"/>
      <c r="E117" s="270"/>
      <c r="F117" s="270"/>
      <c r="G117" s="270"/>
      <c r="H117" s="270"/>
      <c r="I117" s="270"/>
      <c r="J117" s="271"/>
    </row>
    <row r="118" spans="1:10" ht="18.75" customHeight="1" x14ac:dyDescent="0.15">
      <c r="A118" s="276"/>
      <c r="B118" s="269"/>
      <c r="C118" s="270"/>
      <c r="D118" s="270"/>
      <c r="E118" s="270"/>
      <c r="F118" s="270"/>
      <c r="G118" s="270"/>
      <c r="H118" s="270"/>
      <c r="I118" s="270"/>
      <c r="J118" s="271"/>
    </row>
    <row r="119" spans="1:10" ht="18.75" customHeight="1" x14ac:dyDescent="0.15">
      <c r="A119" s="276"/>
      <c r="B119" s="269"/>
      <c r="C119" s="270"/>
      <c r="D119" s="270"/>
      <c r="E119" s="270"/>
      <c r="F119" s="270"/>
      <c r="G119" s="270"/>
      <c r="H119" s="270"/>
      <c r="I119" s="270"/>
      <c r="J119" s="271"/>
    </row>
    <row r="120" spans="1:10" ht="18.75" customHeight="1" x14ac:dyDescent="0.15">
      <c r="A120" s="276"/>
      <c r="B120" s="269"/>
      <c r="C120" s="270"/>
      <c r="D120" s="270"/>
      <c r="E120" s="270"/>
      <c r="F120" s="270"/>
      <c r="G120" s="270"/>
      <c r="H120" s="270"/>
      <c r="I120" s="270"/>
      <c r="J120" s="271"/>
    </row>
    <row r="121" spans="1:10" ht="18.75" customHeight="1" x14ac:dyDescent="0.15">
      <c r="A121" s="276"/>
      <c r="B121" s="269"/>
      <c r="C121" s="270"/>
      <c r="D121" s="270"/>
      <c r="E121" s="270"/>
      <c r="F121" s="270"/>
      <c r="G121" s="270"/>
      <c r="H121" s="270"/>
      <c r="I121" s="270"/>
      <c r="J121" s="271"/>
    </row>
    <row r="122" spans="1:10" ht="18.75" customHeight="1" x14ac:dyDescent="0.15">
      <c r="A122" s="276"/>
      <c r="B122" s="269"/>
      <c r="C122" s="270"/>
      <c r="D122" s="270"/>
      <c r="E122" s="270"/>
      <c r="F122" s="270"/>
      <c r="G122" s="270"/>
      <c r="H122" s="270"/>
      <c r="I122" s="270"/>
      <c r="J122" s="271"/>
    </row>
    <row r="123" spans="1:10" ht="18.75" customHeight="1" x14ac:dyDescent="0.15">
      <c r="A123" s="276"/>
      <c r="B123" s="269"/>
      <c r="C123" s="270"/>
      <c r="D123" s="270"/>
      <c r="E123" s="270"/>
      <c r="F123" s="270"/>
      <c r="G123" s="270"/>
      <c r="H123" s="270"/>
      <c r="I123" s="270"/>
      <c r="J123" s="271"/>
    </row>
    <row r="124" spans="1:10" ht="18.75" customHeight="1" x14ac:dyDescent="0.15">
      <c r="A124" s="276"/>
      <c r="B124" s="269"/>
      <c r="C124" s="270"/>
      <c r="D124" s="270"/>
      <c r="E124" s="270"/>
      <c r="F124" s="270"/>
      <c r="G124" s="270"/>
      <c r="H124" s="270"/>
      <c r="I124" s="270"/>
      <c r="J124" s="271"/>
    </row>
    <row r="125" spans="1:10" ht="18.75" customHeight="1" x14ac:dyDescent="0.15">
      <c r="A125" s="276"/>
      <c r="B125" s="269"/>
      <c r="C125" s="270"/>
      <c r="D125" s="270"/>
      <c r="E125" s="270"/>
      <c r="F125" s="270"/>
      <c r="G125" s="270"/>
      <c r="H125" s="270"/>
      <c r="I125" s="270"/>
      <c r="J125" s="271"/>
    </row>
    <row r="126" spans="1:10" ht="18.75" customHeight="1" x14ac:dyDescent="0.15">
      <c r="A126" s="276"/>
      <c r="B126" s="272"/>
      <c r="C126" s="273"/>
      <c r="D126" s="273"/>
      <c r="E126" s="273"/>
      <c r="F126" s="273"/>
      <c r="G126" s="273"/>
      <c r="H126" s="273"/>
      <c r="I126" s="273"/>
      <c r="J126" s="274"/>
    </row>
    <row r="127" spans="1:10" ht="7.5" customHeight="1" x14ac:dyDescent="0.15">
      <c r="A127" s="276"/>
      <c r="B127" s="300"/>
      <c r="C127" s="300"/>
      <c r="D127" s="300"/>
      <c r="E127" s="300"/>
      <c r="F127" s="300"/>
      <c r="G127" s="300"/>
      <c r="H127" s="300"/>
      <c r="I127" s="300"/>
      <c r="J127" s="300"/>
    </row>
    <row r="128" spans="1:10" ht="18.75" customHeight="1" x14ac:dyDescent="0.15">
      <c r="A128" s="276"/>
      <c r="B128" s="276"/>
      <c r="C128" s="276"/>
      <c r="D128" s="276"/>
      <c r="E128" s="276"/>
      <c r="F128" s="276"/>
      <c r="G128" s="276"/>
      <c r="H128" s="276"/>
      <c r="I128" s="276"/>
      <c r="J128" s="276"/>
    </row>
    <row r="129" spans="1:10" ht="18.75" customHeight="1" x14ac:dyDescent="0.15">
      <c r="A129" s="276"/>
      <c r="B129" s="276"/>
      <c r="C129" s="276"/>
      <c r="D129" s="276"/>
      <c r="E129" s="276"/>
      <c r="F129" s="276"/>
      <c r="G129" s="276"/>
      <c r="H129" s="276"/>
      <c r="I129" s="276"/>
      <c r="J129" s="276"/>
    </row>
    <row r="130" spans="1:10" ht="18.75" customHeight="1" x14ac:dyDescent="0.15">
      <c r="A130" s="276"/>
      <c r="B130" s="276"/>
      <c r="C130" s="276"/>
      <c r="D130" s="276"/>
      <c r="E130" s="276"/>
      <c r="F130" s="276"/>
      <c r="G130" s="276"/>
      <c r="H130" s="276"/>
      <c r="I130" s="276"/>
      <c r="J130" s="276"/>
    </row>
    <row r="131" spans="1:10" ht="18.75" customHeight="1" x14ac:dyDescent="0.15">
      <c r="A131" s="276"/>
      <c r="B131" s="276"/>
      <c r="C131" s="276"/>
      <c r="D131" s="276"/>
      <c r="E131" s="276"/>
      <c r="F131" s="276"/>
      <c r="G131" s="276"/>
      <c r="H131" s="276"/>
      <c r="I131" s="276"/>
      <c r="J131" s="276"/>
    </row>
    <row r="132" spans="1:10" ht="18.75" customHeight="1" x14ac:dyDescent="0.15">
      <c r="A132" s="276"/>
      <c r="B132" s="276"/>
      <c r="C132" s="276"/>
      <c r="D132" s="276"/>
      <c r="E132" s="276"/>
      <c r="F132" s="276"/>
      <c r="G132" s="276"/>
      <c r="H132" s="276"/>
      <c r="I132" s="276"/>
      <c r="J132" s="276"/>
    </row>
    <row r="133" spans="1:10" ht="18.75" customHeight="1" x14ac:dyDescent="0.15">
      <c r="A133" s="276"/>
      <c r="B133" s="276"/>
      <c r="C133" s="276"/>
      <c r="D133" s="276"/>
      <c r="E133" s="276"/>
      <c r="F133" s="276"/>
      <c r="G133" s="276"/>
      <c r="H133" s="276"/>
      <c r="I133" s="276"/>
      <c r="J133" s="276"/>
    </row>
    <row r="134" spans="1:10" ht="18.75" customHeight="1" x14ac:dyDescent="0.15">
      <c r="A134" s="276"/>
      <c r="B134" s="276"/>
      <c r="C134" s="276"/>
      <c r="D134" s="276"/>
      <c r="E134" s="276"/>
      <c r="F134" s="276"/>
      <c r="G134" s="276"/>
      <c r="H134" s="276"/>
      <c r="I134" s="276"/>
      <c r="J134" s="276"/>
    </row>
    <row r="135" spans="1:10" ht="18.75" customHeight="1" x14ac:dyDescent="0.15">
      <c r="A135" s="276"/>
      <c r="B135" s="276"/>
      <c r="C135" s="276"/>
      <c r="D135" s="276"/>
      <c r="E135" s="276"/>
      <c r="F135" s="276"/>
      <c r="G135" s="276"/>
      <c r="H135" s="276"/>
      <c r="I135" s="276"/>
      <c r="J135" s="276"/>
    </row>
    <row r="136" spans="1:10" ht="18.75" customHeight="1" x14ac:dyDescent="0.15">
      <c r="A136" s="276"/>
      <c r="B136" s="276"/>
      <c r="C136" s="276"/>
      <c r="D136" s="276"/>
      <c r="E136" s="276"/>
      <c r="F136" s="276"/>
      <c r="G136" s="276"/>
      <c r="H136" s="276"/>
      <c r="I136" s="276"/>
      <c r="J136" s="276"/>
    </row>
    <row r="137" spans="1:10" ht="18.75" customHeight="1" x14ac:dyDescent="0.15">
      <c r="A137" s="276"/>
      <c r="B137" s="276"/>
      <c r="C137" s="276"/>
      <c r="D137" s="276"/>
      <c r="E137" s="276"/>
      <c r="F137" s="276"/>
      <c r="G137" s="276"/>
      <c r="H137" s="276"/>
      <c r="I137" s="276"/>
      <c r="J137" s="276"/>
    </row>
    <row r="138" spans="1:10" ht="18.75" customHeight="1" x14ac:dyDescent="0.15">
      <c r="A138" s="276"/>
      <c r="B138" s="276"/>
      <c r="C138" s="276"/>
      <c r="D138" s="276"/>
      <c r="E138" s="276"/>
      <c r="F138" s="276"/>
      <c r="G138" s="276"/>
      <c r="H138" s="276"/>
      <c r="I138" s="276"/>
      <c r="J138" s="276"/>
    </row>
    <row r="139" spans="1:10" ht="18.75" customHeight="1" x14ac:dyDescent="0.15">
      <c r="A139" s="276"/>
      <c r="B139" s="276"/>
      <c r="C139" s="276"/>
      <c r="D139" s="276"/>
      <c r="E139" s="276"/>
      <c r="F139" s="276"/>
      <c r="G139" s="276"/>
      <c r="H139" s="276"/>
      <c r="I139" s="276"/>
      <c r="J139" s="276"/>
    </row>
    <row r="140" spans="1:10" ht="14.25" x14ac:dyDescent="0.15">
      <c r="A140" s="276"/>
      <c r="B140" s="276"/>
      <c r="C140" s="276"/>
      <c r="D140" s="276"/>
      <c r="E140" s="276"/>
      <c r="F140" s="276"/>
      <c r="G140" s="276"/>
      <c r="H140" s="276"/>
      <c r="I140" s="276"/>
      <c r="J140" s="276"/>
    </row>
    <row r="141" spans="1:10" ht="7.5" customHeight="1" x14ac:dyDescent="0.15">
      <c r="A141" s="301"/>
      <c r="B141" s="301"/>
      <c r="C141" s="301"/>
      <c r="D141" s="301"/>
      <c r="E141" s="301"/>
      <c r="F141" s="301"/>
      <c r="G141" s="301"/>
      <c r="H141" s="301"/>
      <c r="I141" s="301"/>
      <c r="J141" s="301"/>
    </row>
  </sheetData>
  <mergeCells count="11">
    <mergeCell ref="B45:J65"/>
    <mergeCell ref="B68:J84"/>
    <mergeCell ref="B87:J106"/>
    <mergeCell ref="B108:J108"/>
    <mergeCell ref="B109:J126"/>
    <mergeCell ref="B31:J43"/>
    <mergeCell ref="A2:J2"/>
    <mergeCell ref="B5:J5"/>
    <mergeCell ref="B8:J12"/>
    <mergeCell ref="B15:J25"/>
    <mergeCell ref="B30:J30"/>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3" max="9" man="1"/>
    <brk id="85"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showZeros="0" view="pageBreakPreview" zoomScaleNormal="100" zoomScaleSheetLayoutView="100" workbookViewId="0">
      <selection activeCell="M8" sqref="M8"/>
    </sheetView>
  </sheetViews>
  <sheetFormatPr defaultColWidth="11.375" defaultRowHeight="22.5" customHeight="1" x14ac:dyDescent="0.15"/>
  <cols>
    <col min="1" max="3" width="2.875" style="1" customWidth="1"/>
    <col min="4" max="4" width="22.125" style="1" customWidth="1"/>
    <col min="5" max="5" width="21.625" style="1" customWidth="1"/>
    <col min="6" max="7" width="7.875" style="1" customWidth="1"/>
    <col min="8" max="8" width="33.375" style="1" customWidth="1"/>
    <col min="9" max="9" width="24.5" style="1" customWidth="1"/>
    <col min="10" max="10" width="5.5" style="1" customWidth="1"/>
    <col min="11" max="11" width="4.125" style="1" customWidth="1"/>
    <col min="12" max="16384" width="11.375" style="1"/>
  </cols>
  <sheetData>
    <row r="1" spans="1:11" ht="18.75" customHeight="1" x14ac:dyDescent="0.15">
      <c r="A1" s="1" t="s">
        <v>117</v>
      </c>
      <c r="J1" s="56" t="s">
        <v>73</v>
      </c>
    </row>
    <row r="2" spans="1:11" ht="18.75" customHeight="1" x14ac:dyDescent="0.15">
      <c r="A2" s="180" t="s">
        <v>42</v>
      </c>
      <c r="B2" s="180"/>
      <c r="C2" s="180"/>
      <c r="D2" s="180"/>
      <c r="E2" s="180"/>
      <c r="F2" s="180"/>
      <c r="G2" s="180"/>
      <c r="H2" s="180"/>
      <c r="I2" s="180"/>
      <c r="J2" s="180"/>
    </row>
    <row r="3" spans="1:11" ht="7.5" customHeight="1" x14ac:dyDescent="0.15">
      <c r="A3" s="55"/>
      <c r="B3" s="55"/>
      <c r="C3" s="55"/>
      <c r="D3" s="55"/>
      <c r="E3" s="55"/>
      <c r="F3" s="55"/>
      <c r="G3" s="55"/>
      <c r="H3" s="55"/>
      <c r="I3" s="55"/>
      <c r="J3" s="55"/>
    </row>
    <row r="4" spans="1:11" ht="18.75" customHeight="1" x14ac:dyDescent="0.15">
      <c r="A4" s="1" t="s">
        <v>6</v>
      </c>
      <c r="B4" s="1" t="s">
        <v>41</v>
      </c>
      <c r="C4" s="26"/>
      <c r="D4" s="26"/>
      <c r="E4" s="26"/>
      <c r="F4" s="26"/>
      <c r="G4" s="26"/>
      <c r="H4" s="26"/>
      <c r="I4" s="26"/>
      <c r="J4" s="26"/>
    </row>
    <row r="5" spans="1:11" ht="18.75" customHeight="1" x14ac:dyDescent="0.15">
      <c r="B5" s="188" t="s">
        <v>38</v>
      </c>
      <c r="C5" s="189"/>
      <c r="D5" s="190"/>
      <c r="E5" s="189" t="s">
        <v>40</v>
      </c>
      <c r="F5" s="189"/>
      <c r="G5" s="189"/>
      <c r="H5" s="189"/>
      <c r="I5" s="189"/>
      <c r="J5" s="190"/>
    </row>
    <row r="6" spans="1:11" ht="18.75" customHeight="1" x14ac:dyDescent="0.15">
      <c r="B6" s="57" t="s">
        <v>28</v>
      </c>
      <c r="C6" s="26"/>
      <c r="D6" s="2"/>
      <c r="I6" s="26"/>
      <c r="J6" s="2"/>
    </row>
    <row r="7" spans="1:11" ht="154.5" customHeight="1" x14ac:dyDescent="0.15">
      <c r="B7" s="58"/>
      <c r="C7" s="191" t="s">
        <v>29</v>
      </c>
      <c r="D7" s="192"/>
      <c r="E7" s="185" t="s">
        <v>182</v>
      </c>
      <c r="F7" s="186"/>
      <c r="G7" s="186"/>
      <c r="H7" s="186"/>
      <c r="I7" s="186"/>
      <c r="J7" s="187"/>
      <c r="K7" s="1" t="str">
        <f>IF(E7="","入力してください","")</f>
        <v/>
      </c>
    </row>
    <row r="8" spans="1:11" ht="207" customHeight="1" x14ac:dyDescent="0.15">
      <c r="B8" s="58"/>
      <c r="C8" s="183" t="s">
        <v>30</v>
      </c>
      <c r="D8" s="184"/>
      <c r="E8" s="185" t="s">
        <v>198</v>
      </c>
      <c r="F8" s="186"/>
      <c r="G8" s="186"/>
      <c r="H8" s="186"/>
      <c r="I8" s="186"/>
      <c r="J8" s="187"/>
      <c r="K8" s="1" t="str">
        <f>IF(E8="","入力してください","")</f>
        <v/>
      </c>
    </row>
    <row r="9" spans="1:11" ht="172.5" customHeight="1" x14ac:dyDescent="0.15">
      <c r="B9" s="58"/>
      <c r="C9" s="191" t="s">
        <v>31</v>
      </c>
      <c r="D9" s="192"/>
      <c r="E9" s="185" t="s">
        <v>183</v>
      </c>
      <c r="F9" s="186"/>
      <c r="G9" s="186"/>
      <c r="H9" s="186"/>
      <c r="I9" s="186"/>
      <c r="J9" s="187"/>
      <c r="K9" s="1" t="str">
        <f>IF(E9="","入力してください","")</f>
        <v/>
      </c>
    </row>
    <row r="10" spans="1:11" ht="172.5" customHeight="1" x14ac:dyDescent="0.15">
      <c r="B10" s="58"/>
      <c r="C10" s="191" t="s">
        <v>32</v>
      </c>
      <c r="D10" s="192"/>
      <c r="E10" s="185" t="s">
        <v>184</v>
      </c>
      <c r="F10" s="186"/>
      <c r="G10" s="186"/>
      <c r="H10" s="186"/>
      <c r="I10" s="186"/>
      <c r="J10" s="187"/>
      <c r="K10" s="1" t="str">
        <f t="shared" ref="K10:K14" si="0">IF(E10="","入力してください","")</f>
        <v/>
      </c>
    </row>
    <row r="11" spans="1:11" ht="172.5" customHeight="1" x14ac:dyDescent="0.15">
      <c r="B11" s="58"/>
      <c r="C11" s="191" t="s">
        <v>33</v>
      </c>
      <c r="D11" s="192"/>
      <c r="E11" s="185" t="s">
        <v>183</v>
      </c>
      <c r="F11" s="186"/>
      <c r="G11" s="186"/>
      <c r="H11" s="186"/>
      <c r="I11" s="186"/>
      <c r="J11" s="187"/>
      <c r="K11" s="1" t="str">
        <f t="shared" si="0"/>
        <v/>
      </c>
    </row>
    <row r="12" spans="1:11" ht="18.75" customHeight="1" x14ac:dyDescent="0.15">
      <c r="B12" s="59" t="s">
        <v>34</v>
      </c>
      <c r="C12" s="60"/>
      <c r="D12" s="61"/>
      <c r="E12" s="62"/>
      <c r="F12" s="62"/>
      <c r="G12" s="62"/>
      <c r="H12" s="62"/>
      <c r="I12" s="62"/>
      <c r="J12" s="63"/>
    </row>
    <row r="13" spans="1:11" ht="244.35" customHeight="1" x14ac:dyDescent="0.15">
      <c r="B13" s="58"/>
      <c r="C13" s="191" t="s">
        <v>35</v>
      </c>
      <c r="D13" s="192"/>
      <c r="E13" s="186" t="s">
        <v>185</v>
      </c>
      <c r="F13" s="186"/>
      <c r="G13" s="186"/>
      <c r="H13" s="186"/>
      <c r="I13" s="186"/>
      <c r="J13" s="187"/>
      <c r="K13" s="1" t="str">
        <f t="shared" si="0"/>
        <v/>
      </c>
    </row>
    <row r="14" spans="1:11" ht="255" customHeight="1" x14ac:dyDescent="0.15">
      <c r="B14" s="58"/>
      <c r="C14" s="191" t="s">
        <v>36</v>
      </c>
      <c r="D14" s="192"/>
      <c r="E14" s="186" t="s">
        <v>186</v>
      </c>
      <c r="F14" s="186"/>
      <c r="G14" s="186"/>
      <c r="H14" s="186"/>
      <c r="I14" s="186"/>
      <c r="J14" s="187"/>
      <c r="K14" s="1" t="str">
        <f t="shared" si="0"/>
        <v/>
      </c>
    </row>
    <row r="15" spans="1:11" ht="243" customHeight="1" x14ac:dyDescent="0.15">
      <c r="B15" s="199" t="s">
        <v>37</v>
      </c>
      <c r="C15" s="200"/>
      <c r="D15" s="192"/>
      <c r="E15" s="186" t="s">
        <v>187</v>
      </c>
      <c r="F15" s="186"/>
      <c r="G15" s="186"/>
      <c r="H15" s="186"/>
      <c r="I15" s="186"/>
      <c r="J15" s="187"/>
      <c r="K15" s="1" t="str">
        <f>IF(E15="","入力してください","")</f>
        <v/>
      </c>
    </row>
    <row r="16" spans="1:11" ht="243" customHeight="1" x14ac:dyDescent="0.15">
      <c r="B16" s="193" t="s">
        <v>66</v>
      </c>
      <c r="C16" s="194"/>
      <c r="D16" s="195"/>
      <c r="E16" s="181" t="s">
        <v>188</v>
      </c>
      <c r="F16" s="181"/>
      <c r="G16" s="181"/>
      <c r="H16" s="181"/>
      <c r="I16" s="181"/>
      <c r="J16" s="182"/>
      <c r="K16" s="1" t="str">
        <f>IF(E16="","入力してください","")</f>
        <v/>
      </c>
    </row>
    <row r="17" spans="1:11" ht="7.5" customHeight="1" x14ac:dyDescent="0.15">
      <c r="B17" s="26"/>
      <c r="C17" s="26"/>
      <c r="D17" s="26"/>
      <c r="E17" s="26"/>
      <c r="F17" s="26"/>
      <c r="G17" s="26"/>
      <c r="H17" s="26"/>
      <c r="I17" s="26"/>
      <c r="J17" s="26"/>
    </row>
    <row r="18" spans="1:11" ht="18.75" customHeight="1" x14ac:dyDescent="0.15">
      <c r="A18" s="1" t="s">
        <v>118</v>
      </c>
      <c r="C18" s="26"/>
      <c r="D18" s="26"/>
      <c r="E18" s="26"/>
      <c r="F18" s="40"/>
      <c r="G18" s="196" t="s">
        <v>195</v>
      </c>
      <c r="H18" s="197"/>
      <c r="I18" s="197"/>
      <c r="J18" s="198"/>
      <c r="K18" s="1" t="str">
        <f>IF(G18="","入力してください","")</f>
        <v/>
      </c>
    </row>
    <row r="19" spans="1:11" ht="22.5" customHeight="1" x14ac:dyDescent="0.15">
      <c r="B19" s="26"/>
      <c r="C19" s="26"/>
      <c r="D19" s="26"/>
      <c r="E19" s="26"/>
      <c r="F19" s="26"/>
      <c r="G19" s="26"/>
      <c r="H19" s="26"/>
      <c r="I19" s="26"/>
      <c r="J19" s="26"/>
    </row>
    <row r="20" spans="1:11" ht="22.5" customHeight="1" x14ac:dyDescent="0.15">
      <c r="B20" s="26"/>
      <c r="C20" s="26"/>
      <c r="D20" s="26"/>
      <c r="E20" s="26"/>
      <c r="F20" s="26"/>
      <c r="G20" s="26"/>
      <c r="H20" s="26"/>
      <c r="I20" s="26"/>
      <c r="J20" s="26"/>
    </row>
    <row r="21" spans="1:11" ht="22.5" customHeight="1" x14ac:dyDescent="0.15">
      <c r="B21" s="26"/>
      <c r="C21" s="26"/>
      <c r="D21" s="26"/>
      <c r="E21" s="26"/>
      <c r="F21" s="26"/>
      <c r="G21" s="26"/>
      <c r="H21" s="26"/>
      <c r="I21" s="26"/>
      <c r="J21" s="26"/>
    </row>
    <row r="22" spans="1:11" ht="22.5" customHeight="1" x14ac:dyDescent="0.15">
      <c r="B22" s="26"/>
      <c r="C22" s="26"/>
      <c r="D22" s="26"/>
      <c r="E22" s="26"/>
      <c r="F22" s="26"/>
      <c r="G22" s="26"/>
      <c r="H22" s="26"/>
      <c r="I22" s="26"/>
      <c r="J22" s="26"/>
    </row>
    <row r="23" spans="1:11" ht="22.5" customHeight="1" x14ac:dyDescent="0.15">
      <c r="B23" s="26"/>
      <c r="C23" s="26"/>
      <c r="D23" s="26"/>
      <c r="E23" s="26"/>
      <c r="F23" s="26"/>
      <c r="G23" s="26"/>
      <c r="H23" s="26"/>
      <c r="I23" s="26"/>
      <c r="J23" s="26"/>
    </row>
    <row r="24" spans="1:11" ht="22.5" customHeight="1" x14ac:dyDescent="0.15">
      <c r="B24" s="39"/>
      <c r="C24" s="39"/>
      <c r="D24" s="39"/>
      <c r="E24" s="39"/>
      <c r="F24" s="39"/>
      <c r="G24" s="39"/>
      <c r="H24" s="39"/>
      <c r="I24" s="39"/>
      <c r="J24" s="39"/>
    </row>
    <row r="25" spans="1:11" ht="22.5" customHeight="1" x14ac:dyDescent="0.15">
      <c r="B25" s="39"/>
      <c r="C25" s="39"/>
      <c r="D25" s="39"/>
      <c r="E25" s="39"/>
      <c r="F25" s="39"/>
      <c r="G25" s="39"/>
      <c r="H25" s="39"/>
      <c r="I25" s="39"/>
      <c r="J25" s="39"/>
    </row>
    <row r="26" spans="1:11" ht="22.5" customHeight="1" x14ac:dyDescent="0.15">
      <c r="B26" s="39"/>
      <c r="C26" s="39"/>
      <c r="D26" s="39"/>
      <c r="E26" s="39"/>
      <c r="F26" s="39"/>
      <c r="G26" s="39"/>
      <c r="H26" s="39"/>
      <c r="I26" s="39"/>
      <c r="J26" s="39"/>
    </row>
  </sheetData>
  <mergeCells count="22">
    <mergeCell ref="B16:D16"/>
    <mergeCell ref="E16:J16"/>
    <mergeCell ref="G18:J18"/>
    <mergeCell ref="C13:D13"/>
    <mergeCell ref="E13:J13"/>
    <mergeCell ref="C14:D14"/>
    <mergeCell ref="E14:J14"/>
    <mergeCell ref="B15:D15"/>
    <mergeCell ref="E15:J15"/>
    <mergeCell ref="C9:D9"/>
    <mergeCell ref="E9:J9"/>
    <mergeCell ref="C10:D10"/>
    <mergeCell ref="E10:J10"/>
    <mergeCell ref="C11:D11"/>
    <mergeCell ref="E11:J11"/>
    <mergeCell ref="C8:D8"/>
    <mergeCell ref="E8:J8"/>
    <mergeCell ref="A2:J2"/>
    <mergeCell ref="B5:D5"/>
    <mergeCell ref="E5:J5"/>
    <mergeCell ref="C7:D7"/>
    <mergeCell ref="E7:J7"/>
  </mergeCells>
  <phoneticPr fontId="1"/>
  <printOptions horizontalCentered="1"/>
  <pageMargins left="0.78740157480314965" right="0.78740157480314965" top="0.78740157480314965" bottom="0.78740157480314965" header="0.31496062992125984" footer="0.31496062992125984"/>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様式１　大学等概要</vt:lpstr>
      <vt:lpstr>様式２　プログラムを構成する授業科目</vt:lpstr>
      <vt:lpstr>様式３　履修者等数の実績</vt:lpstr>
      <vt:lpstr>様式４　教育の質・履修者数を向上させるための体制・計画</vt:lpstr>
      <vt:lpstr>様式５　自己点検・評価</vt:lpstr>
      <vt:lpstr>'様式１　大学等概要'!Print_Area</vt:lpstr>
      <vt:lpstr>'様式２　プログラムを構成する授業科目'!Print_Area</vt:lpstr>
      <vt:lpstr>'様式３　履修者等数の実績'!Print_Area</vt:lpstr>
      <vt:lpstr>'様式４　教育の質・履修者数を向上させるための体制・計画'!Print_Area</vt:lpstr>
      <vt:lpstr>'様式５　自己点検・評価'!Print_Area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kyogaku1</cp:lastModifiedBy>
  <cp:lastPrinted>2022-05-08T02:10:44Z</cp:lastPrinted>
  <dcterms:created xsi:type="dcterms:W3CDTF">2011-06-14T05:32:50Z</dcterms:created>
  <dcterms:modified xsi:type="dcterms:W3CDTF">2022-05-26T04:42:47Z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