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C:\Users\00814001\Desktop\MDASH 申請書類一式\2.指摘対応\"/>
    </mc:Choice>
  </mc:AlternateContent>
  <xr:revisionPtr revIDLastSave="0" documentId="13_ncr:1_{4E0C3343-A96F-437A-88BA-842C4E86780D}" xr6:coauthVersionLast="47" xr6:coauthVersionMax="47" xr10:uidLastSave="{00000000-0000-0000-0000-000000000000}"/>
  <bookViews>
    <workbookView xWindow="-120" yWindow="-120" windowWidth="20730" windowHeight="11310" tabRatio="885" xr2:uid="{00000000-000D-0000-FFFF-FFFF00000000}"/>
  </bookViews>
  <sheets>
    <sheet name="様式１　大学等概要" sheetId="8" r:id="rId1"/>
    <sheet name="様式２-１　プログラムを構成する授業科目" sheetId="43" r:id="rId2"/>
    <sheet name="様式２-２　プログラムを構成する授業科目" sheetId="44" r:id="rId3"/>
    <sheet name="様式２-3　プログラムを構成する授業科目" sheetId="45" r:id="rId4"/>
    <sheet name="様式２-4　プログラムを構成する授業科目" sheetId="46" r:id="rId5"/>
    <sheet name="様式２-5　プログラムを構成する授業科目" sheetId="39"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'様式２-3　プログラムを構成する授業科目'!#REF!</definedName>
    <definedName name="_xlnm._FilterDatabase" localSheetId="4" hidden="1">'様式２-4　プログラムを構成する授業科目'!#REF!</definedName>
    <definedName name="_xlnm._FilterDatabase" localSheetId="5" hidden="1">'様式２-5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'様式２-3　プログラムを構成する授業科目'!$A$1:$Z$98</definedName>
    <definedName name="_xlnm.Print_Area" localSheetId="4">'様式２-4　プログラムを構成する授業科目'!$A$1:$Z$98</definedName>
    <definedName name="_xlnm.Print_Area" localSheetId="5">'様式２-5　プログラムを構成する授業科目'!$A$1:$Z$98</definedName>
    <definedName name="_xlnm.Print_Area" localSheetId="6">'様式３　履修者等数の実績'!$A$1:$R$30</definedName>
    <definedName name="_xlnm.Print_Area" localSheetId="7">'様式４　教育の質・履修者数を向上させるための体制・計画'!$A$1:$J$131</definedName>
    <definedName name="_xlnm.Print_Area" localSheetId="8">'様式５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4" i="41"/>
  <c r="K92" i="41"/>
  <c r="K70" i="41"/>
  <c r="K47" i="41"/>
  <c r="K32" i="41"/>
  <c r="K16"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30"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C29" i="41" s="1"/>
  <c r="R10" i="40"/>
</calcChain>
</file>

<file path=xl/sharedStrings.xml><?xml version="1.0" encoding="utf-8"?>
<sst xmlns="http://schemas.openxmlformats.org/spreadsheetml/2006/main" count="939" uniqueCount="273">
  <si>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</si>
  <si>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</si>
  <si>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</si>
  <si>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</si>
  <si>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東京医療保健大学</t>
    <rPh sb="0" eb="8">
      <t>トウキョウイリョウホケンダイガク</t>
    </rPh>
    <phoneticPr fontId="1"/>
  </si>
  <si>
    <t>②</t>
    <phoneticPr fontId="1"/>
  </si>
  <si>
    <t>大学等の設置者</t>
  </si>
  <si>
    <t>学校法人青葉学園</t>
    <rPh sb="0" eb="8">
      <t>ガッコウホウジンアオバガクエン</t>
    </rPh>
    <phoneticPr fontId="1"/>
  </si>
  <si>
    <t>③</t>
  </si>
  <si>
    <t>設置形態</t>
    <phoneticPr fontId="1"/>
  </si>
  <si>
    <t>私立大学</t>
  </si>
  <si>
    <t>④</t>
    <phoneticPr fontId="1"/>
  </si>
  <si>
    <t>所在地</t>
    <phoneticPr fontId="1"/>
  </si>
  <si>
    <t>東京都品川区東五反田4-1-17</t>
    <rPh sb="0" eb="3">
      <t>トウキョウト</t>
    </rPh>
    <rPh sb="3" eb="6">
      <t>シナガワク</t>
    </rPh>
    <rPh sb="6" eb="10">
      <t>ヒガシゴタンダ</t>
    </rPh>
    <phoneticPr fontId="1"/>
  </si>
  <si>
    <t>⑤</t>
    <phoneticPr fontId="1"/>
  </si>
  <si>
    <t>申請するプログラム名称</t>
    <rPh sb="0" eb="2">
      <t>シンセイ</t>
    </rPh>
    <rPh sb="9" eb="11">
      <t>メイショウ</t>
    </rPh>
    <phoneticPr fontId="1"/>
  </si>
  <si>
    <t>ヘルスデータサイエンスプログラム</t>
    <phoneticPr fontId="1"/>
  </si>
  <si>
    <t>⑥</t>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</si>
  <si>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</si>
  <si>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</si>
  <si>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</si>
  <si>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</si>
  <si>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</si>
  <si>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</si>
  <si>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</si>
  <si>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</si>
  <si>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</si>
  <si>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</si>
  <si>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</si>
  <si>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</si>
  <si>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</si>
  <si>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</si>
  <si>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</si>
  <si>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</si>
  <si>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</si>
  <si>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</si>
  <si>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</si>
  <si>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</si>
  <si>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</si>
  <si>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</si>
  <si>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</si>
  <si>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</si>
  <si>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</si>
  <si>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</si>
  <si>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</si>
  <si>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石原　照夫</t>
    <rPh sb="0" eb="2">
      <t>イシハラ</t>
    </rPh>
    <rPh sb="3" eb="5">
      <t>テルオ</t>
    </rPh>
    <phoneticPr fontId="1"/>
  </si>
  <si>
    <t>（役職名）</t>
    <rPh sb="1" eb="4">
      <t>ヤクショクメイ</t>
    </rPh>
    <phoneticPr fontId="1"/>
  </si>
  <si>
    <t>副学長（教学担当）</t>
    <rPh sb="0" eb="3">
      <t>フクガクチョウ</t>
    </rPh>
    <rPh sb="4" eb="8">
      <t>キョウガクタントウ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</si>
  <si>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</si>
  <si>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</si>
  <si>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全学教務委員会共通科目ワーキンググループ（WG）</t>
    <rPh sb="0" eb="7">
      <t>ゼンガクキョウムイインカイ</t>
    </rPh>
    <rPh sb="7" eb="11">
      <t>キョウツウカモク</t>
    </rPh>
    <phoneticPr fontId="1"/>
  </si>
  <si>
    <t>深澤　弘美</t>
    <rPh sb="0" eb="2">
      <t>フカサワ</t>
    </rPh>
    <rPh sb="3" eb="5">
      <t>ヒロミ</t>
    </rPh>
    <phoneticPr fontId="1"/>
  </si>
  <si>
    <t>WG座長・教授</t>
    <rPh sb="2" eb="4">
      <t>ザチョウ</t>
    </rPh>
    <rPh sb="5" eb="7">
      <t>キョウジュ</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</si>
  <si>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</si>
  <si>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</si>
  <si>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東京医療保健大学教務委員会（全学組織）</t>
    <rPh sb="0" eb="8">
      <t>トウキョウイリョウホケンダイガク</t>
    </rPh>
    <rPh sb="8" eb="13">
      <t>キョウムイインカイ</t>
    </rPh>
    <rPh sb="14" eb="18">
      <t>ゼンガクソシキ</t>
    </rPh>
    <phoneticPr fontId="1"/>
  </si>
  <si>
    <t>副学長・委員長</t>
    <rPh sb="0" eb="3">
      <t>フクガクチョウ</t>
    </rPh>
    <rPh sb="4" eb="7">
      <t>イインチョウ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</si>
  <si>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</si>
  <si>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</si>
  <si>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</si>
  <si>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</si>
  <si>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</si>
  <si>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学修基盤推進室</t>
  </si>
  <si>
    <t>担当者名</t>
    <rPh sb="0" eb="2">
      <t>タントウ</t>
    </rPh>
    <rPh sb="2" eb="3">
      <t>シャ</t>
    </rPh>
    <rPh sb="3" eb="4">
      <t>メイ</t>
    </rPh>
    <phoneticPr fontId="1"/>
  </si>
  <si>
    <t>瀬戸　僚馬</t>
  </si>
  <si>
    <t>E-mail</t>
  </si>
  <si>
    <t>learning-office@thcu.ac.jp</t>
  </si>
  <si>
    <t>電話番号</t>
  </si>
  <si>
    <t>03-5421-7655</t>
    <phoneticPr fontId="1"/>
  </si>
  <si>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</si>
  <si>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</si>
  <si>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</si>
  <si>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</si>
  <si>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</si>
  <si>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</si>
  <si>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</si>
  <si>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</si>
  <si>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</si>
  <si>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</si>
  <si>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</si>
  <si>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</si>
  <si>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</si>
  <si>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</si>
  <si>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</si>
  <si>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</si>
  <si>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</si>
  <si>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</si>
  <si>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</si>
  <si>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</si>
  <si>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</si>
  <si>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</si>
  <si>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</si>
  <si>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</si>
  <si>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</si>
  <si>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</si>
  <si>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</si>
  <si>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</si>
  <si>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</si>
  <si>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</si>
  <si>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</si>
  <si>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</si>
  <si>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</si>
  <si>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</si>
  <si>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</si>
  <si>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</si>
  <si>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</si>
  <si>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</si>
  <si>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</si>
  <si>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</si>
  <si>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</si>
  <si>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</si>
  <si>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</si>
  <si>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</si>
  <si>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</si>
  <si>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</si>
  <si>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</si>
  <si>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</si>
  <si>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</si>
  <si>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</si>
  <si>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</si>
  <si>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</si>
  <si>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</si>
  <si>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医療保健学部看護学科</t>
    <rPh sb="0" eb="6">
      <t>イリョウホケンガクブ</t>
    </rPh>
    <rPh sb="6" eb="10">
      <t>カンゴガッカ</t>
    </rPh>
    <phoneticPr fontId="1"/>
  </si>
  <si>
    <t>医療保健学部医療栄養学科</t>
    <rPh sb="0" eb="6">
      <t>イリョウホケンガクブ</t>
    </rPh>
    <rPh sb="6" eb="12">
      <t>イリョウエイヨウガッカ</t>
    </rPh>
    <phoneticPr fontId="1"/>
  </si>
  <si>
    <t>医療保健学部医療情報学科</t>
    <rPh sb="0" eb="6">
      <t>イリョウホケンガクブ</t>
    </rPh>
    <rPh sb="6" eb="12">
      <t>イリョウジョウホウガッカ</t>
    </rPh>
    <phoneticPr fontId="1"/>
  </si>
  <si>
    <t>東が丘看護学部看護学科</t>
    <rPh sb="0" eb="3">
      <t>ヒガシガオカ</t>
    </rPh>
    <rPh sb="3" eb="7">
      <t>カンゴガクブ</t>
    </rPh>
    <rPh sb="7" eb="11">
      <t>カンゴガッカ</t>
    </rPh>
    <phoneticPr fontId="1"/>
  </si>
  <si>
    <t>立川看護学部看護学科</t>
    <rPh sb="0" eb="6">
      <t>タチカワカンゴガクブ</t>
    </rPh>
    <rPh sb="6" eb="10">
      <t>カンゴガッカ</t>
    </rPh>
    <phoneticPr fontId="1"/>
  </si>
  <si>
    <t>千葉看護学部看護学科</t>
    <rPh sb="0" eb="6">
      <t>チバカンゴガクブ</t>
    </rPh>
    <rPh sb="6" eb="10">
      <t>カンゴガッカ</t>
    </rPh>
    <phoneticPr fontId="1"/>
  </si>
  <si>
    <t>和歌山看護学部看護学科</t>
    <rPh sb="0" eb="7">
      <t>ワカヤマカンゴガクブ</t>
    </rPh>
    <rPh sb="7" eb="11">
      <t>カンゴガッカ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</si>
  <si>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</si>
  <si>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</si>
  <si>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</si>
  <si>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</si>
  <si>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</si>
  <si>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</si>
  <si>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東京医療保健大学では、建学の理念において「知識社会が実現すると予測される21世紀」に必要な教養を教授することを掲げており、この理念から「数理・データサイエンス・ＡＩ」への関心を高め、かつ、これらを適切に理解し、医療保健分野で活用する基礎的な能力を育成することは全学的な重要課題である。そこで、数理・データサイエンス・AI 教育プログラム等の共通科目に関する情報収集、全学開講におけるモデル科目の設計、共通科目の開講・運営に係る事項を検討することを目的に、共通科目ワーキンググループ（ＷＧ）を設置する。</t>
    <rPh sb="11" eb="13">
      <t>ケンガク</t>
    </rPh>
    <rPh sb="14" eb="16">
      <t>リネン</t>
    </rPh>
    <rPh sb="26" eb="28">
      <t>ジツゲン</t>
    </rPh>
    <rPh sb="31" eb="33">
      <t>ヨソク</t>
    </rPh>
    <rPh sb="38" eb="40">
      <t>セイキ</t>
    </rPh>
    <rPh sb="42" eb="44">
      <t>ヒツヨウ</t>
    </rPh>
    <rPh sb="45" eb="47">
      <t>キョウヨウ</t>
    </rPh>
    <rPh sb="48" eb="50">
      <t>キョウジュ</t>
    </rPh>
    <rPh sb="55" eb="56">
      <t>カカ</t>
    </rPh>
    <rPh sb="63" eb="65">
      <t>リネン</t>
    </rPh>
    <rPh sb="130" eb="133">
      <t>ゼンガクテキ</t>
    </rPh>
    <rPh sb="134" eb="136">
      <t>ジュウヨウ</t>
    </rPh>
    <rPh sb="136" eb="138">
      <t>カダイ</t>
    </rPh>
    <rPh sb="183" eb="185">
      <t>ゼンガク</t>
    </rPh>
    <rPh sb="185" eb="187">
      <t>カイコウ</t>
    </rPh>
    <rPh sb="197" eb="199">
      <t>セッケイ</t>
    </rPh>
    <rPh sb="216" eb="218">
      <t>ケントウ</t>
    </rPh>
    <rPh sb="223" eb="225">
      <t>モクテキ</t>
    </rPh>
    <rPh sb="227" eb="229">
      <t>キョウツウ</t>
    </rPh>
    <rPh sb="229" eb="231">
      <t>カモク</t>
    </rPh>
    <rPh sb="245" eb="247">
      <t>セッチ</t>
    </rPh>
    <phoneticPr fontId="1"/>
  </si>
  <si>
    <t>③</t>
    <phoneticPr fontId="1"/>
  </si>
  <si>
    <t>具体的な構成員</t>
    <rPh sb="0" eb="3">
      <t>グタイテキ</t>
    </rPh>
    <rPh sb="4" eb="7">
      <t>コウセイイン</t>
    </rPh>
    <phoneticPr fontId="1"/>
  </si>
  <si>
    <t>副学長（教学担当）・全学教務委員長　石原　照夫
医療保健学部看護学科 講師　林　世津子
医療保健学部医療栄養学科 講師　宮路　茜
医療保健学部医療情報学科 教授　深澤　弘美　【ＷＧ座長】
東が丘看護学部看護学科 准教授　佐藤　潤
立川看護学部看護学科 准教授　藤村　朗子
千葉看護学部看護学科 准教授　田久保　由美子
和歌山看護学部看護学科 教授　北得　美佐子
学修基盤推進室 教授　瀬戸　僚馬
教務部長　稲田　高規
ＷＧ座長には統計教育に関する知識及び経験のあるものを選任することとしているところ、統計関連学会連合の統計教育推進委員などの業績を有することから、深澤弘美教授を専任することとした。</t>
    <rPh sb="0" eb="1">
      <t>フク</t>
    </rPh>
    <rPh sb="1" eb="3">
      <t>ガクチョウ</t>
    </rPh>
    <rPh sb="4" eb="6">
      <t>キョウガク</t>
    </rPh>
    <rPh sb="6" eb="8">
      <t>タントウ</t>
    </rPh>
    <rPh sb="10" eb="14">
      <t>ゼンガクキョウム</t>
    </rPh>
    <rPh sb="14" eb="17">
      <t>イインチョウ</t>
    </rPh>
    <rPh sb="18" eb="20">
      <t>イシハラ</t>
    </rPh>
    <rPh sb="21" eb="23">
      <t>テルオ</t>
    </rPh>
    <rPh sb="24" eb="30">
      <t>イリョウホケンガクブ</t>
    </rPh>
    <rPh sb="30" eb="32">
      <t>カンゴ</t>
    </rPh>
    <rPh sb="32" eb="34">
      <t>ガッカ</t>
    </rPh>
    <rPh sb="35" eb="37">
      <t>コウシ</t>
    </rPh>
    <rPh sb="38" eb="39">
      <t>ハヤシ</t>
    </rPh>
    <rPh sb="44" eb="50">
      <t>イリョウホケンガクブ</t>
    </rPh>
    <rPh sb="50" eb="52">
      <t>イリョウ</t>
    </rPh>
    <rPh sb="52" eb="54">
      <t>エイヨウ</t>
    </rPh>
    <rPh sb="54" eb="56">
      <t>ガッカ</t>
    </rPh>
    <rPh sb="57" eb="59">
      <t>コウシ</t>
    </rPh>
    <rPh sb="60" eb="62">
      <t>ミヤジ</t>
    </rPh>
    <rPh sb="63" eb="64">
      <t>アカネ</t>
    </rPh>
    <rPh sb="65" eb="71">
      <t>イリョウホケンガクブ</t>
    </rPh>
    <rPh sb="71" eb="73">
      <t>イリョウ</t>
    </rPh>
    <rPh sb="73" eb="75">
      <t>ジョウホウ</t>
    </rPh>
    <rPh sb="75" eb="77">
      <t>ガッカ</t>
    </rPh>
    <rPh sb="78" eb="80">
      <t>キョウジュ</t>
    </rPh>
    <rPh sb="81" eb="83">
      <t>フカザワ</t>
    </rPh>
    <rPh sb="84" eb="86">
      <t>ヒロミ</t>
    </rPh>
    <rPh sb="90" eb="92">
      <t>ザチョウ</t>
    </rPh>
    <rPh sb="94" eb="97">
      <t>ヒガシガオカ</t>
    </rPh>
    <rPh sb="97" eb="99">
      <t>カンゴ</t>
    </rPh>
    <rPh sb="99" eb="101">
      <t>ガクブ</t>
    </rPh>
    <rPh sb="101" eb="105">
      <t>カンゴガッカ</t>
    </rPh>
    <rPh sb="106" eb="109">
      <t>ジュンキョウジュ</t>
    </rPh>
    <rPh sb="110" eb="112">
      <t>サトウ</t>
    </rPh>
    <rPh sb="113" eb="114">
      <t>ジュン</t>
    </rPh>
    <rPh sb="115" eb="117">
      <t>タチカワ</t>
    </rPh>
    <rPh sb="121" eb="125">
      <t>カンゴガッカ</t>
    </rPh>
    <rPh sb="126" eb="127">
      <t>ジュン</t>
    </rPh>
    <rPh sb="127" eb="129">
      <t>キョウジュ</t>
    </rPh>
    <rPh sb="136" eb="138">
      <t>チバ</t>
    </rPh>
    <rPh sb="138" eb="140">
      <t>カンゴ</t>
    </rPh>
    <rPh sb="140" eb="142">
      <t>ガクブ</t>
    </rPh>
    <rPh sb="142" eb="146">
      <t>カンゴガッカ</t>
    </rPh>
    <rPh sb="147" eb="150">
      <t>ジュンキョウジュ</t>
    </rPh>
    <rPh sb="159" eb="166">
      <t>ワカヤマカンゴガクブ</t>
    </rPh>
    <rPh sb="166" eb="170">
      <t>カンゴガッカ</t>
    </rPh>
    <rPh sb="171" eb="173">
      <t>キョウジュ</t>
    </rPh>
    <rPh sb="181" eb="188">
      <t>ガクシュウキバンスイシンシツ</t>
    </rPh>
    <rPh sb="189" eb="191">
      <t>キョウジュ</t>
    </rPh>
    <rPh sb="212" eb="214">
      <t>ザチョウ</t>
    </rPh>
    <rPh sb="216" eb="218">
      <t>トウケイ</t>
    </rPh>
    <rPh sb="218" eb="220">
      <t>キョウイク</t>
    </rPh>
    <rPh sb="221" eb="222">
      <t>カン</t>
    </rPh>
    <rPh sb="224" eb="226">
      <t>チシキ</t>
    </rPh>
    <rPh sb="226" eb="227">
      <t>オヨ</t>
    </rPh>
    <rPh sb="228" eb="230">
      <t>ケイケン</t>
    </rPh>
    <rPh sb="236" eb="238">
      <t>センニン</t>
    </rPh>
    <rPh sb="251" eb="253">
      <t>トウケイ</t>
    </rPh>
    <rPh sb="253" eb="255">
      <t>カンレン</t>
    </rPh>
    <rPh sb="255" eb="257">
      <t>ガッカイ</t>
    </rPh>
    <rPh sb="257" eb="259">
      <t>レンゴウ</t>
    </rPh>
    <rPh sb="271" eb="273">
      <t>ギョウセキ</t>
    </rPh>
    <rPh sb="274" eb="275">
      <t>ユウ</t>
    </rPh>
    <rPh sb="282" eb="284">
      <t>フカザワ</t>
    </rPh>
    <rPh sb="284" eb="286">
      <t>ヒロミ</t>
    </rPh>
    <rPh sb="286" eb="288">
      <t>キョウジュ</t>
    </rPh>
    <rPh sb="289" eb="291">
      <t>センニン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</si>
  <si>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</si>
  <si>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</si>
  <si>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</si>
  <si>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</si>
  <si>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</si>
  <si>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</si>
  <si>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</si>
  <si>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</si>
  <si>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学の「ヘルスデータサイエンスプログラム」が建学の理念に基づいて設置する科目群であることから、学部長等会議において、学長から学部・学科長に対して、その趣旨及び目標の実現に向けて各学部・学科にご尽力いただきたい旨の説明を行っている。
令和3年3月には、学長室に学修基盤推進室を設置するとともに、所掌業務の中に共通科目WGの運営支援を盛り込んだ。
令和3年4月には「新しい生活様式における授業運営指針」を制定し、学部を横断する授業科目の運用を大学の方針として位置づけた。同指針に基づき、令和3年度からヘルスデータサイエンスプログラムの運用を開始している。
令和4年5月には、学則改定により学長室を学長戦略本部に格上げして権限を強化した。これによって、共通科目WGの方針のもとに学修基盤推進室が各学部・学科の学生に対して、ヘルスデータサイエンスプログラムの履修を直接的に勧奨できることとなった。また、各学部・学科が行うカリキュラム編成に対して指導・助言が可能となったことにより、各学部・学科のカリキュラムにおいてヘルスデータサイエンスプログラムの履修を前提とした編成に改善を図る予定である。</t>
    <rPh sb="0" eb="2">
      <t>ホンガク</t>
    </rPh>
    <rPh sb="22" eb="24">
      <t>ケンガク</t>
    </rPh>
    <rPh sb="25" eb="27">
      <t>リネン</t>
    </rPh>
    <rPh sb="28" eb="29">
      <t>モト</t>
    </rPh>
    <rPh sb="32" eb="34">
      <t>セッチ</t>
    </rPh>
    <rPh sb="36" eb="38">
      <t>カモク</t>
    </rPh>
    <rPh sb="38" eb="39">
      <t>グン</t>
    </rPh>
    <rPh sb="58" eb="60">
      <t>ガクチョウ</t>
    </rPh>
    <rPh sb="62" eb="64">
      <t>ガクブ</t>
    </rPh>
    <rPh sb="65" eb="68">
      <t>ガッカチョウ</t>
    </rPh>
    <rPh sb="69" eb="70">
      <t>タイ</t>
    </rPh>
    <rPh sb="75" eb="77">
      <t>シュシ</t>
    </rPh>
    <rPh sb="77" eb="78">
      <t>オヨ</t>
    </rPh>
    <rPh sb="85" eb="86">
      <t>ム</t>
    </rPh>
    <rPh sb="88" eb="91">
      <t>カクガクブ</t>
    </rPh>
    <rPh sb="92" eb="94">
      <t>ガッカ</t>
    </rPh>
    <rPh sb="96" eb="98">
      <t>ジンリョク</t>
    </rPh>
    <rPh sb="104" eb="105">
      <t>ムネ</t>
    </rPh>
    <rPh sb="106" eb="108">
      <t>セツメイ</t>
    </rPh>
    <rPh sb="109" eb="110">
      <t>オコナ</t>
    </rPh>
    <rPh sb="116" eb="118">
      <t>レイワ</t>
    </rPh>
    <rPh sb="119" eb="120">
      <t>ネン</t>
    </rPh>
    <rPh sb="121" eb="122">
      <t>ガツ</t>
    </rPh>
    <rPh sb="125" eb="128">
      <t>ガクチョウシツ</t>
    </rPh>
    <rPh sb="129" eb="136">
      <t>ガクシュウキバンスイシンシツ</t>
    </rPh>
    <rPh sb="137" eb="139">
      <t>セッチ</t>
    </rPh>
    <rPh sb="146" eb="148">
      <t>ショショウ</t>
    </rPh>
    <rPh sb="148" eb="150">
      <t>ギョウム</t>
    </rPh>
    <rPh sb="151" eb="152">
      <t>ナカ</t>
    </rPh>
    <rPh sb="153" eb="155">
      <t>キョウツウ</t>
    </rPh>
    <rPh sb="155" eb="157">
      <t>カモク</t>
    </rPh>
    <rPh sb="160" eb="162">
      <t>ウンエイ</t>
    </rPh>
    <rPh sb="162" eb="164">
      <t>シエン</t>
    </rPh>
    <rPh sb="165" eb="166">
      <t>モ</t>
    </rPh>
    <rPh sb="167" eb="168">
      <t>コ</t>
    </rPh>
    <rPh sb="172" eb="174">
      <t>レイワ</t>
    </rPh>
    <rPh sb="175" eb="176">
      <t>ネン</t>
    </rPh>
    <rPh sb="177" eb="178">
      <t>ガツ</t>
    </rPh>
    <rPh sb="181" eb="182">
      <t>アタラ</t>
    </rPh>
    <rPh sb="184" eb="186">
      <t>セイカツ</t>
    </rPh>
    <rPh sb="186" eb="188">
      <t>ヨウシキ</t>
    </rPh>
    <rPh sb="192" eb="194">
      <t>ジュギョウ</t>
    </rPh>
    <rPh sb="194" eb="196">
      <t>ウンエイ</t>
    </rPh>
    <rPh sb="196" eb="198">
      <t>シシン</t>
    </rPh>
    <rPh sb="200" eb="202">
      <t>セイテイ</t>
    </rPh>
    <rPh sb="204" eb="206">
      <t>ガクブ</t>
    </rPh>
    <rPh sb="207" eb="209">
      <t>オウダン</t>
    </rPh>
    <rPh sb="211" eb="213">
      <t>ジュギョウ</t>
    </rPh>
    <rPh sb="213" eb="215">
      <t>カモク</t>
    </rPh>
    <rPh sb="216" eb="218">
      <t>ウンヨウ</t>
    </rPh>
    <rPh sb="227" eb="229">
      <t>イチ</t>
    </rPh>
    <rPh sb="233" eb="234">
      <t>ドウ</t>
    </rPh>
    <rPh sb="234" eb="236">
      <t>シシン</t>
    </rPh>
    <rPh sb="237" eb="238">
      <t>モト</t>
    </rPh>
    <rPh sb="241" eb="243">
      <t>レイワ</t>
    </rPh>
    <rPh sb="244" eb="246">
      <t>ネンド</t>
    </rPh>
    <rPh sb="265" eb="267">
      <t>ウンヨウ</t>
    </rPh>
    <rPh sb="268" eb="270">
      <t>カイシ</t>
    </rPh>
    <rPh sb="276" eb="278">
      <t>レイワ</t>
    </rPh>
    <rPh sb="279" eb="280">
      <t>ネン</t>
    </rPh>
    <rPh sb="281" eb="282">
      <t>ガツ</t>
    </rPh>
    <rPh sb="285" eb="287">
      <t>ガクソク</t>
    </rPh>
    <rPh sb="287" eb="289">
      <t>カイテイ</t>
    </rPh>
    <rPh sb="292" eb="295">
      <t>ガクチョウシツ</t>
    </rPh>
    <rPh sb="296" eb="298">
      <t>ガクチョウ</t>
    </rPh>
    <rPh sb="298" eb="300">
      <t>センリャク</t>
    </rPh>
    <rPh sb="300" eb="302">
      <t>ホンブ</t>
    </rPh>
    <rPh sb="303" eb="305">
      <t>カクア</t>
    </rPh>
    <rPh sb="308" eb="310">
      <t>ケンゲン</t>
    </rPh>
    <rPh sb="311" eb="313">
      <t>キョウカ</t>
    </rPh>
    <rPh sb="323" eb="325">
      <t>キョウツウ</t>
    </rPh>
    <rPh sb="325" eb="327">
      <t>カモク</t>
    </rPh>
    <rPh sb="330" eb="332">
      <t>ホウシン</t>
    </rPh>
    <rPh sb="336" eb="343">
      <t>ガクシュウキバンスイシンシツ</t>
    </rPh>
    <rPh sb="344" eb="347">
      <t>カクガクブ</t>
    </rPh>
    <rPh sb="348" eb="350">
      <t>ガッカ</t>
    </rPh>
    <rPh sb="351" eb="353">
      <t>ガクセイ</t>
    </rPh>
    <rPh sb="354" eb="355">
      <t>タイ</t>
    </rPh>
    <rPh sb="375" eb="377">
      <t>リシュウ</t>
    </rPh>
    <rPh sb="378" eb="381">
      <t>チョクセツテキ</t>
    </rPh>
    <rPh sb="382" eb="384">
      <t>カンショウ</t>
    </rPh>
    <rPh sb="397" eb="400">
      <t>カクガクブ</t>
    </rPh>
    <rPh sb="401" eb="403">
      <t>ガッカ</t>
    </rPh>
    <rPh sb="404" eb="405">
      <t>オコナ</t>
    </rPh>
    <rPh sb="412" eb="414">
      <t>ヘンセイ</t>
    </rPh>
    <rPh sb="415" eb="416">
      <t>タイ</t>
    </rPh>
    <rPh sb="418" eb="420">
      <t>シドウ</t>
    </rPh>
    <rPh sb="421" eb="423">
      <t>ジョゲン</t>
    </rPh>
    <rPh sb="424" eb="426">
      <t>カノウ</t>
    </rPh>
    <rPh sb="436" eb="439">
      <t>カクガクブ</t>
    </rPh>
    <rPh sb="440" eb="442">
      <t>ガッカ</t>
    </rPh>
    <rPh sb="470" eb="472">
      <t>リシュウ</t>
    </rPh>
    <rPh sb="473" eb="475">
      <t>ゼンテイ</t>
    </rPh>
    <rPh sb="478" eb="480">
      <t>ヘンセイ</t>
    </rPh>
    <rPh sb="481" eb="483">
      <t>カイゼン</t>
    </rPh>
    <rPh sb="484" eb="485">
      <t>ハカ</t>
    </rPh>
    <rPh sb="486" eb="488">
      <t>ヨテイ</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</si>
  <si>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</si>
  <si>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東京医療保健大学は、5学部7学科中の6学科において看護師または管理栄養士の国家試験受験を前提としており、各職種学校の指定規則の影響を受けるため、リベラルアーツ科目群を設計する余力が少ない状況にある。このため、共通科目WGとしてはヘルスデータサイエンスプログラムの「標準科目」を設計した上で、各学部・学科に同等科目が存在する場合は標準科目からの読み替えを可能とすることで、指定規則科目への影響を最小限にしつつも、建学の精神に基づき全ての学部・学科の学生がヘルスデータサイエンスプログラムを履修することができる制度を設計した。
この読み替え制度は現実的なものではあるが、他方では学部・学科ごとに教育内容が分散し一貫性が乏しくなる可能性もあるため、共通科目WGの方針のもとに学修基盤推進室において「標準授業コンテンス」の動画教材を作成し、必要に応じて各学部・学科が利用できるようにしている。このため、5月9日付けで日本IBM株式会社からヘルスケア分野のAI専門家を客員教授に招聘するなど体制整備を図り、同客員教授による講義も上記の標準授業コンテンツの一つである。こうした体制整備を、学長のリーダーシップのもとで行っている。</t>
    <rPh sb="0" eb="8">
      <t>トウキョウイリョウホケンダイガク</t>
    </rPh>
    <rPh sb="11" eb="13">
      <t>ガクブ</t>
    </rPh>
    <rPh sb="14" eb="16">
      <t>ガッカ</t>
    </rPh>
    <rPh sb="16" eb="17">
      <t>チュウ</t>
    </rPh>
    <rPh sb="19" eb="21">
      <t>ガッカ</t>
    </rPh>
    <rPh sb="25" eb="28">
      <t>カンゴシ</t>
    </rPh>
    <rPh sb="31" eb="33">
      <t>カンリ</t>
    </rPh>
    <rPh sb="33" eb="36">
      <t>エイヨウシ</t>
    </rPh>
    <rPh sb="37" eb="39">
      <t>コッカ</t>
    </rPh>
    <rPh sb="39" eb="41">
      <t>シケン</t>
    </rPh>
    <rPh sb="41" eb="43">
      <t>ジュケン</t>
    </rPh>
    <rPh sb="44" eb="46">
      <t>ゼンテイ</t>
    </rPh>
    <rPh sb="52" eb="55">
      <t>カクショクシュ</t>
    </rPh>
    <rPh sb="55" eb="57">
      <t>ガッコウ</t>
    </rPh>
    <rPh sb="58" eb="60">
      <t>シテイ</t>
    </rPh>
    <rPh sb="60" eb="62">
      <t>キソク</t>
    </rPh>
    <rPh sb="63" eb="65">
      <t>エイキョウ</t>
    </rPh>
    <rPh sb="66" eb="67">
      <t>ウ</t>
    </rPh>
    <rPh sb="79" eb="81">
      <t>カモク</t>
    </rPh>
    <rPh sb="81" eb="82">
      <t>グン</t>
    </rPh>
    <rPh sb="83" eb="85">
      <t>セッケイ</t>
    </rPh>
    <rPh sb="87" eb="89">
      <t>ヨリョク</t>
    </rPh>
    <rPh sb="90" eb="91">
      <t>スク</t>
    </rPh>
    <rPh sb="93" eb="95">
      <t>ジョウキョウ</t>
    </rPh>
    <rPh sb="104" eb="106">
      <t>キョウツウ</t>
    </rPh>
    <rPh sb="106" eb="108">
      <t>カモク</t>
    </rPh>
    <rPh sb="132" eb="134">
      <t>ヒョウジュン</t>
    </rPh>
    <rPh sb="134" eb="136">
      <t>カモク</t>
    </rPh>
    <rPh sb="138" eb="140">
      <t>セッケイ</t>
    </rPh>
    <rPh sb="142" eb="143">
      <t>ウエ</t>
    </rPh>
    <rPh sb="145" eb="148">
      <t>カクガクブ</t>
    </rPh>
    <rPh sb="149" eb="151">
      <t>ガッカ</t>
    </rPh>
    <rPh sb="152" eb="154">
      <t>ドウトウ</t>
    </rPh>
    <rPh sb="154" eb="156">
      <t>カモク</t>
    </rPh>
    <rPh sb="157" eb="159">
      <t>ソンザイ</t>
    </rPh>
    <rPh sb="161" eb="163">
      <t>バアイ</t>
    </rPh>
    <rPh sb="164" eb="166">
      <t>ヒョウジュン</t>
    </rPh>
    <rPh sb="166" eb="168">
      <t>カモク</t>
    </rPh>
    <rPh sb="171" eb="172">
      <t>ヨ</t>
    </rPh>
    <rPh sb="173" eb="174">
      <t>カ</t>
    </rPh>
    <rPh sb="176" eb="178">
      <t>カノウ</t>
    </rPh>
    <rPh sb="185" eb="187">
      <t>シテイ</t>
    </rPh>
    <rPh sb="187" eb="189">
      <t>キソク</t>
    </rPh>
    <rPh sb="189" eb="191">
      <t>カモク</t>
    </rPh>
    <rPh sb="193" eb="195">
      <t>エイキョウ</t>
    </rPh>
    <rPh sb="196" eb="199">
      <t>サイショウゲン</t>
    </rPh>
    <rPh sb="205" eb="207">
      <t>ケンガク</t>
    </rPh>
    <rPh sb="208" eb="210">
      <t>セイシン</t>
    </rPh>
    <rPh sb="211" eb="212">
      <t>モト</t>
    </rPh>
    <rPh sb="214" eb="215">
      <t>スベ</t>
    </rPh>
    <rPh sb="217" eb="219">
      <t>ガクブ</t>
    </rPh>
    <rPh sb="220" eb="222">
      <t>ガッカ</t>
    </rPh>
    <rPh sb="223" eb="225">
      <t>ガクセイ</t>
    </rPh>
    <rPh sb="243" eb="245">
      <t>リシュウ</t>
    </rPh>
    <rPh sb="253" eb="255">
      <t>セイド</t>
    </rPh>
    <rPh sb="256" eb="258">
      <t>セッケイ</t>
    </rPh>
    <rPh sb="264" eb="265">
      <t>ヨ</t>
    </rPh>
    <rPh sb="266" eb="267">
      <t>カ</t>
    </rPh>
    <rPh sb="268" eb="270">
      <t>セイド</t>
    </rPh>
    <rPh sb="271" eb="274">
      <t>ゲンジツテキ</t>
    </rPh>
    <rPh sb="283" eb="285">
      <t>タホウ</t>
    </rPh>
    <rPh sb="287" eb="289">
      <t>ガクブ</t>
    </rPh>
    <rPh sb="290" eb="292">
      <t>ガッカ</t>
    </rPh>
    <rPh sb="295" eb="297">
      <t>キョウイク</t>
    </rPh>
    <rPh sb="297" eb="299">
      <t>ナイヨウ</t>
    </rPh>
    <rPh sb="300" eb="302">
      <t>ブンサン</t>
    </rPh>
    <rPh sb="303" eb="306">
      <t>イッカンセイ</t>
    </rPh>
    <rPh sb="307" eb="308">
      <t>トボ</t>
    </rPh>
    <rPh sb="312" eb="315">
      <t>カノウセイ</t>
    </rPh>
    <rPh sb="321" eb="323">
      <t>キョウツウ</t>
    </rPh>
    <rPh sb="323" eb="325">
      <t>カモク</t>
    </rPh>
    <rPh sb="328" eb="330">
      <t>ホウシン</t>
    </rPh>
    <rPh sb="334" eb="341">
      <t>ガクシュウキバンスイシンシツ</t>
    </rPh>
    <rPh sb="346" eb="348">
      <t>ヒョウジュン</t>
    </rPh>
    <rPh sb="348" eb="350">
      <t>ジュギョウ</t>
    </rPh>
    <rPh sb="357" eb="359">
      <t>ドウガ</t>
    </rPh>
    <rPh sb="359" eb="361">
      <t>キョウザイ</t>
    </rPh>
    <rPh sb="362" eb="364">
      <t>サクセイ</t>
    </rPh>
    <rPh sb="366" eb="368">
      <t>ヒツヨウ</t>
    </rPh>
    <rPh sb="369" eb="370">
      <t>オウ</t>
    </rPh>
    <rPh sb="372" eb="375">
      <t>カクガクブ</t>
    </rPh>
    <rPh sb="376" eb="378">
      <t>ガッカ</t>
    </rPh>
    <rPh sb="379" eb="381">
      <t>リヨウ</t>
    </rPh>
    <rPh sb="398" eb="399">
      <t>ガツ</t>
    </rPh>
    <rPh sb="400" eb="401">
      <t>ニチ</t>
    </rPh>
    <rPh sb="401" eb="402">
      <t>ヅ</t>
    </rPh>
    <rPh sb="404" eb="406">
      <t>ニホン</t>
    </rPh>
    <rPh sb="409" eb="413">
      <t>カブシキガイシャ</t>
    </rPh>
    <rPh sb="420" eb="422">
      <t>ブンヤ</t>
    </rPh>
    <rPh sb="425" eb="428">
      <t>センモンカ</t>
    </rPh>
    <rPh sb="429" eb="431">
      <t>キャクイン</t>
    </rPh>
    <rPh sb="431" eb="433">
      <t>キョウジュ</t>
    </rPh>
    <rPh sb="434" eb="436">
      <t>ショウヘイ</t>
    </rPh>
    <rPh sb="440" eb="442">
      <t>タイセイ</t>
    </rPh>
    <rPh sb="442" eb="444">
      <t>セイビ</t>
    </rPh>
    <rPh sb="445" eb="446">
      <t>ハカ</t>
    </rPh>
    <rPh sb="448" eb="449">
      <t>ドウ</t>
    </rPh>
    <rPh sb="449" eb="451">
      <t>キャクイン</t>
    </rPh>
    <rPh sb="451" eb="453">
      <t>キョウジュ</t>
    </rPh>
    <rPh sb="456" eb="458">
      <t>コウギ</t>
    </rPh>
    <rPh sb="459" eb="461">
      <t>ジョウキ</t>
    </rPh>
    <rPh sb="462" eb="464">
      <t>ヒョウジュン</t>
    </rPh>
    <rPh sb="464" eb="466">
      <t>ジュギョウ</t>
    </rPh>
    <rPh sb="472" eb="473">
      <t>ヒト</t>
    </rPh>
    <rPh sb="482" eb="484">
      <t>タイセイ</t>
    </rPh>
    <rPh sb="484" eb="486">
      <t>セイビ</t>
    </rPh>
    <rPh sb="488" eb="490">
      <t>ガクチョウ</t>
    </rPh>
    <rPh sb="502" eb="503">
      <t>オコナ</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</si>
  <si>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</si>
  <si>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ガイダンスで「ヘルスデータサイエンスプログラム」の存在を告知することに加えて、大学のホームページでもその存在を公表して履修者の向上に努めている。なお、履修者数増加のために学長、共通科目WG座長、関連企業（東京医療保健大学の本部所在地はNTTグループの基幹病院であるNTT東日本関東病院に隣接しており、授業コンテンツの配信協力など同グループとは極めて強固な連携関係にある）などを含めた説明動画を作成中でり、令和4年前期セメスタ中に配信予定である。</t>
    <rPh sb="29" eb="31">
      <t>ソンザイ</t>
    </rPh>
    <rPh sb="32" eb="34">
      <t>コクチ</t>
    </rPh>
    <rPh sb="39" eb="40">
      <t>クワ</t>
    </rPh>
    <rPh sb="43" eb="45">
      <t>ダイガク</t>
    </rPh>
    <rPh sb="56" eb="58">
      <t>ソンザイ</t>
    </rPh>
    <rPh sb="59" eb="61">
      <t>コウヒョウ</t>
    </rPh>
    <rPh sb="63" eb="66">
      <t>リシュウシャ</t>
    </rPh>
    <rPh sb="67" eb="69">
      <t>コウジョウ</t>
    </rPh>
    <rPh sb="70" eb="71">
      <t>ツト</t>
    </rPh>
    <rPh sb="79" eb="82">
      <t>リシュウシャ</t>
    </rPh>
    <rPh sb="82" eb="83">
      <t>スウ</t>
    </rPh>
    <rPh sb="83" eb="85">
      <t>ゾウカ</t>
    </rPh>
    <rPh sb="89" eb="91">
      <t>ガクチョウ</t>
    </rPh>
    <rPh sb="92" eb="94">
      <t>キョウツウ</t>
    </rPh>
    <rPh sb="94" eb="96">
      <t>カモク</t>
    </rPh>
    <rPh sb="98" eb="100">
      <t>ザチョウ</t>
    </rPh>
    <rPh sb="101" eb="103">
      <t>カンレン</t>
    </rPh>
    <rPh sb="103" eb="105">
      <t>キギョウ</t>
    </rPh>
    <rPh sb="106" eb="114">
      <t>トウキョウイリョウホケンダイガク</t>
    </rPh>
    <rPh sb="115" eb="117">
      <t>ホンブ</t>
    </rPh>
    <rPh sb="117" eb="120">
      <t>ショザイチ</t>
    </rPh>
    <rPh sb="129" eb="131">
      <t>キカン</t>
    </rPh>
    <rPh sb="131" eb="133">
      <t>ビョウイン</t>
    </rPh>
    <rPh sb="139" eb="142">
      <t>ヒガシニホン</t>
    </rPh>
    <rPh sb="142" eb="144">
      <t>カントウ</t>
    </rPh>
    <rPh sb="144" eb="146">
      <t>ビョウイン</t>
    </rPh>
    <rPh sb="147" eb="149">
      <t>リンセツ</t>
    </rPh>
    <rPh sb="154" eb="156">
      <t>ジュギョウ</t>
    </rPh>
    <rPh sb="162" eb="164">
      <t>ハイシン</t>
    </rPh>
    <rPh sb="164" eb="166">
      <t>キョウリョク</t>
    </rPh>
    <rPh sb="168" eb="169">
      <t>ドウ</t>
    </rPh>
    <rPh sb="175" eb="176">
      <t>キワ</t>
    </rPh>
    <rPh sb="178" eb="180">
      <t>キョウコ</t>
    </rPh>
    <rPh sb="181" eb="183">
      <t>レンケイ</t>
    </rPh>
    <rPh sb="183" eb="185">
      <t>カンケイ</t>
    </rPh>
    <rPh sb="192" eb="193">
      <t>フク</t>
    </rPh>
    <rPh sb="195" eb="197">
      <t>セツメイ</t>
    </rPh>
    <rPh sb="197" eb="199">
      <t>ドウガ</t>
    </rPh>
    <rPh sb="200" eb="203">
      <t>サクセイチュウ</t>
    </rPh>
    <rPh sb="206" eb="208">
      <t>レイワ</t>
    </rPh>
    <rPh sb="209" eb="210">
      <t>ネン</t>
    </rPh>
    <rPh sb="210" eb="212">
      <t>ゼンキ</t>
    </rPh>
    <rPh sb="216" eb="217">
      <t>チュウ</t>
    </rPh>
    <rPh sb="218" eb="220">
      <t>ハイシン</t>
    </rPh>
    <rPh sb="220" eb="222">
      <t>ヨテイ</t>
    </rPh>
    <phoneticPr fontId="1"/>
  </si>
  <si>
    <t>⑦</t>
    <phoneticPr fontId="1"/>
  </si>
  <si>
    <t>できる限り多くの学生が履修・修得できるようなサポート体制</t>
    <rPh sb="26" eb="28">
      <t>タイセイ</t>
    </rPh>
    <phoneticPr fontId="1"/>
  </si>
  <si>
    <t>本学の5学部7学科は、看護学や栄養学など医療分野の専攻が多く必ずしも数理・データサイエンス・AIなどの関連領域に専門性を有する教員が多くないため、所属学部・学科にかからわず学修を支援するサポート体制が必要である。
令和3年度の授業では、所属学部・学科に関わらず医療保健学部医療情報学科の教員が、他学部・学科の教員・学生をサポートする体制とした。令和4年度にはこの体制をさらに拡充する観点から、現在の共通科目WGの一部を学長直属の「共通科目センター（仮称）」として位置づけるなど、より継続的な体制となるように調整中である。</t>
    <rPh sb="0" eb="2">
      <t>ホンガク</t>
    </rPh>
    <rPh sb="4" eb="6">
      <t>ガクブ</t>
    </rPh>
    <rPh sb="7" eb="9">
      <t>ガッカ</t>
    </rPh>
    <rPh sb="11" eb="14">
      <t>カンゴガク</t>
    </rPh>
    <rPh sb="15" eb="18">
      <t>エイヨウガク</t>
    </rPh>
    <rPh sb="20" eb="22">
      <t>イリョウ</t>
    </rPh>
    <rPh sb="22" eb="24">
      <t>ブンヤ</t>
    </rPh>
    <rPh sb="25" eb="27">
      <t>センコウ</t>
    </rPh>
    <rPh sb="28" eb="29">
      <t>オオ</t>
    </rPh>
    <rPh sb="30" eb="31">
      <t>カナラ</t>
    </rPh>
    <rPh sb="34" eb="36">
      <t>スウリ</t>
    </rPh>
    <rPh sb="51" eb="53">
      <t>カンレン</t>
    </rPh>
    <rPh sb="53" eb="55">
      <t>リョウイキ</t>
    </rPh>
    <rPh sb="56" eb="59">
      <t>センモンセイ</t>
    </rPh>
    <rPh sb="60" eb="61">
      <t>ユウ</t>
    </rPh>
    <rPh sb="63" eb="65">
      <t>キョウイン</t>
    </rPh>
    <rPh sb="66" eb="67">
      <t>オオ</t>
    </rPh>
    <rPh sb="73" eb="75">
      <t>ショゾク</t>
    </rPh>
    <rPh sb="75" eb="77">
      <t>ガクブ</t>
    </rPh>
    <rPh sb="78" eb="80">
      <t>ガッカ</t>
    </rPh>
    <rPh sb="86" eb="88">
      <t>ガクシュウ</t>
    </rPh>
    <rPh sb="89" eb="91">
      <t>シエン</t>
    </rPh>
    <rPh sb="97" eb="99">
      <t>タイセイ</t>
    </rPh>
    <rPh sb="100" eb="102">
      <t>ヒツヨウ</t>
    </rPh>
    <rPh sb="107" eb="109">
      <t>レイワ</t>
    </rPh>
    <rPh sb="110" eb="112">
      <t>ネンド</t>
    </rPh>
    <rPh sb="113" eb="115">
      <t>ジュギョウ</t>
    </rPh>
    <rPh sb="118" eb="120">
      <t>ショゾク</t>
    </rPh>
    <rPh sb="120" eb="122">
      <t>ガクブ</t>
    </rPh>
    <rPh sb="123" eb="125">
      <t>ガッカ</t>
    </rPh>
    <rPh sb="126" eb="127">
      <t>カカ</t>
    </rPh>
    <rPh sb="130" eb="136">
      <t>イリョウホケンガクブ</t>
    </rPh>
    <rPh sb="136" eb="138">
      <t>イリョウ</t>
    </rPh>
    <rPh sb="138" eb="140">
      <t>ジョウホウ</t>
    </rPh>
    <rPh sb="140" eb="142">
      <t>ガッカ</t>
    </rPh>
    <rPh sb="143" eb="145">
      <t>キョウイン</t>
    </rPh>
    <rPh sb="147" eb="148">
      <t>ホカ</t>
    </rPh>
    <rPh sb="148" eb="150">
      <t>ガクブ</t>
    </rPh>
    <rPh sb="151" eb="153">
      <t>ガッカ</t>
    </rPh>
    <rPh sb="154" eb="156">
      <t>キョウイン</t>
    </rPh>
    <rPh sb="157" eb="159">
      <t>ガクセイ</t>
    </rPh>
    <rPh sb="166" eb="168">
      <t>タイセイ</t>
    </rPh>
    <rPh sb="172" eb="174">
      <t>レイワ</t>
    </rPh>
    <rPh sb="175" eb="177">
      <t>ネンド</t>
    </rPh>
    <rPh sb="181" eb="183">
      <t>タイセイ</t>
    </rPh>
    <rPh sb="187" eb="189">
      <t>カクジュウ</t>
    </rPh>
    <rPh sb="191" eb="193">
      <t>カンテン</t>
    </rPh>
    <rPh sb="196" eb="198">
      <t>ゲンザイ</t>
    </rPh>
    <rPh sb="199" eb="201">
      <t>キョウツウ</t>
    </rPh>
    <rPh sb="201" eb="203">
      <t>カモク</t>
    </rPh>
    <rPh sb="206" eb="208">
      <t>イチブ</t>
    </rPh>
    <rPh sb="209" eb="211">
      <t>ガクチョウ</t>
    </rPh>
    <rPh sb="211" eb="213">
      <t>チョクゾク</t>
    </rPh>
    <rPh sb="215" eb="217">
      <t>キョウツウ</t>
    </rPh>
    <rPh sb="217" eb="219">
      <t>カモク</t>
    </rPh>
    <rPh sb="224" eb="226">
      <t>カショウ</t>
    </rPh>
    <rPh sb="231" eb="233">
      <t>イチ</t>
    </rPh>
    <rPh sb="241" eb="244">
      <t>ケイゾクテキ</t>
    </rPh>
    <rPh sb="245" eb="247">
      <t>タイセイ</t>
    </rPh>
    <rPh sb="253" eb="256">
      <t>チョウセイチュウ</t>
    </rPh>
    <phoneticPr fontId="1"/>
  </si>
  <si>
    <t>授業時間内外で学習指導、質問を受け付ける具体的な仕組み</t>
    <rPh sb="20" eb="23">
      <t>グタイテキ</t>
    </rPh>
    <phoneticPr fontId="1"/>
  </si>
  <si>
    <t>本教育プログラムについての履修は、全学部・学科共通のLMSにて管理している。このため学生は授業時間以外に不明点等をシステムを通じて確認することができるほか、教員にとっては回答例を共有して迅速適切な質問対応が可能となるよう共通科目WGの方針のもとに学修基盤推進室が支援を行っている。なお、令和4年度の計画としては、Plus-DX事業で拡充されたLMS機能を活用して、これらの質問などに対してチャットボットで自主的な解決を支援できる体制を目指している。</t>
    <rPh sb="17" eb="20">
      <t>ゼンガクブ</t>
    </rPh>
    <rPh sb="21" eb="23">
      <t>ガッカ</t>
    </rPh>
    <rPh sb="23" eb="25">
      <t>キョウツウ</t>
    </rPh>
    <rPh sb="78" eb="80">
      <t>キョウイン</t>
    </rPh>
    <rPh sb="85" eb="88">
      <t>カイトウレイ</t>
    </rPh>
    <rPh sb="89" eb="91">
      <t>キョウユウ</t>
    </rPh>
    <rPh sb="93" eb="95">
      <t>ジンソク</t>
    </rPh>
    <rPh sb="95" eb="97">
      <t>テキセツ</t>
    </rPh>
    <rPh sb="98" eb="100">
      <t>シツモン</t>
    </rPh>
    <rPh sb="100" eb="102">
      <t>タイオウ</t>
    </rPh>
    <rPh sb="103" eb="105">
      <t>カノウ</t>
    </rPh>
    <rPh sb="110" eb="112">
      <t>キョウツウ</t>
    </rPh>
    <rPh sb="112" eb="114">
      <t>カモク</t>
    </rPh>
    <rPh sb="117" eb="119">
      <t>ホウシン</t>
    </rPh>
    <rPh sb="123" eb="130">
      <t>ガクシュウキバンスイシンシツ</t>
    </rPh>
    <rPh sb="131" eb="133">
      <t>シエン</t>
    </rPh>
    <rPh sb="134" eb="135">
      <t>オコナ</t>
    </rPh>
    <rPh sb="143" eb="145">
      <t>レイワ</t>
    </rPh>
    <rPh sb="146" eb="147">
      <t>ネン</t>
    </rPh>
    <rPh sb="147" eb="148">
      <t>ド</t>
    </rPh>
    <rPh sb="149" eb="151">
      <t>ケイカク</t>
    </rPh>
    <rPh sb="163" eb="165">
      <t>ジギョウ</t>
    </rPh>
    <rPh sb="166" eb="168">
      <t>カクジュウ</t>
    </rPh>
    <rPh sb="174" eb="176">
      <t>キノウ</t>
    </rPh>
    <rPh sb="177" eb="179">
      <t>カツヨウ</t>
    </rPh>
    <rPh sb="186" eb="188">
      <t>シツモン</t>
    </rPh>
    <rPh sb="191" eb="192">
      <t>タイ</t>
    </rPh>
    <rPh sb="202" eb="205">
      <t>ジシュテキ</t>
    </rPh>
    <rPh sb="206" eb="208">
      <t>カイケツ</t>
    </rPh>
    <rPh sb="209" eb="211">
      <t>シエン</t>
    </rPh>
    <rPh sb="214" eb="216">
      <t>タイセイ</t>
    </rPh>
    <rPh sb="217" eb="219">
      <t>メザ</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</si>
  <si>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</si>
  <si>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</si>
  <si>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</si>
  <si>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</si>
  <si>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</si>
  <si>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</si>
  <si>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</si>
  <si>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</si>
  <si>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共通科目WGの方針のもと、学修基盤推進室で学生の履修状況を把握した上で、副学長（教学担当）を通じて学長に報告する。その結果は、学部長等会議で各学部・学科長に共有し、さらなる履修者増につとめる。なお、本プログラムの必要性については開始前の令和2年12月の学部長等会議で意見交換を行っており、各学部・学科における本プログラムの浸透では学部長・学科長の理解・賛同が不可欠であるため、同会議を履修・修得状況の共有の場と位置づけた。</t>
    <rPh sb="0" eb="2">
      <t>キョウツウ</t>
    </rPh>
    <rPh sb="2" eb="4">
      <t>カモク</t>
    </rPh>
    <rPh sb="7" eb="9">
      <t>ホウシン</t>
    </rPh>
    <rPh sb="13" eb="20">
      <t>ガクシュウキバンスイシンシツ</t>
    </rPh>
    <rPh sb="21" eb="23">
      <t>ガクセイ</t>
    </rPh>
    <rPh sb="24" eb="26">
      <t>リシュウ</t>
    </rPh>
    <rPh sb="26" eb="28">
      <t>ジョウキョウ</t>
    </rPh>
    <rPh sb="29" eb="31">
      <t>ハアク</t>
    </rPh>
    <rPh sb="33" eb="34">
      <t>ウエ</t>
    </rPh>
    <rPh sb="36" eb="39">
      <t>フクガクチョウ</t>
    </rPh>
    <rPh sb="40" eb="42">
      <t>キョウガク</t>
    </rPh>
    <rPh sb="42" eb="44">
      <t>タントウ</t>
    </rPh>
    <rPh sb="46" eb="47">
      <t>ツウ</t>
    </rPh>
    <rPh sb="49" eb="51">
      <t>ガクチョウ</t>
    </rPh>
    <rPh sb="52" eb="54">
      <t>ホウコク</t>
    </rPh>
    <rPh sb="59" eb="61">
      <t>ケッカ</t>
    </rPh>
    <rPh sb="63" eb="66">
      <t>ガクブチョウ</t>
    </rPh>
    <rPh sb="66" eb="67">
      <t>ナド</t>
    </rPh>
    <rPh sb="67" eb="69">
      <t>カイギ</t>
    </rPh>
    <rPh sb="70" eb="73">
      <t>カクガクブ</t>
    </rPh>
    <rPh sb="74" eb="76">
      <t>ガッカ</t>
    </rPh>
    <rPh sb="76" eb="77">
      <t>チョウ</t>
    </rPh>
    <rPh sb="78" eb="80">
      <t>キョウユウ</t>
    </rPh>
    <rPh sb="86" eb="88">
      <t>リシュウ</t>
    </rPh>
    <rPh sb="88" eb="89">
      <t>シャ</t>
    </rPh>
    <rPh sb="89" eb="90">
      <t>ゾウ</t>
    </rPh>
    <rPh sb="99" eb="100">
      <t>ホン</t>
    </rPh>
    <rPh sb="106" eb="109">
      <t>ヒツヨウセイ</t>
    </rPh>
    <rPh sb="114" eb="117">
      <t>カイシマエ</t>
    </rPh>
    <rPh sb="118" eb="120">
      <t>レイワ</t>
    </rPh>
    <rPh sb="121" eb="122">
      <t>ネン</t>
    </rPh>
    <rPh sb="124" eb="125">
      <t>ガツ</t>
    </rPh>
    <rPh sb="126" eb="130">
      <t>ガクブチョウナド</t>
    </rPh>
    <rPh sb="130" eb="132">
      <t>カイギ</t>
    </rPh>
    <rPh sb="133" eb="135">
      <t>イケン</t>
    </rPh>
    <rPh sb="135" eb="137">
      <t>コウカン</t>
    </rPh>
    <rPh sb="138" eb="139">
      <t>オコナ</t>
    </rPh>
    <rPh sb="144" eb="147">
      <t>カクガクブ</t>
    </rPh>
    <rPh sb="148" eb="150">
      <t>ガッカ</t>
    </rPh>
    <rPh sb="154" eb="155">
      <t>ホン</t>
    </rPh>
    <rPh sb="161" eb="163">
      <t>シントウ</t>
    </rPh>
    <rPh sb="165" eb="168">
      <t>ガクブチョウ</t>
    </rPh>
    <rPh sb="169" eb="172">
      <t>ガッカチョウ</t>
    </rPh>
    <rPh sb="173" eb="175">
      <t>リカイ</t>
    </rPh>
    <rPh sb="176" eb="178">
      <t>サンドウ</t>
    </rPh>
    <rPh sb="179" eb="182">
      <t>フカケツ</t>
    </rPh>
    <rPh sb="188" eb="189">
      <t>ドウ</t>
    </rPh>
    <rPh sb="189" eb="191">
      <t>カイギ</t>
    </rPh>
    <rPh sb="192" eb="194">
      <t>リシュウ</t>
    </rPh>
    <rPh sb="195" eb="197">
      <t>シュウトク</t>
    </rPh>
    <rPh sb="197" eb="199">
      <t>ジョウキョウ</t>
    </rPh>
    <rPh sb="200" eb="202">
      <t>キョウユウ</t>
    </rPh>
    <rPh sb="203" eb="204">
      <t>バ</t>
    </rPh>
    <rPh sb="205" eb="207">
      <t>イチ</t>
    </rPh>
    <phoneticPr fontId="1"/>
  </si>
  <si>
    <t>学修成果</t>
    <rPh sb="0" eb="2">
      <t>ガクシュウ</t>
    </rPh>
    <rPh sb="2" eb="4">
      <t>セイカ</t>
    </rPh>
    <phoneticPr fontId="1"/>
  </si>
  <si>
    <t>定量的評価については、令和4年度入学者から「情報リテラシー」のスキルチェック項目を各学部・学科で標準化していることから、このチェック項目を用いて熟達度評価を行う。AI利用における倫理的問題のように定量化が難しい分野については、LMSに解答された学生の記述を学修基盤推進室においてテキストマイニング等の手法を活用して分析し、熟達度を定性的に評価する。</t>
    <rPh sb="0" eb="3">
      <t>テイリョウテキ</t>
    </rPh>
    <rPh sb="3" eb="5">
      <t>ヒョウカ</t>
    </rPh>
    <rPh sb="11" eb="13">
      <t>レイワ</t>
    </rPh>
    <rPh sb="14" eb="15">
      <t>ネン</t>
    </rPh>
    <rPh sb="15" eb="16">
      <t>ド</t>
    </rPh>
    <rPh sb="16" eb="19">
      <t>ニュウガクシャ</t>
    </rPh>
    <rPh sb="22" eb="24">
      <t>ジョウホウ</t>
    </rPh>
    <rPh sb="38" eb="40">
      <t>コウモク</t>
    </rPh>
    <rPh sb="41" eb="44">
      <t>カクガクブ</t>
    </rPh>
    <rPh sb="45" eb="47">
      <t>ガッカ</t>
    </rPh>
    <rPh sb="48" eb="51">
      <t>ヒョウジュンカ</t>
    </rPh>
    <rPh sb="66" eb="68">
      <t>コウモク</t>
    </rPh>
    <rPh sb="69" eb="70">
      <t>モチ</t>
    </rPh>
    <rPh sb="72" eb="75">
      <t>ジュクタツド</t>
    </rPh>
    <rPh sb="75" eb="77">
      <t>ヒョウカ</t>
    </rPh>
    <rPh sb="78" eb="79">
      <t>オコナ</t>
    </rPh>
    <rPh sb="83" eb="85">
      <t>リヨウ</t>
    </rPh>
    <rPh sb="89" eb="92">
      <t>リンリテキ</t>
    </rPh>
    <rPh sb="92" eb="94">
      <t>モンダイ</t>
    </rPh>
    <rPh sb="98" eb="101">
      <t>テイリョウカ</t>
    </rPh>
    <rPh sb="102" eb="103">
      <t>ムズカ</t>
    </rPh>
    <rPh sb="105" eb="107">
      <t>ブンヤ</t>
    </rPh>
    <rPh sb="117" eb="119">
      <t>カイトウ</t>
    </rPh>
    <rPh sb="122" eb="124">
      <t>ガクセイ</t>
    </rPh>
    <rPh sb="125" eb="127">
      <t>キジュツ</t>
    </rPh>
    <rPh sb="128" eb="135">
      <t>ガクシュウキバンスイシンシツ</t>
    </rPh>
    <rPh sb="148" eb="149">
      <t>ナド</t>
    </rPh>
    <rPh sb="150" eb="152">
      <t>シュホウ</t>
    </rPh>
    <rPh sb="153" eb="155">
      <t>カツヨウ</t>
    </rPh>
    <rPh sb="157" eb="159">
      <t>ブンセキ</t>
    </rPh>
    <rPh sb="161" eb="164">
      <t>ジュクタツド</t>
    </rPh>
    <rPh sb="165" eb="168">
      <t>テイセイテキ</t>
    </rPh>
    <rPh sb="169" eb="171">
      <t>ヒョウカ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</si>
  <si>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</si>
  <si>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東京医療保健大学では本教育プログラムを含むすべての科目に対して授業アンケートを実施しているため、受講者全員に対して、その結果を用いて教務部及びIR推進室でその分析を行っている。これに加え本プログラムの修了認定申請を行う際にはプログラム評価に関するアンケートの記載を求めており、その記述を用いてプログラム全体に対する学生の評価を行っている。</t>
    <rPh sb="0" eb="8">
      <t>トウキョウイリョウホケンダイガク</t>
    </rPh>
    <rPh sb="19" eb="20">
      <t>フク</t>
    </rPh>
    <rPh sb="25" eb="27">
      <t>カモク</t>
    </rPh>
    <rPh sb="28" eb="29">
      <t>タイ</t>
    </rPh>
    <rPh sb="60" eb="62">
      <t>ケッカ</t>
    </rPh>
    <rPh sb="63" eb="64">
      <t>モチ</t>
    </rPh>
    <rPh sb="66" eb="68">
      <t>キョウム</t>
    </rPh>
    <rPh sb="68" eb="69">
      <t>ブ</t>
    </rPh>
    <rPh sb="69" eb="70">
      <t>オヨ</t>
    </rPh>
    <rPh sb="73" eb="76">
      <t>スイシンシツ</t>
    </rPh>
    <rPh sb="79" eb="81">
      <t>ブンセキ</t>
    </rPh>
    <rPh sb="82" eb="83">
      <t>オコナ</t>
    </rPh>
    <rPh sb="91" eb="92">
      <t>クワ</t>
    </rPh>
    <rPh sb="93" eb="94">
      <t>ホン</t>
    </rPh>
    <rPh sb="100" eb="102">
      <t>シュウリョウ</t>
    </rPh>
    <rPh sb="102" eb="104">
      <t>ニンテイ</t>
    </rPh>
    <rPh sb="104" eb="106">
      <t>シンセイ</t>
    </rPh>
    <rPh sb="107" eb="108">
      <t>オコナ</t>
    </rPh>
    <rPh sb="109" eb="110">
      <t>サイ</t>
    </rPh>
    <rPh sb="117" eb="119">
      <t>ヒョウカ</t>
    </rPh>
    <rPh sb="120" eb="121">
      <t>カン</t>
    </rPh>
    <rPh sb="129" eb="131">
      <t>キサイ</t>
    </rPh>
    <rPh sb="132" eb="133">
      <t>モト</t>
    </rPh>
    <rPh sb="140" eb="142">
      <t>キジュツ</t>
    </rPh>
    <rPh sb="143" eb="144">
      <t>モチ</t>
    </rPh>
    <rPh sb="151" eb="153">
      <t>ゼンタイ</t>
    </rPh>
    <rPh sb="154" eb="155">
      <t>タイ</t>
    </rPh>
    <rPh sb="157" eb="159">
      <t>ガクセイ</t>
    </rPh>
    <rPh sb="160" eb="162">
      <t>ヒョウカ</t>
    </rPh>
    <rPh sb="163" eb="164">
      <t>オコナ</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</si>
  <si>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</si>
  <si>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</si>
  <si>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構成する各科目については令和3年度は一部選択であったが、令和4年度には全学部・学科とも必修科目内に位置づけることとなった。これにより3年後（令和7年度）の時点で、履修率は100%になるものと想定している。これらの進捗状況については、上記学部長等会議における共有のほか、全学教務委員会においても定期的に共有を図り、各学部・学科のカリキュラム担当者とも連携して一層の履修率向上を期することとしている。</t>
    <rPh sb="13" eb="14">
      <t>カク</t>
    </rPh>
    <rPh sb="21" eb="23">
      <t>レイワ</t>
    </rPh>
    <rPh sb="24" eb="26">
      <t>ネンド</t>
    </rPh>
    <rPh sb="27" eb="29">
      <t>イチブ</t>
    </rPh>
    <rPh sb="29" eb="31">
      <t>センタク</t>
    </rPh>
    <rPh sb="46" eb="47">
      <t>ブ</t>
    </rPh>
    <rPh sb="48" eb="50">
      <t>ガッカ</t>
    </rPh>
    <rPh sb="52" eb="54">
      <t>ヒッシュウ</t>
    </rPh>
    <rPh sb="54" eb="57">
      <t>カモクナイ</t>
    </rPh>
    <rPh sb="58" eb="60">
      <t>イチ</t>
    </rPh>
    <rPh sb="76" eb="78">
      <t>ネンゴ</t>
    </rPh>
    <rPh sb="79" eb="81">
      <t>レイワ</t>
    </rPh>
    <rPh sb="82" eb="84">
      <t>ネンド</t>
    </rPh>
    <rPh sb="86" eb="88">
      <t>ジテン</t>
    </rPh>
    <rPh sb="104" eb="106">
      <t>ソウテイ</t>
    </rPh>
    <rPh sb="115" eb="117">
      <t>シンチョク</t>
    </rPh>
    <rPh sb="117" eb="119">
      <t>ジョウキョウ</t>
    </rPh>
    <rPh sb="125" eb="127">
      <t>ジョウキ</t>
    </rPh>
    <rPh sb="127" eb="130">
      <t>ガクブチョウ</t>
    </rPh>
    <rPh sb="130" eb="131">
      <t>ナド</t>
    </rPh>
    <rPh sb="131" eb="133">
      <t>カイギ</t>
    </rPh>
    <rPh sb="137" eb="139">
      <t>キョウユウ</t>
    </rPh>
    <rPh sb="143" eb="150">
      <t>ゼンガクキョウムイインカイ</t>
    </rPh>
    <rPh sb="155" eb="158">
      <t>テイキテキ</t>
    </rPh>
    <rPh sb="159" eb="161">
      <t>キョウユウ</t>
    </rPh>
    <rPh sb="162" eb="163">
      <t>ハカ</t>
    </rPh>
    <rPh sb="165" eb="168">
      <t>カクガクブ</t>
    </rPh>
    <rPh sb="169" eb="171">
      <t>ガッカ</t>
    </rPh>
    <rPh sb="178" eb="181">
      <t>タントウシャ</t>
    </rPh>
    <rPh sb="183" eb="185">
      <t>レンケイ</t>
    </rPh>
    <rPh sb="187" eb="189">
      <t>イッソウ</t>
    </rPh>
    <rPh sb="190" eb="192">
      <t>リシュウ</t>
    </rPh>
    <rPh sb="192" eb="193">
      <t>リツ</t>
    </rPh>
    <rPh sb="193" eb="195">
      <t>コウジョウ</t>
    </rPh>
    <rPh sb="196" eb="197">
      <t>キ</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</si>
  <si>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</si>
  <si>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</si>
  <si>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本学では、大学関連医療機関に就職する卒業生が多いことから、これらの医療機関関係者及び当該期間に勤務する卒業生にアンケート等を依頼して、評価を行うこととしている。
医療機関関係者については、令和3年度中にも学修基盤推進室を通じてプログラム設計について意見を招請し、その意見を反映した授業内容を構築している。令和4年度には学生支援センターを通じた卒業生アンケートを通じ、当該プログラムについて評価を行う予定である。</t>
    <rPh sb="0" eb="2">
      <t>ホンガク</t>
    </rPh>
    <rPh sb="5" eb="7">
      <t>ダイガク</t>
    </rPh>
    <rPh sb="7" eb="9">
      <t>カンレン</t>
    </rPh>
    <rPh sb="9" eb="11">
      <t>イリョウ</t>
    </rPh>
    <rPh sb="11" eb="13">
      <t>キカン</t>
    </rPh>
    <rPh sb="14" eb="16">
      <t>シュウショク</t>
    </rPh>
    <rPh sb="18" eb="21">
      <t>ソツギョウセイ</t>
    </rPh>
    <rPh sb="22" eb="23">
      <t>オオ</t>
    </rPh>
    <rPh sb="33" eb="35">
      <t>イリョウ</t>
    </rPh>
    <rPh sb="35" eb="37">
      <t>キカン</t>
    </rPh>
    <rPh sb="37" eb="40">
      <t>カンケイシャ</t>
    </rPh>
    <rPh sb="40" eb="41">
      <t>オヨ</t>
    </rPh>
    <rPh sb="42" eb="44">
      <t>トウガイ</t>
    </rPh>
    <rPh sb="44" eb="46">
      <t>キカン</t>
    </rPh>
    <rPh sb="47" eb="49">
      <t>キンム</t>
    </rPh>
    <rPh sb="51" eb="54">
      <t>ソツギョウセイ</t>
    </rPh>
    <rPh sb="60" eb="61">
      <t>ナド</t>
    </rPh>
    <rPh sb="62" eb="64">
      <t>イライ</t>
    </rPh>
    <rPh sb="67" eb="69">
      <t>ヒョウカ</t>
    </rPh>
    <rPh sb="70" eb="71">
      <t>オコナ</t>
    </rPh>
    <rPh sb="81" eb="83">
      <t>イリョウ</t>
    </rPh>
    <rPh sb="83" eb="85">
      <t>キカン</t>
    </rPh>
    <rPh sb="85" eb="88">
      <t>カンケイシャ</t>
    </rPh>
    <rPh sb="94" eb="96">
      <t>レイワ</t>
    </rPh>
    <rPh sb="97" eb="99">
      <t>ネンド</t>
    </rPh>
    <rPh sb="99" eb="100">
      <t>チュウ</t>
    </rPh>
    <rPh sb="102" eb="109">
      <t>ガクシュウキバンスイシンシツ</t>
    </rPh>
    <rPh sb="110" eb="111">
      <t>ツウ</t>
    </rPh>
    <rPh sb="118" eb="120">
      <t>セッケイ</t>
    </rPh>
    <rPh sb="124" eb="126">
      <t>イケン</t>
    </rPh>
    <rPh sb="127" eb="129">
      <t>ショウセイ</t>
    </rPh>
    <rPh sb="133" eb="135">
      <t>イケン</t>
    </rPh>
    <rPh sb="136" eb="138">
      <t>ハンエイ</t>
    </rPh>
    <rPh sb="140" eb="142">
      <t>ジュギョウ</t>
    </rPh>
    <rPh sb="142" eb="144">
      <t>ナイヨウ</t>
    </rPh>
    <rPh sb="145" eb="147">
      <t>コウチク</t>
    </rPh>
    <rPh sb="152" eb="154">
      <t>レイワ</t>
    </rPh>
    <rPh sb="155" eb="157">
      <t>ネンド</t>
    </rPh>
    <rPh sb="159" eb="163">
      <t>ガクセイシエン</t>
    </rPh>
    <rPh sb="168" eb="169">
      <t>ツウ</t>
    </rPh>
    <rPh sb="171" eb="174">
      <t>ソツギョウセイ</t>
    </rPh>
    <rPh sb="180" eb="181">
      <t>ツウ</t>
    </rPh>
    <rPh sb="183" eb="185">
      <t>トウガイ</t>
    </rPh>
    <rPh sb="194" eb="196">
      <t>ヒョウカ</t>
    </rPh>
    <rPh sb="197" eb="198">
      <t>オコナ</t>
    </rPh>
    <rPh sb="199" eb="201">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</si>
  <si>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</si>
  <si>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東京医療保健大学では外部評価委員会を設置しており、これまでも教育プログラムに対する助言等を頂戴してきた。これに加えて数理・データサイエンス・数理に関する先端研究に従事する医療関係者・企業関係者等から幅広くご助言をいただくため、令和3年11月に総合研究所に客員教授ポストを新設した。総合研究所は学長を所長に「一歩先の医療保健」を研究する組織であり、そこにはTIS株式会社をはじめデータサイエンス企業が参画しており、それらの参画企業にも教育プログラムにご助言いただくほか授業の一部もご担当いただいていた。令和4年度は、これらの関係者が一同に介して教育プログラムについてご意見いただくための懇話会を開催する予定である。</t>
    <rPh sb="0" eb="8">
      <t>トウキョウイリョウホケンダイガク</t>
    </rPh>
    <rPh sb="10" eb="12">
      <t>ガイブ</t>
    </rPh>
    <rPh sb="12" eb="14">
      <t>ヒョウカ</t>
    </rPh>
    <rPh sb="14" eb="17">
      <t>イインカイ</t>
    </rPh>
    <rPh sb="18" eb="20">
      <t>セッチ</t>
    </rPh>
    <rPh sb="30" eb="32">
      <t>キョウイク</t>
    </rPh>
    <rPh sb="38" eb="39">
      <t>タイ</t>
    </rPh>
    <rPh sb="41" eb="43">
      <t>ジョゲン</t>
    </rPh>
    <rPh sb="43" eb="44">
      <t>ナド</t>
    </rPh>
    <rPh sb="45" eb="47">
      <t>チョウダイ</t>
    </rPh>
    <rPh sb="55" eb="56">
      <t>クワ</t>
    </rPh>
    <rPh sb="58" eb="60">
      <t>スウリ</t>
    </rPh>
    <rPh sb="70" eb="72">
      <t>スウリ</t>
    </rPh>
    <rPh sb="73" eb="74">
      <t>カン</t>
    </rPh>
    <rPh sb="76" eb="78">
      <t>センタン</t>
    </rPh>
    <rPh sb="78" eb="80">
      <t>ケンキュウ</t>
    </rPh>
    <rPh sb="81" eb="83">
      <t>ジュウジ</t>
    </rPh>
    <rPh sb="85" eb="87">
      <t>イリョウ</t>
    </rPh>
    <rPh sb="87" eb="90">
      <t>カンケイシャ</t>
    </rPh>
    <rPh sb="91" eb="93">
      <t>キギョウ</t>
    </rPh>
    <rPh sb="93" eb="96">
      <t>カンケイシャ</t>
    </rPh>
    <rPh sb="96" eb="97">
      <t>ナド</t>
    </rPh>
    <rPh sb="99" eb="101">
      <t>ハバヒロ</t>
    </rPh>
    <rPh sb="103" eb="105">
      <t>ジョゲン</t>
    </rPh>
    <rPh sb="113" eb="115">
      <t>レイワ</t>
    </rPh>
    <rPh sb="116" eb="117">
      <t>ネン</t>
    </rPh>
    <rPh sb="119" eb="120">
      <t>ガツ</t>
    </rPh>
    <rPh sb="121" eb="123">
      <t>ソウゴウ</t>
    </rPh>
    <rPh sb="123" eb="126">
      <t>ケンキュウジョ</t>
    </rPh>
    <rPh sb="127" eb="129">
      <t>キャクイン</t>
    </rPh>
    <rPh sb="129" eb="131">
      <t>キョウジュ</t>
    </rPh>
    <rPh sb="135" eb="137">
      <t>シンセツ</t>
    </rPh>
    <rPh sb="140" eb="145">
      <t>ソウゴウケンキュウジョ</t>
    </rPh>
    <rPh sb="146" eb="148">
      <t>ガクチョウ</t>
    </rPh>
    <rPh sb="149" eb="151">
      <t>ショチョウ</t>
    </rPh>
    <rPh sb="153" eb="156">
      <t>イッポサキ</t>
    </rPh>
    <rPh sb="157" eb="161">
      <t>イリョウホケン</t>
    </rPh>
    <rPh sb="163" eb="165">
      <t>ケンキュウ</t>
    </rPh>
    <rPh sb="167" eb="169">
      <t>ソシキ</t>
    </rPh>
    <rPh sb="180" eb="184">
      <t>カブシキガイシャ</t>
    </rPh>
    <rPh sb="196" eb="198">
      <t>キギョウ</t>
    </rPh>
    <rPh sb="199" eb="201">
      <t>サンカク</t>
    </rPh>
    <rPh sb="210" eb="212">
      <t>サンカク</t>
    </rPh>
    <rPh sb="212" eb="214">
      <t>キギョウ</t>
    </rPh>
    <rPh sb="216" eb="218">
      <t>キョウイク</t>
    </rPh>
    <rPh sb="225" eb="227">
      <t>ジョゲン</t>
    </rPh>
    <rPh sb="233" eb="235">
      <t>ジュギョウ</t>
    </rPh>
    <rPh sb="236" eb="238">
      <t>イチブ</t>
    </rPh>
    <rPh sb="240" eb="242">
      <t>タントウ</t>
    </rPh>
    <rPh sb="250" eb="252">
      <t>レイワ</t>
    </rPh>
    <rPh sb="253" eb="255">
      <t>ネンド</t>
    </rPh>
    <rPh sb="261" eb="264">
      <t>カンケイシャ</t>
    </rPh>
    <rPh sb="265" eb="267">
      <t>イチドウ</t>
    </rPh>
    <rPh sb="268" eb="269">
      <t>カイ</t>
    </rPh>
    <rPh sb="271" eb="273">
      <t>キョウイク</t>
    </rPh>
    <rPh sb="283" eb="285">
      <t>イケン</t>
    </rPh>
    <rPh sb="292" eb="295">
      <t>コンワカイ</t>
    </rPh>
    <rPh sb="296" eb="298">
      <t>カイサイ</t>
    </rPh>
    <rPh sb="300" eb="302">
      <t>ヨテイ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</si>
  <si>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</si>
  <si>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東京医療保健大学が本プログラムの実施を決定した令和2年13月の学部長等会議では、看護師・管理栄養士に関する指定科目だけで必修科目の多くを占める中で、ヘルスデータサイエンスプログラムを実行することに慎重な意見も見られた。その後議論を重ねて、すべての医療人に本プログラムが必要であるとの合意形成が熟してきた。こうした背景から、すべての教員およびすべての学生が意義や楽しさを理解することは極めて重要と考えている。このことからNTTグループの協力も得て、例えばNTTドコモの講師に身近な話題を講演してもらう等の工夫を重ねて、意義・楽しさの浸透に努めて参りたい。</t>
    <rPh sb="0" eb="8">
      <t>トウキョウイリョウホケンダイガク</t>
    </rPh>
    <rPh sb="9" eb="10">
      <t>ホン</t>
    </rPh>
    <rPh sb="16" eb="18">
      <t>ジッシ</t>
    </rPh>
    <rPh sb="19" eb="21">
      <t>ケッテイ</t>
    </rPh>
    <rPh sb="23" eb="25">
      <t>レイワ</t>
    </rPh>
    <rPh sb="26" eb="27">
      <t>ネン</t>
    </rPh>
    <rPh sb="29" eb="30">
      <t>ガツ</t>
    </rPh>
    <rPh sb="31" eb="34">
      <t>ガクブチョウ</t>
    </rPh>
    <rPh sb="34" eb="35">
      <t>ナド</t>
    </rPh>
    <rPh sb="35" eb="37">
      <t>カイギ</t>
    </rPh>
    <rPh sb="40" eb="43">
      <t>カンゴシ</t>
    </rPh>
    <rPh sb="44" eb="46">
      <t>カンリ</t>
    </rPh>
    <rPh sb="46" eb="49">
      <t>エイヨウシ</t>
    </rPh>
    <rPh sb="50" eb="51">
      <t>カン</t>
    </rPh>
    <rPh sb="53" eb="55">
      <t>シテイ</t>
    </rPh>
    <rPh sb="55" eb="57">
      <t>カモク</t>
    </rPh>
    <rPh sb="60" eb="62">
      <t>ヒッシュウ</t>
    </rPh>
    <rPh sb="62" eb="64">
      <t>カモク</t>
    </rPh>
    <rPh sb="65" eb="66">
      <t>オオ</t>
    </rPh>
    <rPh sb="68" eb="69">
      <t>シ</t>
    </rPh>
    <rPh sb="71" eb="72">
      <t>ナカ</t>
    </rPh>
    <rPh sb="91" eb="93">
      <t>ジッコウ</t>
    </rPh>
    <rPh sb="98" eb="100">
      <t>シンチョウ</t>
    </rPh>
    <rPh sb="101" eb="103">
      <t>イケン</t>
    </rPh>
    <rPh sb="104" eb="105">
      <t>ミ</t>
    </rPh>
    <rPh sb="111" eb="112">
      <t>ゴ</t>
    </rPh>
    <rPh sb="112" eb="114">
      <t>ギロン</t>
    </rPh>
    <rPh sb="115" eb="116">
      <t>カサ</t>
    </rPh>
    <rPh sb="123" eb="125">
      <t>イリョウ</t>
    </rPh>
    <rPh sb="125" eb="126">
      <t>ジン</t>
    </rPh>
    <rPh sb="127" eb="128">
      <t>ホン</t>
    </rPh>
    <rPh sb="134" eb="136">
      <t>ヒツヨウ</t>
    </rPh>
    <rPh sb="141" eb="143">
      <t>ゴウイ</t>
    </rPh>
    <rPh sb="143" eb="145">
      <t>ケイセイ</t>
    </rPh>
    <rPh sb="146" eb="147">
      <t>ジュク</t>
    </rPh>
    <rPh sb="156" eb="158">
      <t>ハイケイ</t>
    </rPh>
    <rPh sb="165" eb="167">
      <t>キョウイン</t>
    </rPh>
    <rPh sb="174" eb="176">
      <t>ガクセイ</t>
    </rPh>
    <rPh sb="177" eb="179">
      <t>イギ</t>
    </rPh>
    <rPh sb="180" eb="181">
      <t>タノ</t>
    </rPh>
    <rPh sb="184" eb="186">
      <t>リカイ</t>
    </rPh>
    <rPh sb="191" eb="192">
      <t>キワ</t>
    </rPh>
    <rPh sb="194" eb="196">
      <t>ジュウヨウ</t>
    </rPh>
    <rPh sb="197" eb="198">
      <t>カンガ</t>
    </rPh>
    <rPh sb="217" eb="219">
      <t>キョウリョク</t>
    </rPh>
    <rPh sb="220" eb="221">
      <t>エ</t>
    </rPh>
    <rPh sb="223" eb="224">
      <t>タト</t>
    </rPh>
    <rPh sb="233" eb="235">
      <t>コウシ</t>
    </rPh>
    <rPh sb="236" eb="238">
      <t>ミヂカ</t>
    </rPh>
    <rPh sb="239" eb="241">
      <t>ワダイ</t>
    </rPh>
    <rPh sb="242" eb="244">
      <t>コウエン</t>
    </rPh>
    <rPh sb="249" eb="250">
      <t>ナド</t>
    </rPh>
    <rPh sb="251" eb="253">
      <t>クフウ</t>
    </rPh>
    <rPh sb="254" eb="255">
      <t>カサ</t>
    </rPh>
    <rPh sb="258" eb="260">
      <t>イギ</t>
    </rPh>
    <rPh sb="261" eb="262">
      <t>タノ</t>
    </rPh>
    <rPh sb="265" eb="267">
      <t>シントウ</t>
    </rPh>
    <rPh sb="268" eb="269">
      <t>ツト</t>
    </rPh>
    <rPh sb="271" eb="272">
      <t>マイ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</si>
  <si>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</si>
  <si>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ヘルスデータサイエンスプログラムにおいては、科目群を2つに分け、学部・学科の属性を問わず共通理解する基礎知識・技術の分野と、学部・学科の専門性を活かして基礎知識・技術を応用する分野で構成している。このうち前者をⅠ群科目「ヘルスデータサイエンスの基礎」、後者をⅡ群科目である「社会におけるヘルスデータサイエンスの活用」としているが、Ⅱ群科目では看護・栄養など各学部・学科の専門性を活かした内容となるように設計している。これにより学生が身近な問題としてデータサイエンスを捉え、興味・関心を高められるように配慮している。</t>
    <rPh sb="22" eb="24">
      <t>カモク</t>
    </rPh>
    <rPh sb="24" eb="25">
      <t>グン</t>
    </rPh>
    <rPh sb="29" eb="30">
      <t>ワ</t>
    </rPh>
    <rPh sb="32" eb="34">
      <t>ガクブ</t>
    </rPh>
    <rPh sb="35" eb="37">
      <t>ガッカ</t>
    </rPh>
    <rPh sb="38" eb="40">
      <t>ゾクセイ</t>
    </rPh>
    <rPh sb="41" eb="42">
      <t>ト</t>
    </rPh>
    <rPh sb="44" eb="46">
      <t>キョウツウ</t>
    </rPh>
    <rPh sb="46" eb="48">
      <t>リカイ</t>
    </rPh>
    <rPh sb="50" eb="54">
      <t>キソチシキ</t>
    </rPh>
    <rPh sb="55" eb="57">
      <t>ギジュツ</t>
    </rPh>
    <rPh sb="58" eb="60">
      <t>ブンヤ</t>
    </rPh>
    <rPh sb="62" eb="64">
      <t>ガクブ</t>
    </rPh>
    <rPh sb="65" eb="67">
      <t>ガッカ</t>
    </rPh>
    <rPh sb="68" eb="71">
      <t>センモンセイ</t>
    </rPh>
    <rPh sb="72" eb="73">
      <t>イ</t>
    </rPh>
    <rPh sb="76" eb="80">
      <t>キソチシキ</t>
    </rPh>
    <rPh sb="81" eb="83">
      <t>ギジュツ</t>
    </rPh>
    <rPh sb="84" eb="86">
      <t>オウヨウ</t>
    </rPh>
    <rPh sb="88" eb="90">
      <t>ブンヤ</t>
    </rPh>
    <rPh sb="91" eb="93">
      <t>コウセイ</t>
    </rPh>
    <rPh sb="102" eb="104">
      <t>ゼンシャ</t>
    </rPh>
    <rPh sb="126" eb="128">
      <t>コウシャ</t>
    </rPh>
    <rPh sb="166" eb="167">
      <t>グン</t>
    </rPh>
    <rPh sb="167" eb="169">
      <t>カモク</t>
    </rPh>
    <rPh sb="171" eb="173">
      <t>カンゴ</t>
    </rPh>
    <rPh sb="174" eb="176">
      <t>エイヨウ</t>
    </rPh>
    <rPh sb="178" eb="179">
      <t>カク</t>
    </rPh>
    <rPh sb="179" eb="181">
      <t>ガクブ</t>
    </rPh>
    <rPh sb="182" eb="184">
      <t>ガッカ</t>
    </rPh>
    <rPh sb="185" eb="188">
      <t>センモンセイ</t>
    </rPh>
    <rPh sb="189" eb="190">
      <t>イ</t>
    </rPh>
    <rPh sb="193" eb="195">
      <t>ナイヨウ</t>
    </rPh>
    <rPh sb="201" eb="203">
      <t>セッケイ</t>
    </rPh>
    <rPh sb="213" eb="215">
      <t>ガクセイ</t>
    </rPh>
    <rPh sb="216" eb="218">
      <t>ミヂカ</t>
    </rPh>
    <rPh sb="219" eb="221">
      <t>モンダイ</t>
    </rPh>
    <rPh sb="233" eb="234">
      <t>トラ</t>
    </rPh>
    <rPh sb="236" eb="238">
      <t>キョウミ</t>
    </rPh>
    <rPh sb="239" eb="241">
      <t>カンシン</t>
    </rPh>
    <rPh sb="242" eb="243">
      <t>タカ</t>
    </rPh>
    <rPh sb="250" eb="252">
      <t>ハイリョ</t>
    </rPh>
    <phoneticPr fontId="1"/>
  </si>
  <si>
    <t>②自己点検・評価体制における意見等を公表しているアドレス</t>
    <phoneticPr fontId="1"/>
  </si>
  <si>
    <t>http://www.thcu.ac.jp/topics/detail.html?id=2299</t>
    <phoneticPr fontId="1"/>
  </si>
  <si>
    <t>○</t>
  </si>
  <si>
    <t>一部開講</t>
  </si>
  <si>
    <t>医療・看護情報学の基礎（東が丘看護学部）</t>
    <rPh sb="0" eb="2">
      <t>イリョウ</t>
    </rPh>
    <rPh sb="3" eb="5">
      <t>カンゴ</t>
    </rPh>
    <rPh sb="5" eb="8">
      <t>ジョウホウガク</t>
    </rPh>
    <rPh sb="9" eb="11">
      <t>キソ</t>
    </rPh>
    <phoneticPr fontId="1"/>
  </si>
  <si>
    <t>医療・看護情報学の基礎（立川看護学部）</t>
    <rPh sb="12" eb="14">
      <t>タチカワ</t>
    </rPh>
    <phoneticPr fontId="1"/>
  </si>
  <si>
    <t>ICTリテラシーⅠ（千葉看護学部）</t>
    <rPh sb="10" eb="12">
      <t>チバ</t>
    </rPh>
    <rPh sb="12" eb="14">
      <t>カンゴ</t>
    </rPh>
    <phoneticPr fontId="1"/>
  </si>
  <si>
    <t>情報リテラシー（和歌山看護学部）</t>
    <rPh sb="8" eb="11">
      <t>ワカヤマ</t>
    </rPh>
    <rPh sb="11" eb="13">
      <t>カンゴ</t>
    </rPh>
    <rPh sb="13" eb="15">
      <t>ガクブ</t>
    </rPh>
    <phoneticPr fontId="1"/>
  </si>
  <si>
    <t>医療・看護情報学の基礎（東が丘看護学部）</t>
    <rPh sb="0" eb="2">
      <t>イリョウ</t>
    </rPh>
    <rPh sb="3" eb="5">
      <t>カンゴ</t>
    </rPh>
    <rPh sb="5" eb="7">
      <t>ジョウホウ</t>
    </rPh>
    <rPh sb="7" eb="8">
      <t>ガク</t>
    </rPh>
    <rPh sb="9" eb="11">
      <t>キソ</t>
    </rPh>
    <rPh sb="15" eb="19">
      <t>カンゴガクブ</t>
    </rPh>
    <phoneticPr fontId="1"/>
  </si>
  <si>
    <t>医療・看護情報学の基礎（立川看護学部）</t>
    <rPh sb="0" eb="2">
      <t>イリョウ</t>
    </rPh>
    <rPh sb="3" eb="5">
      <t>カンゴ</t>
    </rPh>
    <rPh sb="5" eb="7">
      <t>ジョウホウ</t>
    </rPh>
    <rPh sb="7" eb="8">
      <t>ガク</t>
    </rPh>
    <rPh sb="9" eb="11">
      <t>キソ</t>
    </rPh>
    <rPh sb="12" eb="14">
      <t>タチカワ</t>
    </rPh>
    <rPh sb="14" eb="18">
      <t>カンゴガクブ</t>
    </rPh>
    <phoneticPr fontId="1"/>
  </si>
  <si>
    <t>情報通信と保健医療（千葉看護学部）</t>
    <rPh sb="0" eb="2">
      <t>ジョウホウ</t>
    </rPh>
    <rPh sb="2" eb="4">
      <t>ツウシン</t>
    </rPh>
    <rPh sb="5" eb="9">
      <t>ホケンイリョウ</t>
    </rPh>
    <rPh sb="10" eb="12">
      <t>チバ</t>
    </rPh>
    <rPh sb="12" eb="14">
      <t>カンゴ</t>
    </rPh>
    <rPh sb="14" eb="16">
      <t>ガクブ</t>
    </rPh>
    <rPh sb="16" eb="17">
      <t>ガクブ</t>
    </rPh>
    <phoneticPr fontId="1"/>
  </si>
  <si>
    <t>疫学・保健統計論（和歌山看護学部）</t>
    <rPh sb="9" eb="12">
      <t>ワカヤマ</t>
    </rPh>
    <rPh sb="12" eb="14">
      <t>カンゴ</t>
    </rPh>
    <rPh sb="14" eb="16">
      <t>ガクブ</t>
    </rPh>
    <phoneticPr fontId="1"/>
  </si>
  <si>
    <t>疫学・保健統計論（和歌山看護学部）</t>
    <phoneticPr fontId="1"/>
  </si>
  <si>
    <t>〇</t>
    <phoneticPr fontId="1"/>
  </si>
  <si>
    <t>統計学（東が丘看護学部）</t>
    <rPh sb="0" eb="3">
      <t>トウケイガク</t>
    </rPh>
    <rPh sb="7" eb="11">
      <t>カンゴガクブ</t>
    </rPh>
    <phoneticPr fontId="1"/>
  </si>
  <si>
    <t>統計学（立川看護学部）</t>
    <rPh sb="4" eb="6">
      <t>タチカワ</t>
    </rPh>
    <phoneticPr fontId="1"/>
  </si>
  <si>
    <t>データサイエンス（千葉看護学部）</t>
    <phoneticPr fontId="1"/>
  </si>
  <si>
    <t>データサイエンス（和歌山看護学部）</t>
    <phoneticPr fontId="1"/>
  </si>
  <si>
    <t>（Ⅱ群科目：社会におけるヘルスデータ</t>
    <phoneticPr fontId="1"/>
  </si>
  <si>
    <t>　サイエンスの活用は、令和4年度開講</t>
    <phoneticPr fontId="1"/>
  </si>
  <si>
    <t>　のため非記載）</t>
    <phoneticPr fontId="1"/>
  </si>
  <si>
    <t>全学的学位授与方針で求める資質（医療分野において高い専門性、豊かな人間性及び教養を備えている）のうち、ヘルスデータサイエンスの知識、技術及び態度を獲得することによって、看護学、管理栄養学等の分野でポピュレーションヘルスに関する専門性とデジタル社会における教養を備え、Society5.0の時代に即した「一歩先の医療保健」の担い手となることができる。</t>
    <rPh sb="0" eb="3">
      <t>ゼンガクテキ</t>
    </rPh>
    <rPh sb="3" eb="5">
      <t>ガクイ</t>
    </rPh>
    <rPh sb="5" eb="7">
      <t>ジュヨ</t>
    </rPh>
    <rPh sb="7" eb="9">
      <t>ホウシン</t>
    </rPh>
    <rPh sb="10" eb="11">
      <t>モト</t>
    </rPh>
    <rPh sb="13" eb="15">
      <t>シシツ</t>
    </rPh>
    <rPh sb="63" eb="65">
      <t>チシキ</t>
    </rPh>
    <rPh sb="66" eb="68">
      <t>ギジュツ</t>
    </rPh>
    <rPh sb="68" eb="69">
      <t>オヨ</t>
    </rPh>
    <rPh sb="70" eb="72">
      <t>タイド</t>
    </rPh>
    <rPh sb="73" eb="75">
      <t>カクトク</t>
    </rPh>
    <rPh sb="84" eb="87">
      <t>カンゴガク</t>
    </rPh>
    <rPh sb="88" eb="90">
      <t>カンリ</t>
    </rPh>
    <rPh sb="90" eb="93">
      <t>エイヨウガク</t>
    </rPh>
    <rPh sb="93" eb="94">
      <t>ナド</t>
    </rPh>
    <rPh sb="95" eb="97">
      <t>ブンヤ</t>
    </rPh>
    <rPh sb="121" eb="123">
      <t>シャカイ</t>
    </rPh>
    <rPh sb="127" eb="129">
      <t>キョウヨウ</t>
    </rPh>
    <rPh sb="130" eb="131">
      <t>ソナ</t>
    </rPh>
    <rPh sb="144" eb="146">
      <t>ジダイ</t>
    </rPh>
    <rPh sb="147" eb="148">
      <t>ソク</t>
    </rPh>
    <rPh sb="151" eb="153">
      <t>イッポ</t>
    </rPh>
    <rPh sb="153" eb="154">
      <t>サキ</t>
    </rPh>
    <rPh sb="155" eb="159">
      <t>イリョウホケン</t>
    </rPh>
    <rPh sb="161" eb="162">
      <t>ニナ</t>
    </rPh>
    <rPh sb="163" eb="164">
      <t>テ</t>
    </rPh>
    <phoneticPr fontId="1"/>
  </si>
  <si>
    <t>東京医療保健大学全学教務委員会共通科目ワーキンググループ要綱</t>
    <rPh sb="0" eb="8">
      <t>トウキョウイリョウホケンダイガク</t>
    </rPh>
    <rPh sb="8" eb="15">
      <t>ゼンガクキョウムイインカイ</t>
    </rPh>
    <rPh sb="28" eb="30">
      <t>ヨウコウ</t>
    </rPh>
    <phoneticPr fontId="1"/>
  </si>
  <si>
    <t>受講生に対する授業アンケートにおいて、後輩学生や他の学生への推奨について確認している。また、本教育プログラムの専用ページにおいて受講の感想等の意見を掲示し、講義受講の推奨に活用している。</t>
    <phoneticPr fontId="1"/>
  </si>
  <si>
    <t>様式２－１</t>
    <phoneticPr fontId="1"/>
  </si>
  <si>
    <t>学部・学科によって、修了要件は相違する</t>
  </si>
  <si>
    <t>　本プログラムは、「ヘルスデータサイエンスの基礎」として不可欠な「情報リテラシー科目（下記③～⑥）」と「統計リテラシー科目（下記⑦）」の科目群で構成されている。看護師・管理栄養士等の国家資格に関する指定規則との関係から具体的な科目名は学部によって若干の差異があるが、教育内容については標準化している。医療保健学部３学科とも双方の科目の単位を修得することでプログラム修了が認定される。
　なお、プログラムの拡充を図るため、令和4年度より「Ⅰ群科目：ヘルスデータサイエンスの基礎」を必修とし、「Ⅱ群科目：社会におけるヘルスデータサイエンスの活用」を選択とし、より実践的な内容を教授することとしている。</t>
    <rPh sb="1" eb="2">
      <t>ホン</t>
    </rPh>
    <rPh sb="28" eb="31">
      <t>フカケツ</t>
    </rPh>
    <rPh sb="33" eb="35">
      <t>ジョウホウ</t>
    </rPh>
    <rPh sb="40" eb="42">
      <t>カモク</t>
    </rPh>
    <rPh sb="43" eb="45">
      <t>カキ</t>
    </rPh>
    <rPh sb="52" eb="54">
      <t>トウケイ</t>
    </rPh>
    <rPh sb="59" eb="61">
      <t>カモク</t>
    </rPh>
    <rPh sb="62" eb="64">
      <t>カキ</t>
    </rPh>
    <rPh sb="68" eb="70">
      <t>カモク</t>
    </rPh>
    <rPh sb="70" eb="71">
      <t>グン</t>
    </rPh>
    <rPh sb="72" eb="74">
      <t>コウセイ</t>
    </rPh>
    <rPh sb="80" eb="83">
      <t>カンゴシ</t>
    </rPh>
    <rPh sb="84" eb="86">
      <t>カンリ</t>
    </rPh>
    <rPh sb="86" eb="88">
      <t>エイヨウ</t>
    </rPh>
    <rPh sb="109" eb="112">
      <t>グタイテキ</t>
    </rPh>
    <rPh sb="113" eb="116">
      <t>カモクメイ</t>
    </rPh>
    <rPh sb="117" eb="119">
      <t>ガクブ</t>
    </rPh>
    <rPh sb="123" eb="125">
      <t>ジャッカン</t>
    </rPh>
    <rPh sb="126" eb="128">
      <t>サイ</t>
    </rPh>
    <rPh sb="133" eb="135">
      <t>キョウイク</t>
    </rPh>
    <rPh sb="135" eb="137">
      <t>ナイヨウ</t>
    </rPh>
    <rPh sb="142" eb="145">
      <t>ヒョウジュンカ</t>
    </rPh>
    <rPh sb="157" eb="159">
      <t>ガッカ</t>
    </rPh>
    <rPh sb="161" eb="163">
      <t>ソウホウ</t>
    </rPh>
    <rPh sb="164" eb="166">
      <t>カモク</t>
    </rPh>
    <rPh sb="167" eb="169">
      <t>タンイ</t>
    </rPh>
    <rPh sb="170" eb="172">
      <t>シュウトク</t>
    </rPh>
    <rPh sb="182" eb="184">
      <t>シュウリョウ</t>
    </rPh>
    <rPh sb="185" eb="187">
      <t>ニンテイ</t>
    </rPh>
    <rPh sb="202" eb="204">
      <t>カクジュウ</t>
    </rPh>
    <rPh sb="205" eb="206">
      <t>ハカ</t>
    </rPh>
    <rPh sb="210" eb="212">
      <t>レイワ</t>
    </rPh>
    <rPh sb="213" eb="215">
      <t>ネンド</t>
    </rPh>
    <rPh sb="219" eb="220">
      <t>グン</t>
    </rPh>
    <rPh sb="220" eb="222">
      <t>カモク</t>
    </rPh>
    <rPh sb="235" eb="237">
      <t>キソ</t>
    </rPh>
    <rPh sb="239" eb="241">
      <t>ヒッシュウ</t>
    </rPh>
    <rPh sb="246" eb="247">
      <t>グン</t>
    </rPh>
    <rPh sb="247" eb="249">
      <t>カモク</t>
    </rPh>
    <rPh sb="272" eb="274">
      <t>センタク</t>
    </rPh>
    <rPh sb="279" eb="282">
      <t>ジッセンテキ</t>
    </rPh>
    <rPh sb="283" eb="285">
      <t>ナイヨウ</t>
    </rPh>
    <rPh sb="286" eb="288">
      <t>キョウジュ</t>
    </rPh>
    <phoneticPr fontId="1"/>
  </si>
  <si>
    <t>情報リテラシー（医療保健学部看護学科）</t>
    <rPh sb="14" eb="18">
      <t>カンゴガッカ</t>
    </rPh>
    <phoneticPr fontId="1"/>
  </si>
  <si>
    <t>情報リテラシー（医療保健学部医療栄養学科）</t>
    <rPh sb="14" eb="16">
      <t>イリョウ</t>
    </rPh>
    <rPh sb="16" eb="18">
      <t>エイヨウ</t>
    </rPh>
    <rPh sb="18" eb="20">
      <t>ガッカ</t>
    </rPh>
    <phoneticPr fontId="1"/>
  </si>
  <si>
    <t>情報リテラシー（医療保健学部医療情報学科）</t>
    <rPh sb="14" eb="16">
      <t>イリョウ</t>
    </rPh>
    <rPh sb="16" eb="18">
      <t>ジョウホウ</t>
    </rPh>
    <rPh sb="18" eb="20">
      <t>ガッカ</t>
    </rPh>
    <phoneticPr fontId="1"/>
  </si>
  <si>
    <t>情報通信と保健医療（医療保健学部看護学科）</t>
    <rPh sb="0" eb="2">
      <t>ジョウホウ</t>
    </rPh>
    <rPh sb="2" eb="4">
      <t>ツウシン</t>
    </rPh>
    <rPh sb="5" eb="9">
      <t>ホケンイリョウ</t>
    </rPh>
    <rPh sb="10" eb="12">
      <t>イリョウ</t>
    </rPh>
    <rPh sb="12" eb="15">
      <t>ホケンガク</t>
    </rPh>
    <rPh sb="15" eb="16">
      <t>ブ</t>
    </rPh>
    <rPh sb="16" eb="20">
      <t>カンゴガッカ</t>
    </rPh>
    <phoneticPr fontId="1"/>
  </si>
  <si>
    <t>情報通信と保健医療（医療保健学部医療栄養学科）</t>
    <rPh sb="0" eb="2">
      <t>ジョウホウ</t>
    </rPh>
    <rPh sb="2" eb="4">
      <t>ツウシン</t>
    </rPh>
    <rPh sb="5" eb="9">
      <t>ホケンイリョウ</t>
    </rPh>
    <rPh sb="10" eb="12">
      <t>イリョウ</t>
    </rPh>
    <rPh sb="12" eb="15">
      <t>ホケンガク</t>
    </rPh>
    <rPh sb="15" eb="16">
      <t>ブ</t>
    </rPh>
    <rPh sb="16" eb="18">
      <t>イリョウ</t>
    </rPh>
    <rPh sb="18" eb="20">
      <t>エイヨウ</t>
    </rPh>
    <rPh sb="20" eb="22">
      <t>ガッカ</t>
    </rPh>
    <phoneticPr fontId="1"/>
  </si>
  <si>
    <t>情報通信と保健医療（医療保健学部医療情報学科）</t>
    <rPh sb="0" eb="2">
      <t>ジョウホウ</t>
    </rPh>
    <rPh sb="2" eb="4">
      <t>ツウシン</t>
    </rPh>
    <rPh sb="5" eb="9">
      <t>ホケンイリョウ</t>
    </rPh>
    <rPh sb="10" eb="12">
      <t>イリョウ</t>
    </rPh>
    <rPh sb="12" eb="15">
      <t>ホケンガク</t>
    </rPh>
    <rPh sb="15" eb="16">
      <t>ブ</t>
    </rPh>
    <rPh sb="16" eb="22">
      <t>イリョウジョウホウガッカ</t>
    </rPh>
    <phoneticPr fontId="1"/>
  </si>
  <si>
    <t>情報通信と保健医療（医療保健学部医療栄養学科）</t>
    <rPh sb="0" eb="2">
      <t>ジョウホウ</t>
    </rPh>
    <rPh sb="2" eb="4">
      <t>ツウシン</t>
    </rPh>
    <rPh sb="5" eb="9">
      <t>ホケンイリョウ</t>
    </rPh>
    <rPh sb="10" eb="12">
      <t>イリョウ</t>
    </rPh>
    <rPh sb="12" eb="15">
      <t>ホケンガク</t>
    </rPh>
    <rPh sb="15" eb="16">
      <t>ブ</t>
    </rPh>
    <rPh sb="16" eb="22">
      <t>イリョウエイヨウガッカ</t>
    </rPh>
    <phoneticPr fontId="1"/>
  </si>
  <si>
    <t>情報リテラシー（医療保健学部医療栄養学科）</t>
    <rPh sb="14" eb="20">
      <t>イリョウエイヨウガッカ</t>
    </rPh>
    <phoneticPr fontId="1"/>
  </si>
  <si>
    <t>情報リテラシー（医療保健学部医療情報学科）</t>
    <rPh sb="14" eb="20">
      <t>イリョウジョウホウガッカ</t>
    </rPh>
    <phoneticPr fontId="1"/>
  </si>
  <si>
    <t>データサイエンス（医療保健学部看護学科）</t>
    <rPh sb="9" eb="11">
      <t>イリョウ</t>
    </rPh>
    <rPh sb="11" eb="15">
      <t>ホケンガクブ</t>
    </rPh>
    <rPh sb="15" eb="19">
      <t>カンゴガッカ</t>
    </rPh>
    <phoneticPr fontId="1"/>
  </si>
  <si>
    <t>データサイエンス（医療保健学部医療栄養学科）</t>
    <rPh sb="9" eb="11">
      <t>イリョウ</t>
    </rPh>
    <rPh sb="11" eb="15">
      <t>ホケンガクブ</t>
    </rPh>
    <rPh sb="15" eb="21">
      <t>イリョウエイヨウガッカ</t>
    </rPh>
    <phoneticPr fontId="1"/>
  </si>
  <si>
    <t>データサイエンス（医療保健学部医療情報学科）</t>
    <rPh sb="9" eb="11">
      <t>イリョウ</t>
    </rPh>
    <rPh sb="11" eb="15">
      <t>ホケンガクブ</t>
    </rPh>
    <rPh sb="15" eb="21">
      <t>イリョウジョウホウガッカ</t>
    </rPh>
    <phoneticPr fontId="1"/>
  </si>
  <si>
    <t>情報リテラシー（医療保健学部）:第13回の統合演習においてSociety5.0等の社会変化を教授している。</t>
    <rPh sb="0" eb="2">
      <t>ジョウホウ</t>
    </rPh>
    <rPh sb="8" eb="14">
      <t>イリョウホケンガクブ</t>
    </rPh>
    <rPh sb="16" eb="17">
      <t>ダイ</t>
    </rPh>
    <rPh sb="19" eb="20">
      <t>カイ</t>
    </rPh>
    <rPh sb="21" eb="23">
      <t>トウゴウ</t>
    </rPh>
    <rPh sb="23" eb="25">
      <t>エンシュウ</t>
    </rPh>
    <rPh sb="39" eb="40">
      <t>ナド</t>
    </rPh>
    <rPh sb="41" eb="43">
      <t>シャカイ</t>
    </rPh>
    <rPh sb="43" eb="45">
      <t>ヘンカ</t>
    </rPh>
    <rPh sb="46" eb="48">
      <t>キョウジュ</t>
    </rPh>
    <phoneticPr fontId="1"/>
  </si>
  <si>
    <t>情報リテラシー（医療保健学部）:第13回の統合演習においてSociety5.0等の社会変化を教授している。</t>
    <phoneticPr fontId="1"/>
  </si>
  <si>
    <t>情報通信と保健医療（医療保健学部）：第9回、第10回</t>
    <rPh sb="0" eb="4">
      <t>ジョウホウツウシン</t>
    </rPh>
    <rPh sb="5" eb="9">
      <t>ホケンイリョウ</t>
    </rPh>
    <rPh sb="10" eb="16">
      <t>イリョウホケンガクブ</t>
    </rPh>
    <rPh sb="18" eb="19">
      <t>ダイ</t>
    </rPh>
    <rPh sb="20" eb="21">
      <t>カイ</t>
    </rPh>
    <rPh sb="22" eb="23">
      <t>ダイ</t>
    </rPh>
    <rPh sb="25" eb="26">
      <t>カイ</t>
    </rPh>
    <phoneticPr fontId="1"/>
  </si>
  <si>
    <t>情報通信と保健医療（医療保健学部）：第9回、第10回</t>
    <phoneticPr fontId="1"/>
  </si>
  <si>
    <t>情報通信と保健医療（医療保健学部）：第11回、第12回</t>
    <phoneticPr fontId="1"/>
  </si>
  <si>
    <t>情報通信と保健医療（医療保健学部）：第13回～第15回</t>
    <rPh sb="21" eb="22">
      <t>カイ</t>
    </rPh>
    <rPh sb="23" eb="24">
      <t>ダイ</t>
    </rPh>
    <phoneticPr fontId="1"/>
  </si>
  <si>
    <t>情報通信と保健医療（医療保健学部）：第13回～第15回</t>
    <phoneticPr fontId="1"/>
  </si>
  <si>
    <t>データサイエンス（医療保健学部）：第8回</t>
    <rPh sb="9" eb="15">
      <t>イリョウホケンガクブ</t>
    </rPh>
    <rPh sb="17" eb="18">
      <t>ダイ</t>
    </rPh>
    <rPh sb="19" eb="20">
      <t>カイ</t>
    </rPh>
    <phoneticPr fontId="1"/>
  </si>
  <si>
    <t>データサイエンス（医療保健学部）：第14回、第15回</t>
    <rPh sb="9" eb="15">
      <t>イリョウホケンガクブ</t>
    </rPh>
    <rPh sb="17" eb="18">
      <t>ダイ</t>
    </rPh>
    <rPh sb="20" eb="21">
      <t>カイ</t>
    </rPh>
    <rPh sb="22" eb="23">
      <t>ダイ</t>
    </rPh>
    <rPh sb="25" eb="26">
      <t>カイ</t>
    </rPh>
    <phoneticPr fontId="1"/>
  </si>
  <si>
    <t>データサイエンス（医療保健学部）：第9回～第13回</t>
    <rPh sb="19" eb="20">
      <t>カイ</t>
    </rPh>
    <rPh sb="21" eb="22">
      <t>ダイ</t>
    </rPh>
    <rPh sb="24" eb="25">
      <t>カイ</t>
    </rPh>
    <phoneticPr fontId="1"/>
  </si>
  <si>
    <t>様式２－２</t>
    <phoneticPr fontId="1"/>
  </si>
  <si>
    <t>全学的学位授与方針で求める資質（医療分野において高い専門性、豊かな人間性及び教養を備えている）のうち、ヘルスデータサイエンスの知識、技術及び態度を獲得することによって、看護学の分野でポピュレーションヘルスに関する専門性とデジタル社会における教養を備え、Society5.0の時代に即した「一歩先の医療保健」の担い手となることができる。</t>
    <rPh sb="0" eb="3">
      <t>ゼンガクテキ</t>
    </rPh>
    <rPh sb="3" eb="5">
      <t>ガクイ</t>
    </rPh>
    <rPh sb="5" eb="7">
      <t>ジュヨ</t>
    </rPh>
    <rPh sb="7" eb="9">
      <t>ホウシン</t>
    </rPh>
    <rPh sb="10" eb="11">
      <t>モト</t>
    </rPh>
    <rPh sb="13" eb="15">
      <t>シシツ</t>
    </rPh>
    <rPh sb="63" eb="65">
      <t>チシキ</t>
    </rPh>
    <rPh sb="66" eb="68">
      <t>ギジュツ</t>
    </rPh>
    <rPh sb="68" eb="69">
      <t>オヨ</t>
    </rPh>
    <rPh sb="70" eb="72">
      <t>タイド</t>
    </rPh>
    <rPh sb="73" eb="75">
      <t>カクトク</t>
    </rPh>
    <rPh sb="84" eb="87">
      <t>カンゴガク</t>
    </rPh>
    <rPh sb="88" eb="90">
      <t>ブンヤ</t>
    </rPh>
    <rPh sb="114" eb="116">
      <t>シャカイ</t>
    </rPh>
    <rPh sb="120" eb="122">
      <t>キョウヨウ</t>
    </rPh>
    <rPh sb="123" eb="124">
      <t>ソナ</t>
    </rPh>
    <rPh sb="137" eb="139">
      <t>ジダイ</t>
    </rPh>
    <rPh sb="140" eb="141">
      <t>ソク</t>
    </rPh>
    <rPh sb="144" eb="146">
      <t>イッポ</t>
    </rPh>
    <rPh sb="146" eb="147">
      <t>サキ</t>
    </rPh>
    <rPh sb="148" eb="152">
      <t>イリョウホケン</t>
    </rPh>
    <rPh sb="154" eb="155">
      <t>ニナ</t>
    </rPh>
    <rPh sb="156" eb="157">
      <t>テ</t>
    </rPh>
    <phoneticPr fontId="1"/>
  </si>
  <si>
    <t>医療・看護情報学の基礎（東が丘看護学部）：第2回</t>
    <phoneticPr fontId="1"/>
  </si>
  <si>
    <t>医療・看護情報学の基礎（東が丘看護学部）：第3回</t>
    <rPh sb="0" eb="2">
      <t>イリョウ</t>
    </rPh>
    <rPh sb="3" eb="5">
      <t>カンゴ</t>
    </rPh>
    <rPh sb="5" eb="8">
      <t>ジョウホウガク</t>
    </rPh>
    <rPh sb="9" eb="11">
      <t>キソ</t>
    </rPh>
    <rPh sb="12" eb="15">
      <t>ヒガシガオカ</t>
    </rPh>
    <rPh sb="15" eb="17">
      <t>カンゴ</t>
    </rPh>
    <rPh sb="17" eb="19">
      <t>ガクブ</t>
    </rPh>
    <rPh sb="21" eb="22">
      <t>ダイ</t>
    </rPh>
    <rPh sb="23" eb="24">
      <t>カイ</t>
    </rPh>
    <phoneticPr fontId="1"/>
  </si>
  <si>
    <t>医療・看護情報学の基礎（東が丘看護学部）：第3回</t>
    <phoneticPr fontId="1"/>
  </si>
  <si>
    <t>医療・看護情報学の基礎（東が丘看護学部）：第4回</t>
    <phoneticPr fontId="1"/>
  </si>
  <si>
    <t>医療・看護情報学の基礎（東が丘看護学部）：第5回～第7回</t>
    <rPh sb="25" eb="26">
      <t>ダイ</t>
    </rPh>
    <rPh sb="27" eb="28">
      <t>カイ</t>
    </rPh>
    <phoneticPr fontId="1"/>
  </si>
  <si>
    <t>医療・看護情報学の基礎（東が丘看護学部）：第5回～第7回</t>
    <phoneticPr fontId="1"/>
  </si>
  <si>
    <t>統計学（東が丘看護学部）：第1回、第2回</t>
    <rPh sb="0" eb="3">
      <t>トウケイガク</t>
    </rPh>
    <rPh sb="4" eb="7">
      <t>ヒガシガオカ</t>
    </rPh>
    <rPh sb="7" eb="9">
      <t>カンゴ</t>
    </rPh>
    <rPh sb="9" eb="11">
      <t>ガクブ</t>
    </rPh>
    <rPh sb="13" eb="14">
      <t>ダイ</t>
    </rPh>
    <rPh sb="15" eb="16">
      <t>カイ</t>
    </rPh>
    <rPh sb="17" eb="18">
      <t>ダイ</t>
    </rPh>
    <rPh sb="19" eb="20">
      <t>カイ</t>
    </rPh>
    <phoneticPr fontId="1"/>
  </si>
  <si>
    <t>統計学（東が丘看護学部）：第6回、第7回</t>
    <rPh sb="0" eb="3">
      <t>トウケイガク</t>
    </rPh>
    <rPh sb="4" eb="7">
      <t>ヒガシガオカ</t>
    </rPh>
    <rPh sb="7" eb="11">
      <t>カンゴガクブ</t>
    </rPh>
    <rPh sb="13" eb="14">
      <t>ダイ</t>
    </rPh>
    <rPh sb="15" eb="16">
      <t>カイ</t>
    </rPh>
    <rPh sb="17" eb="18">
      <t>ダイ</t>
    </rPh>
    <rPh sb="19" eb="20">
      <t>カイ</t>
    </rPh>
    <phoneticPr fontId="1"/>
  </si>
  <si>
    <t>統計学（東が丘看護学部）：第8回～第13回</t>
    <rPh sb="0" eb="3">
      <t>トウケイガク</t>
    </rPh>
    <rPh sb="4" eb="7">
      <t>ヒガシガオカ</t>
    </rPh>
    <rPh sb="7" eb="9">
      <t>カンゴ</t>
    </rPh>
    <rPh sb="9" eb="11">
      <t>ガクブ</t>
    </rPh>
    <rPh sb="13" eb="14">
      <t>ダイ</t>
    </rPh>
    <rPh sb="15" eb="16">
      <t>カイ</t>
    </rPh>
    <rPh sb="17" eb="18">
      <t>ダイ</t>
    </rPh>
    <rPh sb="20" eb="21">
      <t>カイ</t>
    </rPh>
    <phoneticPr fontId="1"/>
  </si>
  <si>
    <t>　本プログラムは、「ヘルスデータサイエンスの基礎」として不可欠な「情報リテラシー科目（下記③～⑥）」と「統計リテラシー科目（下記⑦）」の科目群で構成されており、双方の科目の単位を修得することでプログラム修了が認定される。
　なお、プログラムの拡充を図るため、令和4年度より「Ⅰ群科目：ヘルスデータサイエンスの基礎」を必修とし、「Ⅱ群科目：社会におけるヘルスデータサイエンスの活用」を選択とし、より実践的な内容を教授することとしている。</t>
    <rPh sb="1" eb="2">
      <t>ホン</t>
    </rPh>
    <rPh sb="28" eb="31">
      <t>フカケツ</t>
    </rPh>
    <rPh sb="33" eb="35">
      <t>ジョウホウ</t>
    </rPh>
    <rPh sb="40" eb="42">
      <t>カモク</t>
    </rPh>
    <rPh sb="43" eb="45">
      <t>カキ</t>
    </rPh>
    <rPh sb="52" eb="54">
      <t>トウケイ</t>
    </rPh>
    <rPh sb="59" eb="61">
      <t>カモク</t>
    </rPh>
    <rPh sb="62" eb="64">
      <t>カキ</t>
    </rPh>
    <rPh sb="68" eb="70">
      <t>カモク</t>
    </rPh>
    <rPh sb="70" eb="71">
      <t>グン</t>
    </rPh>
    <rPh sb="72" eb="74">
      <t>コウセイ</t>
    </rPh>
    <rPh sb="80" eb="82">
      <t>ソウホウ</t>
    </rPh>
    <rPh sb="83" eb="85">
      <t>カモク</t>
    </rPh>
    <rPh sb="86" eb="88">
      <t>タンイ</t>
    </rPh>
    <rPh sb="89" eb="91">
      <t>シュウトク</t>
    </rPh>
    <rPh sb="101" eb="103">
      <t>シュウリョウ</t>
    </rPh>
    <rPh sb="104" eb="106">
      <t>ニンテイ</t>
    </rPh>
    <rPh sb="121" eb="123">
      <t>カクジュウ</t>
    </rPh>
    <rPh sb="124" eb="125">
      <t>ハカ</t>
    </rPh>
    <rPh sb="129" eb="131">
      <t>レイワ</t>
    </rPh>
    <rPh sb="132" eb="134">
      <t>ネンド</t>
    </rPh>
    <rPh sb="138" eb="139">
      <t>グン</t>
    </rPh>
    <rPh sb="139" eb="141">
      <t>カモク</t>
    </rPh>
    <rPh sb="154" eb="156">
      <t>キソ</t>
    </rPh>
    <rPh sb="158" eb="160">
      <t>ヒッシュウ</t>
    </rPh>
    <rPh sb="165" eb="166">
      <t>グン</t>
    </rPh>
    <rPh sb="166" eb="168">
      <t>カモク</t>
    </rPh>
    <rPh sb="191" eb="193">
      <t>センタク</t>
    </rPh>
    <rPh sb="198" eb="201">
      <t>ジッセンテキ</t>
    </rPh>
    <rPh sb="202" eb="204">
      <t>ナイヨウ</t>
    </rPh>
    <rPh sb="205" eb="207">
      <t>キョウジュ</t>
    </rPh>
    <phoneticPr fontId="1"/>
  </si>
  <si>
    <t>医療・看護情報学の基礎（立川看護学部）：第2回</t>
    <phoneticPr fontId="1"/>
  </si>
  <si>
    <t>医療・看護情報学の基礎（立川看護学部）：第3回</t>
    <rPh sb="0" eb="2">
      <t>イリョウ</t>
    </rPh>
    <rPh sb="3" eb="5">
      <t>カンゴ</t>
    </rPh>
    <rPh sb="5" eb="8">
      <t>ジョウホウガク</t>
    </rPh>
    <rPh sb="9" eb="11">
      <t>キソ</t>
    </rPh>
    <rPh sb="12" eb="14">
      <t>タチカワ</t>
    </rPh>
    <rPh sb="14" eb="16">
      <t>カンゴ</t>
    </rPh>
    <rPh sb="16" eb="18">
      <t>ガクブ</t>
    </rPh>
    <rPh sb="20" eb="21">
      <t>ダイ</t>
    </rPh>
    <rPh sb="22" eb="23">
      <t>カイ</t>
    </rPh>
    <phoneticPr fontId="1"/>
  </si>
  <si>
    <t>医療・看護情報学の基礎（立川看護学部）：第3回</t>
    <phoneticPr fontId="1"/>
  </si>
  <si>
    <t>医療・看護情報学の基礎（立川看護学部）：第4回</t>
    <phoneticPr fontId="1"/>
  </si>
  <si>
    <t>医療・看護情報学の基礎（立川看護学部）：第5回～第7回</t>
    <rPh sb="24" eb="25">
      <t>ダイ</t>
    </rPh>
    <rPh sb="26" eb="27">
      <t>カイ</t>
    </rPh>
    <phoneticPr fontId="1"/>
  </si>
  <si>
    <t>医療・看護情報学の基礎（立川看護学部）：第5回～第7回</t>
    <phoneticPr fontId="1"/>
  </si>
  <si>
    <t>統計学（立川看護学部）：第1回</t>
    <phoneticPr fontId="1"/>
  </si>
  <si>
    <t>統計学（立川看護学部）：第2回</t>
    <rPh sb="0" eb="3">
      <t>トウケイガク</t>
    </rPh>
    <rPh sb="4" eb="6">
      <t>タチカワ</t>
    </rPh>
    <rPh sb="6" eb="8">
      <t>カンゴ</t>
    </rPh>
    <rPh sb="8" eb="10">
      <t>ガクブ</t>
    </rPh>
    <rPh sb="12" eb="13">
      <t>ダイ</t>
    </rPh>
    <rPh sb="14" eb="15">
      <t>カイ</t>
    </rPh>
    <phoneticPr fontId="1"/>
  </si>
  <si>
    <t>統計学（立川看護学部）：第13回～第15回</t>
    <rPh sb="4" eb="6">
      <t>タチカワ</t>
    </rPh>
    <phoneticPr fontId="1"/>
  </si>
  <si>
    <t>ＩＣＴリテラシー（千葉看護学部）:第14回の統合演習においてSociety5.0等の社会変化を教授している。</t>
    <phoneticPr fontId="1"/>
  </si>
  <si>
    <t>情報通信と保健医療（千葉看護学部）：第5回</t>
    <rPh sb="0" eb="4">
      <t>ジョウホウツウシン</t>
    </rPh>
    <rPh sb="5" eb="9">
      <t>ホケンイリョウ</t>
    </rPh>
    <rPh sb="10" eb="12">
      <t>チバ</t>
    </rPh>
    <rPh sb="12" eb="14">
      <t>カンゴ</t>
    </rPh>
    <rPh sb="14" eb="16">
      <t>ガクブ</t>
    </rPh>
    <rPh sb="18" eb="19">
      <t>ダイ</t>
    </rPh>
    <rPh sb="20" eb="21">
      <t>カイ</t>
    </rPh>
    <phoneticPr fontId="1"/>
  </si>
  <si>
    <t>情報通信と保健医療（千葉看護学部）：第5回</t>
    <phoneticPr fontId="1"/>
  </si>
  <si>
    <t>情報通信と保健医療（千葉看護学部）：第3回</t>
    <phoneticPr fontId="1"/>
  </si>
  <si>
    <t>情報通信と保健医療（千葉看護学部）：第1回、第2回、第7回、第8回</t>
    <rPh sb="22" eb="23">
      <t>ダイ</t>
    </rPh>
    <rPh sb="24" eb="25">
      <t>カイ</t>
    </rPh>
    <rPh sb="26" eb="27">
      <t>ダイ</t>
    </rPh>
    <rPh sb="28" eb="29">
      <t>カイ</t>
    </rPh>
    <rPh sb="30" eb="31">
      <t>ダイ</t>
    </rPh>
    <rPh sb="32" eb="33">
      <t>カイ</t>
    </rPh>
    <phoneticPr fontId="1"/>
  </si>
  <si>
    <t>情報通信と保健医療（千葉看護学部）：第1回、第2回、第7回、第8回</t>
    <phoneticPr fontId="1"/>
  </si>
  <si>
    <t>データサイエンス（千葉看護学部）：第2回</t>
    <rPh sb="9" eb="11">
      <t>チバ</t>
    </rPh>
    <rPh sb="11" eb="13">
      <t>カンゴ</t>
    </rPh>
    <rPh sb="13" eb="15">
      <t>ガクブ</t>
    </rPh>
    <rPh sb="17" eb="18">
      <t>ダイ</t>
    </rPh>
    <rPh sb="19" eb="20">
      <t>カイ</t>
    </rPh>
    <phoneticPr fontId="1"/>
  </si>
  <si>
    <t>データサイエンス（千葉看護学部）：第5回</t>
    <rPh sb="9" eb="15">
      <t>チバカンゴガクブ</t>
    </rPh>
    <rPh sb="17" eb="18">
      <t>ダイ</t>
    </rPh>
    <rPh sb="19" eb="20">
      <t>カイ</t>
    </rPh>
    <phoneticPr fontId="1"/>
  </si>
  <si>
    <t>データサイエンス（千葉看護学部）：第3回、第4回</t>
    <rPh sb="21" eb="22">
      <t>ダイ</t>
    </rPh>
    <rPh sb="23" eb="24">
      <t>カイ</t>
    </rPh>
    <phoneticPr fontId="1"/>
  </si>
  <si>
    <t>様式２－３</t>
    <phoneticPr fontId="1"/>
  </si>
  <si>
    <t>様式２－４</t>
    <phoneticPr fontId="1"/>
  </si>
  <si>
    <t>様式２－５</t>
    <phoneticPr fontId="1"/>
  </si>
  <si>
    <t>情報リテラシー(和歌山看護学部）：第5回</t>
    <rPh sb="0" eb="2">
      <t>ジョウホウ</t>
    </rPh>
    <rPh sb="8" eb="11">
      <t>ワカヤマ</t>
    </rPh>
    <rPh sb="11" eb="13">
      <t>カンゴ</t>
    </rPh>
    <rPh sb="13" eb="15">
      <t>ガクブ</t>
    </rPh>
    <rPh sb="17" eb="18">
      <t>ダイ</t>
    </rPh>
    <rPh sb="19" eb="20">
      <t>カイ</t>
    </rPh>
    <phoneticPr fontId="1"/>
  </si>
  <si>
    <t>情報リテラシー(和歌山看護学部）：第5回</t>
    <phoneticPr fontId="1"/>
  </si>
  <si>
    <t>疫学・保健統計論（和歌山看護学部）：第1回の疫学総論で社会生活における疫学手法を教授している。</t>
    <rPh sb="0" eb="2">
      <t>エキガク</t>
    </rPh>
    <rPh sb="3" eb="5">
      <t>ホケン</t>
    </rPh>
    <rPh sb="5" eb="7">
      <t>トウケイ</t>
    </rPh>
    <rPh sb="7" eb="8">
      <t>ロン</t>
    </rPh>
    <rPh sb="9" eb="12">
      <t>ワカヤマ</t>
    </rPh>
    <rPh sb="12" eb="14">
      <t>カンゴ</t>
    </rPh>
    <rPh sb="14" eb="16">
      <t>ガクブ</t>
    </rPh>
    <rPh sb="18" eb="19">
      <t>ダイ</t>
    </rPh>
    <rPh sb="20" eb="21">
      <t>カイ</t>
    </rPh>
    <rPh sb="22" eb="24">
      <t>エキガク</t>
    </rPh>
    <rPh sb="24" eb="26">
      <t>ソウロン</t>
    </rPh>
    <rPh sb="27" eb="29">
      <t>シャカイ</t>
    </rPh>
    <rPh sb="29" eb="31">
      <t>セイカツ</t>
    </rPh>
    <rPh sb="35" eb="37">
      <t>エキガク</t>
    </rPh>
    <rPh sb="37" eb="39">
      <t>シュホウ</t>
    </rPh>
    <rPh sb="40" eb="42">
      <t>キョウジュ</t>
    </rPh>
    <phoneticPr fontId="1"/>
  </si>
  <si>
    <t>疫学・保健統計論（和歌山看護学部）：第1回の疫学総論で社会生活における疫学手法を教授している。</t>
    <phoneticPr fontId="1"/>
  </si>
  <si>
    <t>疫学・保健統計論（和歌山看護学部）：第13回～第15回</t>
    <phoneticPr fontId="1"/>
  </si>
  <si>
    <t>疫学・保健統計論（和歌山看護学部）：第11回</t>
    <phoneticPr fontId="1"/>
  </si>
  <si>
    <t>データサイエンス（和歌山看護学部）：第1回、第2回</t>
    <rPh sb="9" eb="12">
      <t>ワカヤマ</t>
    </rPh>
    <rPh sb="12" eb="14">
      <t>カンゴ</t>
    </rPh>
    <rPh sb="14" eb="16">
      <t>ガクブ</t>
    </rPh>
    <rPh sb="18" eb="19">
      <t>ダイ</t>
    </rPh>
    <rPh sb="20" eb="21">
      <t>カイ</t>
    </rPh>
    <rPh sb="22" eb="23">
      <t>ダイ</t>
    </rPh>
    <rPh sb="24" eb="25">
      <t>カイ</t>
    </rPh>
    <phoneticPr fontId="1"/>
  </si>
  <si>
    <t>データサイエンス（和歌山看護学部）：第3回、第4回</t>
    <rPh sb="9" eb="16">
      <t>ワカヤマカンゴガクブ</t>
    </rPh>
    <rPh sb="18" eb="19">
      <t>ダイ</t>
    </rPh>
    <rPh sb="20" eb="21">
      <t>カイ</t>
    </rPh>
    <rPh sb="22" eb="23">
      <t>ダイ</t>
    </rPh>
    <rPh sb="24" eb="25">
      <t>カイ</t>
    </rPh>
    <phoneticPr fontId="1"/>
  </si>
  <si>
    <t>データサイエンス（和歌山看護学部）：第9回～第14回</t>
    <rPh sb="9" eb="16">
      <t>ワカヤマカンゴガクブ</t>
    </rPh>
    <rPh sb="18" eb="19">
      <t>ダイ</t>
    </rPh>
    <rPh sb="20" eb="21">
      <t>カイ</t>
    </rPh>
    <rPh sb="22" eb="23">
      <t>ダイ</t>
    </rPh>
    <rPh sb="25" eb="26">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</si>
</sst>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0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49" fontId="7" fillId="0" borderId="2" xfId="3" applyNumberFormat="1" applyBorder="1" applyAlignment="1">
      <alignment vertical="center" shrinkToFit="1"/>
    </xf>
    <xf numFmtId="49" fontId="7" fillId="0" borderId="3" xfId="3" applyNumberFormat="1" applyBorder="1" applyAlignment="1">
      <alignment vertical="center" shrinkToFit="1"/>
    </xf>
    <xf numFmtId="49" fontId="7" fillId="0" borderId="4" xfId="3" applyNumberForma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3" fillId="0" borderId="19" xfId="0" applyFont="1" applyBorder="1" applyAlignment="1">
      <alignment vertical="center" wrapText="1" shrinkToFit="1"/>
    </xf>
    <xf numFmtId="0" fontId="23" fillId="0" borderId="20" xfId="0" applyFont="1" applyBorder="1" applyAlignment="1">
      <alignment vertical="center" shrinkToFit="1"/>
    </xf>
    <xf numFmtId="0" fontId="23"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23" fillId="0" borderId="39" xfId="0" applyFont="1" applyBorder="1" applyAlignment="1">
      <alignment vertical="center" wrapText="1" shrinkToFit="1"/>
    </xf>
    <xf numFmtId="0" fontId="23" fillId="0" borderId="39" xfId="0" applyFont="1" applyBorder="1" applyAlignment="1">
      <alignment vertical="center" shrinkToFit="1"/>
    </xf>
    <xf numFmtId="0" fontId="23" fillId="0" borderId="38" xfId="0" applyFont="1" applyBorder="1" applyAlignment="1">
      <alignment vertical="center" shrinkToFit="1"/>
    </xf>
    <xf numFmtId="0" fontId="23" fillId="0" borderId="6" xfId="0" applyFont="1" applyBorder="1" applyAlignment="1">
      <alignment vertical="center" wrapText="1" shrinkToFit="1"/>
    </xf>
    <xf numFmtId="0" fontId="23" fillId="0" borderId="6" xfId="0" applyFont="1" applyBorder="1" applyAlignment="1">
      <alignment vertical="center" shrinkToFit="1"/>
    </xf>
    <xf numFmtId="0" fontId="23" fillId="0" borderId="12" xfId="0" applyFont="1" applyBorder="1" applyAlignment="1">
      <alignment vertical="center" shrinkToFit="1"/>
    </xf>
    <xf numFmtId="0" fontId="21" fillId="0" borderId="32" xfId="0" applyFont="1" applyBorder="1" applyAlignment="1">
      <alignment vertical="center" wrapText="1"/>
    </xf>
    <xf numFmtId="0" fontId="23" fillId="0" borderId="8" xfId="0" applyFont="1" applyBorder="1" applyAlignment="1">
      <alignment horizontal="left" vertical="center" wrapText="1" shrinkToFit="1"/>
    </xf>
    <xf numFmtId="0" fontId="23" fillId="0" borderId="8" xfId="0" applyFont="1" applyBorder="1" applyAlignment="1">
      <alignment horizontal="left" vertical="center" shrinkToFit="1"/>
    </xf>
    <xf numFmtId="0" fontId="23" fillId="0" borderId="9" xfId="0" applyFont="1" applyBorder="1" applyAlignment="1">
      <alignment horizontal="left" vertical="center" shrinkToFit="1"/>
    </xf>
    <xf numFmtId="0" fontId="23" fillId="0" borderId="20" xfId="0" applyFont="1" applyBorder="1" applyAlignment="1">
      <alignment horizontal="left" vertical="center" wrapText="1" shrinkToFit="1"/>
    </xf>
    <xf numFmtId="0" fontId="23" fillId="0" borderId="20" xfId="0" applyFont="1" applyBorder="1" applyAlignment="1">
      <alignment horizontal="left" vertical="center" shrinkToFit="1"/>
    </xf>
    <xf numFmtId="0" fontId="23"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23" fillId="0" borderId="22" xfId="0" applyFont="1" applyBorder="1" applyAlignment="1">
      <alignment horizontal="left" vertical="center" wrapText="1" shrinkToFit="1"/>
    </xf>
    <xf numFmtId="0" fontId="23" fillId="0" borderId="22" xfId="0" applyFont="1" applyBorder="1" applyAlignment="1">
      <alignment horizontal="left" vertical="center" shrinkToFit="1"/>
    </xf>
    <xf numFmtId="0" fontId="23" fillId="0" borderId="21" xfId="0" applyFont="1" applyBorder="1" applyAlignment="1">
      <alignment horizontal="left" vertical="center" shrinkToFit="1"/>
    </xf>
    <xf numFmtId="0" fontId="23" fillId="0" borderId="39" xfId="0" applyFont="1" applyBorder="1" applyAlignment="1">
      <alignment horizontal="left" vertical="center" wrapText="1" shrinkToFit="1"/>
    </xf>
    <xf numFmtId="0" fontId="23" fillId="0" borderId="39" xfId="0" applyFont="1" applyBorder="1" applyAlignment="1">
      <alignment horizontal="left" vertical="center" shrinkToFit="1"/>
    </xf>
    <xf numFmtId="0" fontId="23" fillId="0" borderId="38" xfId="0" applyFont="1" applyBorder="1" applyAlignment="1">
      <alignment horizontal="left" vertical="center" shrinkToFit="1"/>
    </xf>
    <xf numFmtId="0" fontId="23" fillId="0" borderId="6" xfId="0" applyFont="1" applyBorder="1" applyAlignment="1">
      <alignment horizontal="left" vertical="center" wrapText="1" shrinkToFit="1"/>
    </xf>
    <xf numFmtId="0" fontId="23" fillId="0" borderId="6" xfId="0" applyFont="1" applyBorder="1" applyAlignment="1">
      <alignment horizontal="left" vertical="center" shrinkToFit="1"/>
    </xf>
    <xf numFmtId="0" fontId="23" fillId="0" borderId="12" xfId="0" applyFont="1" applyBorder="1" applyAlignment="1">
      <alignment horizontal="left" vertical="center" shrinkToFit="1"/>
    </xf>
    <xf numFmtId="0" fontId="23" fillId="0" borderId="41" xfId="0" applyFont="1" applyBorder="1" applyAlignment="1">
      <alignment horizontal="left" vertical="center" wrapText="1" shrinkToFit="1"/>
    </xf>
    <xf numFmtId="0" fontId="23" fillId="0" borderId="41" xfId="0" applyFont="1" applyBorder="1" applyAlignment="1">
      <alignment horizontal="left" vertical="center" shrinkToFit="1"/>
    </xf>
    <xf numFmtId="0" fontId="23"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7" fillId="0" borderId="3" xfId="2" applyFont="1" applyBorder="1" applyAlignment="1">
      <alignment horizontal="center" vertical="center" shrinkToFit="1"/>
    </xf>
    <xf numFmtId="0" fontId="17"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4">
    <cellStyle name="Hyperlink" xfId="3" xr:uid="{00000000-000B-0000-0000-000008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arning-office@thc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thcu.ac.jp/topics/detail.html?id=2299"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thcu.ac.jp/topics/detail.html?id=2299"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thcu.ac.jp/topics/detail.html?id=229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thcu.ac.jp/topics/detail.html?id=229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thcu.ac.jp/topics/detail.html?id=2299"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thcu.ac.jp/topics/detail.html?id=22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7"/>
    <col min="16" max="16384" width="9" style="13"/>
  </cols>
  <sheetData>
    <row r="1" spans="1:15" ht="24" customHeight="1" x14ac:dyDescent="0.15">
      <c r="M1" s="134" t="s">
        <v>0</v>
      </c>
      <c r="N1" s="134"/>
    </row>
    <row r="2" spans="1:15" ht="24" customHeight="1" x14ac:dyDescent="0.15">
      <c r="A2" s="137" t="s">
        <v>1</v>
      </c>
      <c r="B2" s="137"/>
      <c r="C2" s="137"/>
      <c r="D2" s="137"/>
      <c r="E2" s="137"/>
      <c r="F2" s="137"/>
      <c r="G2" s="137"/>
      <c r="H2" s="137"/>
      <c r="I2" s="137"/>
      <c r="J2" s="137"/>
      <c r="K2" s="137"/>
      <c r="L2" s="137"/>
      <c r="M2" s="137"/>
      <c r="N2" s="137"/>
    </row>
    <row r="3" spans="1:15" ht="24" customHeight="1" x14ac:dyDescent="0.15"/>
    <row r="4" spans="1:15" ht="24" customHeight="1" x14ac:dyDescent="0.15">
      <c r="A4" s="14" t="s">
        <v>2</v>
      </c>
      <c r="B4" s="14" t="s">
        <v>3</v>
      </c>
      <c r="C4" s="124" t="s">
        <v>4</v>
      </c>
      <c r="D4" s="125"/>
      <c r="E4" s="125"/>
      <c r="F4" s="125"/>
      <c r="G4" s="125"/>
      <c r="H4" s="125"/>
      <c r="I4" s="125"/>
      <c r="J4" s="125"/>
      <c r="K4" s="125"/>
      <c r="L4" s="125"/>
      <c r="M4" s="125"/>
      <c r="N4" s="126"/>
      <c r="O4" s="27" t="str">
        <f>IF(C4="","入力してください","")</f>
        <v/>
      </c>
    </row>
    <row r="5" spans="1:15" ht="7.5" customHeight="1" x14ac:dyDescent="0.15">
      <c r="E5" s="15"/>
      <c r="F5" s="31"/>
      <c r="G5" s="31"/>
      <c r="H5" s="31"/>
      <c r="I5" s="31"/>
      <c r="J5" s="31"/>
      <c r="K5" s="31"/>
      <c r="L5" s="31"/>
      <c r="M5" s="31"/>
      <c r="N5" s="31"/>
    </row>
    <row r="6" spans="1:15" ht="24" customHeight="1" x14ac:dyDescent="0.15">
      <c r="A6" s="14" t="s">
        <v>5</v>
      </c>
      <c r="B6" s="14" t="s">
        <v>6</v>
      </c>
      <c r="D6" s="124" t="s">
        <v>7</v>
      </c>
      <c r="E6" s="125"/>
      <c r="F6" s="125"/>
      <c r="G6" s="125"/>
      <c r="H6" s="126"/>
      <c r="I6" s="14" t="s">
        <v>8</v>
      </c>
      <c r="J6" s="31" t="s">
        <v>9</v>
      </c>
      <c r="K6" s="124" t="s">
        <v>10</v>
      </c>
      <c r="L6" s="125"/>
      <c r="M6" s="125"/>
      <c r="N6" s="126"/>
      <c r="O6" s="27" t="str">
        <f>IF(D6="","入力してください","")</f>
        <v/>
      </c>
    </row>
    <row r="7" spans="1:15" ht="7.5" customHeight="1" x14ac:dyDescent="0.15">
      <c r="E7" s="15"/>
      <c r="F7" s="31"/>
      <c r="G7" s="31"/>
      <c r="H7" s="31"/>
      <c r="I7" s="31"/>
      <c r="J7" s="31"/>
      <c r="K7" s="31"/>
      <c r="L7" s="31"/>
      <c r="M7" s="31"/>
      <c r="N7" s="31"/>
    </row>
    <row r="8" spans="1:15" ht="24" customHeight="1" x14ac:dyDescent="0.15">
      <c r="A8" s="14" t="s">
        <v>11</v>
      </c>
      <c r="B8" s="14" t="s">
        <v>12</v>
      </c>
      <c r="C8" s="124" t="s">
        <v>13</v>
      </c>
      <c r="D8" s="125"/>
      <c r="E8" s="125"/>
      <c r="F8" s="125"/>
      <c r="G8" s="125"/>
      <c r="H8" s="125"/>
      <c r="I8" s="125"/>
      <c r="J8" s="125"/>
      <c r="K8" s="125"/>
      <c r="L8" s="125"/>
      <c r="M8" s="125"/>
      <c r="N8" s="126"/>
      <c r="O8" s="27" t="str">
        <f>IF(C8="","入力してください","")</f>
        <v/>
      </c>
    </row>
    <row r="9" spans="1:15" ht="7.5" customHeight="1" x14ac:dyDescent="0.15">
      <c r="E9" s="15"/>
      <c r="F9" s="31"/>
      <c r="G9" s="31"/>
      <c r="H9" s="31"/>
      <c r="I9" s="31"/>
      <c r="J9" s="31"/>
      <c r="K9" s="31"/>
      <c r="L9" s="31"/>
      <c r="M9" s="31"/>
      <c r="N9" s="31"/>
    </row>
    <row r="10" spans="1:15" ht="24" customHeight="1" x14ac:dyDescent="0.15">
      <c r="A10" s="14" t="s">
        <v>14</v>
      </c>
      <c r="B10" s="14" t="s">
        <v>15</v>
      </c>
      <c r="E10" s="124" t="s">
        <v>16</v>
      </c>
      <c r="F10" s="125"/>
      <c r="G10" s="125"/>
      <c r="H10" s="125"/>
      <c r="I10" s="125"/>
      <c r="J10" s="125"/>
      <c r="K10" s="125"/>
      <c r="L10" s="125"/>
      <c r="M10" s="125"/>
      <c r="N10" s="126"/>
      <c r="O10" s="27" t="str">
        <f>IF(E10="","入力してください","")</f>
        <v/>
      </c>
    </row>
    <row r="11" spans="1:15" ht="7.5" customHeight="1" x14ac:dyDescent="0.15">
      <c r="B11" s="15"/>
      <c r="C11" s="15"/>
      <c r="D11" s="15"/>
      <c r="E11" s="15"/>
      <c r="F11" s="31"/>
      <c r="G11" s="31"/>
      <c r="H11" s="31"/>
      <c r="I11" s="31"/>
      <c r="J11" s="31"/>
      <c r="K11" s="31"/>
      <c r="L11" s="31"/>
      <c r="M11" s="31"/>
      <c r="N11" s="31"/>
    </row>
    <row r="12" spans="1:15" ht="24" customHeight="1" x14ac:dyDescent="0.15">
      <c r="A12" s="14" t="s">
        <v>17</v>
      </c>
      <c r="B12" s="15" t="s">
        <v>18</v>
      </c>
      <c r="C12" s="15"/>
      <c r="D12" s="15"/>
      <c r="E12" s="138" t="s">
        <v>19</v>
      </c>
      <c r="F12" s="139"/>
      <c r="G12" s="14" t="s">
        <v>20</v>
      </c>
      <c r="H12" s="14" t="s">
        <v>21</v>
      </c>
      <c r="N12" s="105" t="s">
        <v>22</v>
      </c>
      <c r="O12" s="27" t="str">
        <f>IF(E12="","入力してください","")</f>
        <v/>
      </c>
    </row>
    <row r="13" spans="1:15" ht="7.5" customHeight="1" x14ac:dyDescent="0.15">
      <c r="B13" s="15"/>
      <c r="C13" s="15"/>
      <c r="D13" s="15"/>
      <c r="E13" s="15"/>
      <c r="F13" s="31"/>
      <c r="G13" s="31"/>
      <c r="H13" s="31"/>
      <c r="I13" s="31"/>
      <c r="J13" s="31"/>
      <c r="K13" s="31"/>
      <c r="L13" s="31"/>
      <c r="M13" s="31"/>
      <c r="N13" s="31"/>
    </row>
    <row r="14" spans="1:15" ht="24" customHeight="1" x14ac:dyDescent="0.15">
      <c r="A14" s="14" t="s">
        <v>23</v>
      </c>
      <c r="B14" s="14" t="s">
        <v>24</v>
      </c>
      <c r="C14" s="134" t="s">
        <v>25</v>
      </c>
      <c r="D14" s="135"/>
      <c r="E14" s="127">
        <v>234</v>
      </c>
      <c r="F14" s="128"/>
      <c r="G14" s="16" t="s">
        <v>26</v>
      </c>
      <c r="I14" s="134" t="s">
        <v>27</v>
      </c>
      <c r="J14" s="135"/>
      <c r="K14" s="127">
        <v>331</v>
      </c>
      <c r="L14" s="136"/>
      <c r="M14" s="128"/>
      <c r="N14" s="17" t="s">
        <v>26</v>
      </c>
      <c r="O14" s="27" t="str">
        <f>IF(OR(E14="",K14=""),"入力してください","")</f>
        <v/>
      </c>
    </row>
    <row r="15" spans="1:15" ht="7.5" customHeight="1" x14ac:dyDescent="0.15">
      <c r="M15" s="17"/>
      <c r="N15" s="17"/>
    </row>
    <row r="16" spans="1:15" ht="24" customHeight="1" x14ac:dyDescent="0.15">
      <c r="A16" s="14" t="s">
        <v>28</v>
      </c>
      <c r="B16" s="14" t="s">
        <v>29</v>
      </c>
      <c r="K16" s="138">
        <v>32</v>
      </c>
      <c r="L16" s="140"/>
      <c r="M16" s="139"/>
      <c r="N16" s="17" t="s">
        <v>26</v>
      </c>
      <c r="O16" s="27" t="str">
        <f>IF(K16="","入力してください","")</f>
        <v/>
      </c>
    </row>
    <row r="17" spans="1:15" ht="7.5" customHeight="1" x14ac:dyDescent="0.15">
      <c r="M17" s="17"/>
      <c r="N17" s="17"/>
    </row>
    <row r="18" spans="1:15" ht="24" customHeight="1" x14ac:dyDescent="0.15">
      <c r="A18" s="14" t="s">
        <v>30</v>
      </c>
      <c r="B18" s="14" t="s">
        <v>31</v>
      </c>
      <c r="E18" s="127">
        <v>670</v>
      </c>
      <c r="F18" s="128"/>
      <c r="G18" s="18" t="s">
        <v>32</v>
      </c>
      <c r="K18" s="144"/>
      <c r="L18" s="144"/>
      <c r="M18" s="144"/>
      <c r="N18" s="144"/>
      <c r="O18" s="27" t="str">
        <f>IF(E18="","入力してください","")</f>
        <v/>
      </c>
    </row>
    <row r="19" spans="1:15" ht="7.5" customHeight="1" x14ac:dyDescent="0.15">
      <c r="E19" s="10"/>
      <c r="L19" s="25"/>
      <c r="M19" s="25"/>
      <c r="N19" s="17"/>
    </row>
    <row r="20" spans="1:15" ht="24" customHeight="1" x14ac:dyDescent="0.15">
      <c r="A20" s="14" t="s">
        <v>33</v>
      </c>
      <c r="B20" s="14" t="s">
        <v>34</v>
      </c>
      <c r="E20" s="10"/>
      <c r="H20" s="14" t="s">
        <v>35</v>
      </c>
      <c r="J20" s="141">
        <v>2851</v>
      </c>
      <c r="K20" s="142"/>
      <c r="L20" s="143"/>
      <c r="M20" s="25" t="s">
        <v>26</v>
      </c>
      <c r="N20" s="17"/>
      <c r="O20" s="27" t="str">
        <f>IF(J20="","入力してください","")</f>
        <v/>
      </c>
    </row>
    <row r="21" spans="1:15" ht="7.5" customHeight="1" x14ac:dyDescent="0.15">
      <c r="E21" s="10"/>
      <c r="L21" s="25"/>
      <c r="M21" s="25"/>
      <c r="N21" s="17"/>
    </row>
    <row r="22" spans="1:15" ht="24" customHeight="1" x14ac:dyDescent="0.15">
      <c r="B22" s="25" t="s">
        <v>36</v>
      </c>
      <c r="C22" s="127">
        <v>778</v>
      </c>
      <c r="D22" s="128"/>
      <c r="E22" s="10" t="s">
        <v>26</v>
      </c>
      <c r="G22" s="123" t="s">
        <v>37</v>
      </c>
      <c r="H22" s="123"/>
      <c r="I22" s="127">
        <v>752</v>
      </c>
      <c r="J22" s="128"/>
      <c r="K22" s="14" t="s">
        <v>26</v>
      </c>
      <c r="M22" s="25"/>
      <c r="N22" s="17"/>
    </row>
    <row r="23" spans="1:15" ht="7.5" customHeight="1" x14ac:dyDescent="0.15">
      <c r="B23" s="25"/>
      <c r="C23" s="11"/>
      <c r="D23" s="11"/>
      <c r="E23" s="10"/>
      <c r="G23" s="25"/>
      <c r="H23" s="25"/>
      <c r="I23" s="11"/>
      <c r="J23" s="11"/>
      <c r="M23" s="25"/>
      <c r="N23" s="17"/>
    </row>
    <row r="24" spans="1:15" ht="24" customHeight="1" x14ac:dyDescent="0.15">
      <c r="B24" s="25" t="s">
        <v>38</v>
      </c>
      <c r="C24" s="127">
        <v>691</v>
      </c>
      <c r="D24" s="128"/>
      <c r="E24" s="10" t="s">
        <v>26</v>
      </c>
      <c r="G24" s="123" t="s">
        <v>39</v>
      </c>
      <c r="H24" s="123"/>
      <c r="I24" s="127">
        <v>652</v>
      </c>
      <c r="J24" s="128"/>
      <c r="K24" s="14" t="s">
        <v>26</v>
      </c>
      <c r="M24" s="25"/>
      <c r="N24" s="17"/>
    </row>
    <row r="25" spans="1:15" ht="7.5" customHeight="1" x14ac:dyDescent="0.15">
      <c r="B25" s="25"/>
      <c r="C25" s="11"/>
      <c r="D25" s="11"/>
      <c r="E25" s="10"/>
      <c r="G25" s="25"/>
      <c r="H25" s="25"/>
      <c r="I25" s="11"/>
      <c r="J25" s="11"/>
      <c r="M25" s="25"/>
      <c r="N25" s="17"/>
    </row>
    <row r="26" spans="1:15" ht="24" customHeight="1" x14ac:dyDescent="0.15">
      <c r="B26" s="25" t="s">
        <v>40</v>
      </c>
      <c r="C26" s="127">
        <v>0</v>
      </c>
      <c r="D26" s="128"/>
      <c r="E26" s="10" t="s">
        <v>26</v>
      </c>
      <c r="G26" s="123" t="s">
        <v>41</v>
      </c>
      <c r="H26" s="123"/>
      <c r="I26" s="127">
        <v>0</v>
      </c>
      <c r="J26" s="128"/>
      <c r="K26" s="14" t="s">
        <v>26</v>
      </c>
      <c r="M26" s="25"/>
      <c r="N26" s="17"/>
    </row>
    <row r="27" spans="1:15" ht="7.5" customHeight="1" x14ac:dyDescent="0.15">
      <c r="M27" s="19"/>
      <c r="N27" s="19"/>
    </row>
    <row r="28" spans="1:15" ht="24" customHeight="1" x14ac:dyDescent="0.15">
      <c r="A28" s="14" t="s">
        <v>42</v>
      </c>
      <c r="B28" s="14" t="s">
        <v>43</v>
      </c>
      <c r="G28" s="31"/>
      <c r="H28" s="31"/>
      <c r="I28" s="31"/>
      <c r="J28" s="20"/>
      <c r="K28" s="20"/>
      <c r="L28" s="20"/>
      <c r="M28" s="20"/>
      <c r="N28" s="20"/>
    </row>
    <row r="29" spans="1:15" s="14" customFormat="1" ht="24" customHeight="1" x14ac:dyDescent="0.15">
      <c r="B29" s="131" t="s">
        <v>44</v>
      </c>
      <c r="C29" s="131"/>
      <c r="D29" s="124" t="s">
        <v>45</v>
      </c>
      <c r="E29" s="125"/>
      <c r="F29" s="125"/>
      <c r="G29" s="132" t="s">
        <v>46</v>
      </c>
      <c r="H29" s="131"/>
      <c r="I29" s="133"/>
      <c r="J29" s="124" t="s">
        <v>47</v>
      </c>
      <c r="K29" s="125"/>
      <c r="L29" s="125"/>
      <c r="M29" s="125"/>
      <c r="N29" s="126"/>
      <c r="O29" s="27" t="str">
        <f>IF(OR(D29="",J29=""),"入力してください","")</f>
        <v/>
      </c>
    </row>
    <row r="30" spans="1:15" ht="7.5" customHeight="1" x14ac:dyDescent="0.15">
      <c r="M30" s="19"/>
      <c r="N30" s="19"/>
    </row>
    <row r="31" spans="1:15" ht="24" customHeight="1" x14ac:dyDescent="0.15">
      <c r="A31" s="14" t="s">
        <v>48</v>
      </c>
      <c r="B31" s="14" t="s">
        <v>49</v>
      </c>
      <c r="G31" s="20"/>
      <c r="H31" s="20"/>
      <c r="I31" s="20"/>
      <c r="J31" s="20"/>
      <c r="K31" s="20"/>
      <c r="L31" s="20"/>
      <c r="M31" s="20"/>
      <c r="N31" s="20"/>
    </row>
    <row r="32" spans="1:15" ht="24" customHeight="1" x14ac:dyDescent="0.15">
      <c r="B32" s="124" t="s">
        <v>50</v>
      </c>
      <c r="C32" s="125"/>
      <c r="D32" s="125"/>
      <c r="E32" s="125"/>
      <c r="F32" s="125"/>
      <c r="G32" s="125"/>
      <c r="H32" s="125"/>
      <c r="I32" s="125"/>
      <c r="J32" s="125"/>
      <c r="K32" s="125"/>
      <c r="L32" s="125"/>
      <c r="M32" s="125"/>
      <c r="N32" s="126"/>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1" t="s">
        <v>44</v>
      </c>
      <c r="C34" s="131"/>
      <c r="D34" s="124" t="s">
        <v>51</v>
      </c>
      <c r="E34" s="125"/>
      <c r="F34" s="125"/>
      <c r="G34" s="132" t="s">
        <v>46</v>
      </c>
      <c r="H34" s="131"/>
      <c r="I34" s="133"/>
      <c r="J34" s="124" t="s">
        <v>52</v>
      </c>
      <c r="K34" s="125"/>
      <c r="L34" s="125"/>
      <c r="M34" s="125"/>
      <c r="N34" s="126"/>
      <c r="O34" s="27" t="str">
        <f>IF(OR(D34="",J34=""),"入力してください","")</f>
        <v/>
      </c>
    </row>
    <row r="35" spans="1:15" ht="7.5" customHeight="1" x14ac:dyDescent="0.15">
      <c r="F35" s="31"/>
      <c r="G35" s="31"/>
      <c r="H35" s="31"/>
      <c r="I35" s="31"/>
      <c r="J35" s="31"/>
      <c r="K35" s="31"/>
      <c r="L35" s="31"/>
      <c r="M35" s="31"/>
      <c r="N35" s="31"/>
    </row>
    <row r="36" spans="1:15" ht="24" customHeight="1" x14ac:dyDescent="0.15">
      <c r="A36" s="14" t="s">
        <v>53</v>
      </c>
      <c r="B36" s="14" t="s">
        <v>54</v>
      </c>
      <c r="M36" s="19"/>
      <c r="N36" s="19"/>
    </row>
    <row r="37" spans="1:15" ht="24" customHeight="1" x14ac:dyDescent="0.15">
      <c r="B37" s="124" t="s">
        <v>55</v>
      </c>
      <c r="C37" s="125"/>
      <c r="D37" s="125"/>
      <c r="E37" s="125"/>
      <c r="F37" s="125"/>
      <c r="G37" s="125"/>
      <c r="H37" s="125"/>
      <c r="I37" s="125"/>
      <c r="J37" s="125"/>
      <c r="K37" s="125"/>
      <c r="L37" s="125"/>
      <c r="M37" s="125"/>
      <c r="N37" s="126"/>
      <c r="O37" s="27" t="str">
        <f>IF(B37="","入力してください","")</f>
        <v/>
      </c>
    </row>
    <row r="38" spans="1:15" ht="7.5" customHeight="1" x14ac:dyDescent="0.15">
      <c r="F38" s="31"/>
      <c r="G38" s="31"/>
      <c r="H38" s="31"/>
      <c r="I38" s="31"/>
      <c r="J38" s="31"/>
      <c r="K38" s="31"/>
      <c r="L38" s="31"/>
      <c r="M38" s="31"/>
      <c r="N38" s="31"/>
    </row>
    <row r="39" spans="1:15" s="14" customFormat="1" ht="24" customHeight="1" x14ac:dyDescent="0.15">
      <c r="B39" s="131" t="s">
        <v>44</v>
      </c>
      <c r="C39" s="131"/>
      <c r="D39" s="124" t="s">
        <v>45</v>
      </c>
      <c r="E39" s="125"/>
      <c r="F39" s="125"/>
      <c r="G39" s="132" t="s">
        <v>46</v>
      </c>
      <c r="H39" s="131"/>
      <c r="I39" s="133"/>
      <c r="J39" s="124" t="s">
        <v>56</v>
      </c>
      <c r="K39" s="125"/>
      <c r="L39" s="125"/>
      <c r="M39" s="125"/>
      <c r="N39" s="126"/>
      <c r="O39" s="27" t="str">
        <f>IF(OR(D39="",J39=""),"入力してください","")</f>
        <v/>
      </c>
    </row>
    <row r="40" spans="1:15" ht="7.5" customHeight="1" x14ac:dyDescent="0.15">
      <c r="F40" s="31"/>
      <c r="G40" s="31"/>
      <c r="H40" s="31"/>
      <c r="I40" s="31"/>
      <c r="J40" s="31"/>
      <c r="K40" s="31"/>
      <c r="L40" s="31"/>
      <c r="M40" s="31"/>
      <c r="N40" s="31"/>
    </row>
    <row r="41" spans="1:15" ht="24" customHeight="1" x14ac:dyDescent="0.15">
      <c r="A41" s="14" t="s">
        <v>57</v>
      </c>
      <c r="B41" s="14" t="s">
        <v>58</v>
      </c>
      <c r="E41" s="66"/>
      <c r="F41" s="124" t="s">
        <v>59</v>
      </c>
      <c r="G41" s="125"/>
      <c r="H41" s="125"/>
      <c r="I41" s="125"/>
      <c r="J41" s="125"/>
      <c r="K41" s="125"/>
      <c r="L41" s="125"/>
      <c r="M41" s="125"/>
      <c r="N41" s="126"/>
      <c r="O41" s="27" t="str">
        <f>IF(F41="","入力してください","")</f>
        <v/>
      </c>
    </row>
    <row r="42" spans="1:15" ht="7.5" customHeight="1" x14ac:dyDescent="0.15">
      <c r="F42" s="31"/>
      <c r="G42" s="31"/>
      <c r="H42" s="31"/>
      <c r="I42" s="31"/>
      <c r="J42" s="31"/>
      <c r="K42" s="31"/>
      <c r="L42" s="31"/>
      <c r="M42" s="31"/>
      <c r="N42" s="31"/>
    </row>
    <row r="43" spans="1:15" ht="24" customHeight="1" x14ac:dyDescent="0.15">
      <c r="A43" s="14" t="s">
        <v>60</v>
      </c>
    </row>
    <row r="44" spans="1:15" ht="24" customHeight="1" x14ac:dyDescent="0.15">
      <c r="B44" s="26" t="s">
        <v>61</v>
      </c>
      <c r="C44" s="129" t="s">
        <v>62</v>
      </c>
      <c r="D44" s="130"/>
      <c r="E44" s="130"/>
      <c r="F44" s="130"/>
      <c r="G44" s="130"/>
      <c r="H44" s="130"/>
      <c r="I44" s="22" t="s">
        <v>63</v>
      </c>
      <c r="J44" s="23"/>
      <c r="K44" s="124" t="s">
        <v>64</v>
      </c>
      <c r="L44" s="125"/>
      <c r="M44" s="125"/>
      <c r="N44" s="126"/>
      <c r="O44" s="27" t="str">
        <f>IF(OR(C44="",K44=""),"入力してください","")</f>
        <v/>
      </c>
    </row>
    <row r="45" spans="1:15" ht="24" customHeight="1" x14ac:dyDescent="0.15">
      <c r="B45" s="21" t="s">
        <v>65</v>
      </c>
      <c r="C45" s="117" t="s">
        <v>66</v>
      </c>
      <c r="D45" s="118"/>
      <c r="E45" s="118"/>
      <c r="F45" s="118"/>
      <c r="G45" s="118"/>
      <c r="H45" s="119"/>
      <c r="I45" s="22" t="s">
        <v>67</v>
      </c>
      <c r="J45" s="23"/>
      <c r="K45" s="120" t="s">
        <v>68</v>
      </c>
      <c r="L45" s="121"/>
      <c r="M45" s="121"/>
      <c r="N45" s="122"/>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H45" r:id="rId1" display="learning-office@thcu.ac.jp" xr:uid="{2FCFB078-839F-44D6-90D2-F70E41E0C7A2}"/>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8924-7337-4E29-BD9D-7B4329DE32EE}">
  <dimension ref="A1:Z98"/>
  <sheetViews>
    <sheetView showZeros="0" view="pageBreakPreview" zoomScale="70" zoomScaleNormal="100" zoomScaleSheetLayoutView="7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1" t="s">
        <v>206</v>
      </c>
      <c r="X1" s="241"/>
      <c r="Y1" s="241"/>
      <c r="Z1" s="241"/>
    </row>
    <row r="2" spans="1:26" ht="18" customHeight="1" x14ac:dyDescent="0.15">
      <c r="A2" s="198" t="s">
        <v>69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112"/>
      <c r="C3" s="112"/>
      <c r="D3" s="112"/>
      <c r="E3" s="112"/>
      <c r="F3" s="112"/>
      <c r="G3" s="112"/>
      <c r="H3" s="112"/>
      <c r="I3" s="112"/>
      <c r="J3" s="112"/>
      <c r="K3" s="112"/>
      <c r="L3" s="112"/>
      <c r="M3" s="112"/>
      <c r="N3" s="112"/>
      <c r="O3" s="112"/>
      <c r="P3" s="112"/>
      <c r="Q3" s="112"/>
      <c r="R3" s="112"/>
      <c r="S3" s="112"/>
      <c r="T3" s="112"/>
      <c r="U3" s="112"/>
      <c r="V3" s="112"/>
      <c r="W3" s="112"/>
      <c r="X3" s="112"/>
      <c r="Y3" s="112"/>
      <c r="Z3" s="112"/>
    </row>
    <row r="4" spans="1:26" ht="18" customHeight="1" x14ac:dyDescent="0.15">
      <c r="A4" s="13" t="s">
        <v>70</v>
      </c>
      <c r="B4" s="112"/>
      <c r="C4" s="112"/>
      <c r="D4" s="112"/>
      <c r="E4" s="112"/>
      <c r="F4" s="112"/>
      <c r="G4" s="112"/>
      <c r="H4" s="14" t="s">
        <v>71</v>
      </c>
      <c r="I4" s="112"/>
      <c r="J4" s="112"/>
      <c r="K4" s="112"/>
      <c r="L4" s="112"/>
      <c r="M4" s="112"/>
      <c r="N4" s="112"/>
      <c r="O4" s="138" t="s">
        <v>207</v>
      </c>
      <c r="P4" s="140"/>
      <c r="Q4" s="140"/>
      <c r="R4" s="140"/>
      <c r="S4" s="140"/>
      <c r="T4" s="140"/>
      <c r="U4" s="140"/>
      <c r="V4" s="140"/>
      <c r="W4" s="140"/>
      <c r="X4" s="140"/>
      <c r="Y4" s="140"/>
      <c r="Z4" s="139"/>
    </row>
    <row r="5" spans="1:26" ht="6" customHeight="1" x14ac:dyDescent="0.15">
      <c r="B5" s="112"/>
      <c r="C5" s="112"/>
      <c r="D5" s="112"/>
      <c r="E5" s="112"/>
      <c r="F5" s="112"/>
      <c r="G5" s="112"/>
      <c r="H5" s="112"/>
      <c r="I5" s="112"/>
      <c r="J5" s="112"/>
      <c r="K5" s="112"/>
      <c r="L5" s="112"/>
      <c r="M5" s="112"/>
      <c r="N5" s="112"/>
      <c r="O5" s="15"/>
      <c r="P5" s="112"/>
      <c r="Q5" s="112"/>
      <c r="R5" s="112"/>
      <c r="S5" s="112"/>
      <c r="T5" s="112"/>
      <c r="U5" s="112"/>
      <c r="V5" s="112"/>
      <c r="W5" s="112"/>
      <c r="X5" s="112"/>
      <c r="Y5" s="112"/>
      <c r="Z5" s="112"/>
    </row>
    <row r="6" spans="1:26" ht="18" customHeight="1" x14ac:dyDescent="0.15">
      <c r="B6" s="199" t="s">
        <v>208</v>
      </c>
      <c r="C6" s="200"/>
      <c r="D6" s="200"/>
      <c r="E6" s="200"/>
      <c r="F6" s="200"/>
      <c r="G6" s="200"/>
      <c r="H6" s="200"/>
      <c r="I6" s="200"/>
      <c r="J6" s="200"/>
      <c r="K6" s="200"/>
      <c r="L6" s="200"/>
      <c r="M6" s="200"/>
      <c r="N6" s="200"/>
      <c r="O6" s="200"/>
      <c r="P6" s="200"/>
      <c r="Q6" s="200"/>
      <c r="R6" s="200"/>
      <c r="S6" s="200"/>
      <c r="T6" s="200"/>
      <c r="U6" s="200"/>
      <c r="V6" s="200"/>
      <c r="W6" s="200"/>
      <c r="X6" s="200"/>
      <c r="Y6" s="200"/>
      <c r="Z6" s="201"/>
    </row>
    <row r="7" spans="1:26" ht="18" customHeight="1" x14ac:dyDescent="0.15">
      <c r="B7" s="202"/>
      <c r="C7" s="203"/>
      <c r="D7" s="203"/>
      <c r="E7" s="203"/>
      <c r="F7" s="203"/>
      <c r="G7" s="203"/>
      <c r="H7" s="203"/>
      <c r="I7" s="203"/>
      <c r="J7" s="203"/>
      <c r="K7" s="203"/>
      <c r="L7" s="203"/>
      <c r="M7" s="203"/>
      <c r="N7" s="203"/>
      <c r="O7" s="203"/>
      <c r="P7" s="203"/>
      <c r="Q7" s="203"/>
      <c r="R7" s="203"/>
      <c r="S7" s="203"/>
      <c r="T7" s="203"/>
      <c r="U7" s="203"/>
      <c r="V7" s="203"/>
      <c r="W7" s="203"/>
      <c r="X7" s="203"/>
      <c r="Y7" s="203"/>
      <c r="Z7" s="204"/>
    </row>
    <row r="8" spans="1:26" ht="18" customHeight="1" x14ac:dyDescent="0.15">
      <c r="B8" s="202"/>
      <c r="C8" s="203"/>
      <c r="D8" s="203"/>
      <c r="E8" s="203"/>
      <c r="F8" s="203"/>
      <c r="G8" s="203"/>
      <c r="H8" s="203"/>
      <c r="I8" s="203"/>
      <c r="J8" s="203"/>
      <c r="K8" s="203"/>
      <c r="L8" s="203"/>
      <c r="M8" s="203"/>
      <c r="N8" s="203"/>
      <c r="O8" s="203"/>
      <c r="P8" s="203"/>
      <c r="Q8" s="203"/>
      <c r="R8" s="203"/>
      <c r="S8" s="203"/>
      <c r="T8" s="203"/>
      <c r="U8" s="203"/>
      <c r="V8" s="203"/>
      <c r="W8" s="203"/>
      <c r="X8" s="203"/>
      <c r="Y8" s="203"/>
      <c r="Z8" s="204"/>
    </row>
    <row r="9" spans="1:26" ht="18" customHeight="1" x14ac:dyDescent="0.15">
      <c r="B9" s="202"/>
      <c r="C9" s="203"/>
      <c r="D9" s="203"/>
      <c r="E9" s="203"/>
      <c r="F9" s="203"/>
      <c r="G9" s="203"/>
      <c r="H9" s="203"/>
      <c r="I9" s="203"/>
      <c r="J9" s="203"/>
      <c r="K9" s="203"/>
      <c r="L9" s="203"/>
      <c r="M9" s="203"/>
      <c r="N9" s="203"/>
      <c r="O9" s="203"/>
      <c r="P9" s="203"/>
      <c r="Q9" s="203"/>
      <c r="R9" s="203"/>
      <c r="S9" s="203"/>
      <c r="T9" s="203"/>
      <c r="U9" s="203"/>
      <c r="V9" s="203"/>
      <c r="W9" s="203"/>
      <c r="X9" s="203"/>
      <c r="Y9" s="203"/>
      <c r="Z9" s="204"/>
    </row>
    <row r="10" spans="1:26" ht="18" customHeight="1" x14ac:dyDescent="0.1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4"/>
    </row>
    <row r="11" spans="1:26" ht="18" customHeight="1" x14ac:dyDescent="0.15">
      <c r="B11" s="205"/>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7"/>
    </row>
    <row r="12" spans="1:26" ht="7.5" customHeight="1" x14ac:dyDescent="0.15">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row>
    <row r="13" spans="1:26" ht="18" customHeight="1" x14ac:dyDescent="0.15">
      <c r="A13" s="194" t="s">
        <v>72</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15">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15">
      <c r="A15" s="14"/>
      <c r="B15" s="138" t="s">
        <v>73</v>
      </c>
      <c r="C15" s="140"/>
      <c r="D15" s="140"/>
      <c r="E15" s="140"/>
      <c r="F15" s="139"/>
      <c r="G15" s="26" t="s">
        <v>74</v>
      </c>
      <c r="H15" s="101" t="s">
        <v>75</v>
      </c>
      <c r="I15" s="140" t="s">
        <v>76</v>
      </c>
      <c r="J15" s="140"/>
      <c r="K15" s="140"/>
      <c r="L15" s="67" t="s">
        <v>77</v>
      </c>
      <c r="M15" s="67" t="s">
        <v>78</v>
      </c>
      <c r="N15" s="138" t="s">
        <v>73</v>
      </c>
      <c r="O15" s="140"/>
      <c r="P15" s="140"/>
      <c r="Q15" s="140"/>
      <c r="R15" s="140"/>
      <c r="S15" s="139"/>
      <c r="T15" s="26" t="s">
        <v>74</v>
      </c>
      <c r="U15" s="101" t="s">
        <v>75</v>
      </c>
      <c r="V15" s="140" t="s">
        <v>76</v>
      </c>
      <c r="W15" s="140"/>
      <c r="X15" s="140"/>
      <c r="Y15" s="67" t="s">
        <v>77</v>
      </c>
      <c r="Z15" s="67" t="s">
        <v>78</v>
      </c>
    </row>
    <row r="16" spans="1:26" ht="18" customHeight="1" x14ac:dyDescent="0.15">
      <c r="A16" s="14"/>
      <c r="B16" s="185" t="s">
        <v>209</v>
      </c>
      <c r="C16" s="186"/>
      <c r="D16" s="186"/>
      <c r="E16" s="186"/>
      <c r="F16" s="187"/>
      <c r="G16" s="102">
        <v>2</v>
      </c>
      <c r="H16" s="102" t="s">
        <v>184</v>
      </c>
      <c r="I16" s="179" t="s">
        <v>185</v>
      </c>
      <c r="J16" s="180"/>
      <c r="K16" s="181"/>
      <c r="L16" s="102" t="s">
        <v>184</v>
      </c>
      <c r="M16" s="102" t="s">
        <v>184</v>
      </c>
      <c r="N16" s="145"/>
      <c r="O16" s="146"/>
      <c r="P16" s="146"/>
      <c r="Q16" s="146"/>
      <c r="R16" s="146"/>
      <c r="S16" s="147"/>
      <c r="T16" s="102"/>
      <c r="U16" s="102"/>
      <c r="V16" s="179"/>
      <c r="W16" s="180"/>
      <c r="X16" s="181"/>
      <c r="Y16" s="102"/>
      <c r="Z16" s="102"/>
    </row>
    <row r="17" spans="1:26" ht="18" customHeight="1" x14ac:dyDescent="0.15">
      <c r="A17" s="14"/>
      <c r="B17" s="188" t="s">
        <v>210</v>
      </c>
      <c r="C17" s="189"/>
      <c r="D17" s="189"/>
      <c r="E17" s="189"/>
      <c r="F17" s="190"/>
      <c r="G17" s="103">
        <v>2</v>
      </c>
      <c r="H17" s="103" t="s">
        <v>184</v>
      </c>
      <c r="I17" s="182" t="s">
        <v>185</v>
      </c>
      <c r="J17" s="183"/>
      <c r="K17" s="184"/>
      <c r="L17" s="103" t="s">
        <v>184</v>
      </c>
      <c r="M17" s="103" t="s">
        <v>184</v>
      </c>
      <c r="N17" s="154"/>
      <c r="O17" s="155"/>
      <c r="P17" s="155"/>
      <c r="Q17" s="155"/>
      <c r="R17" s="155"/>
      <c r="S17" s="156"/>
      <c r="T17" s="103"/>
      <c r="U17" s="103"/>
      <c r="V17" s="182"/>
      <c r="W17" s="183"/>
      <c r="X17" s="184"/>
      <c r="Y17" s="103"/>
      <c r="Z17" s="103"/>
    </row>
    <row r="18" spans="1:26" ht="18" customHeight="1" x14ac:dyDescent="0.15">
      <c r="A18" s="14"/>
      <c r="B18" s="188" t="s">
        <v>211</v>
      </c>
      <c r="C18" s="189"/>
      <c r="D18" s="189"/>
      <c r="E18" s="189"/>
      <c r="F18" s="190"/>
      <c r="G18" s="103">
        <v>2</v>
      </c>
      <c r="H18" s="103" t="s">
        <v>184</v>
      </c>
      <c r="I18" s="182" t="s">
        <v>185</v>
      </c>
      <c r="J18" s="183"/>
      <c r="K18" s="184"/>
      <c r="L18" s="103" t="s">
        <v>184</v>
      </c>
      <c r="M18" s="103" t="s">
        <v>184</v>
      </c>
      <c r="N18" s="154"/>
      <c r="O18" s="155"/>
      <c r="P18" s="155"/>
      <c r="Q18" s="155"/>
      <c r="R18" s="155"/>
      <c r="S18" s="156"/>
      <c r="T18" s="103"/>
      <c r="U18" s="103"/>
      <c r="V18" s="182"/>
      <c r="W18" s="183"/>
      <c r="X18" s="184"/>
      <c r="Y18" s="103"/>
      <c r="Z18" s="103"/>
    </row>
    <row r="19" spans="1:26" ht="18" customHeight="1" x14ac:dyDescent="0.15">
      <c r="A19" s="14"/>
      <c r="B19" s="188"/>
      <c r="C19" s="189"/>
      <c r="D19" s="189"/>
      <c r="E19" s="189"/>
      <c r="F19" s="190"/>
      <c r="G19" s="103"/>
      <c r="H19" s="103"/>
      <c r="I19" s="182"/>
      <c r="J19" s="183"/>
      <c r="K19" s="184"/>
      <c r="L19" s="103"/>
      <c r="M19" s="103"/>
      <c r="N19" s="154"/>
      <c r="O19" s="155"/>
      <c r="P19" s="155"/>
      <c r="Q19" s="155"/>
      <c r="R19" s="155"/>
      <c r="S19" s="156"/>
      <c r="T19" s="103"/>
      <c r="U19" s="103"/>
      <c r="V19" s="182"/>
      <c r="W19" s="183"/>
      <c r="X19" s="184"/>
      <c r="Y19" s="103"/>
      <c r="Z19" s="103"/>
    </row>
    <row r="20" spans="1:26" ht="18" customHeight="1" x14ac:dyDescent="0.15">
      <c r="A20" s="14"/>
      <c r="B20" s="188"/>
      <c r="C20" s="189"/>
      <c r="D20" s="189"/>
      <c r="E20" s="189"/>
      <c r="F20" s="190"/>
      <c r="G20" s="103"/>
      <c r="H20" s="103"/>
      <c r="I20" s="182"/>
      <c r="J20" s="183"/>
      <c r="K20" s="184"/>
      <c r="L20" s="103"/>
      <c r="M20" s="103"/>
      <c r="N20" s="154"/>
      <c r="O20" s="155"/>
      <c r="P20" s="155"/>
      <c r="Q20" s="155"/>
      <c r="R20" s="155"/>
      <c r="S20" s="156"/>
      <c r="T20" s="103"/>
      <c r="U20" s="103"/>
      <c r="V20" s="182"/>
      <c r="W20" s="183"/>
      <c r="X20" s="184"/>
      <c r="Y20" s="103"/>
      <c r="Z20" s="103"/>
    </row>
    <row r="21" spans="1:26" ht="18" customHeight="1" x14ac:dyDescent="0.15">
      <c r="A21" s="112"/>
      <c r="B21" s="188"/>
      <c r="C21" s="189"/>
      <c r="D21" s="189"/>
      <c r="E21" s="189"/>
      <c r="F21" s="190"/>
      <c r="G21" s="103"/>
      <c r="H21" s="103"/>
      <c r="I21" s="182"/>
      <c r="J21" s="183"/>
      <c r="K21" s="184"/>
      <c r="L21" s="103"/>
      <c r="M21" s="103"/>
      <c r="N21" s="154"/>
      <c r="O21" s="155"/>
      <c r="P21" s="155"/>
      <c r="Q21" s="155"/>
      <c r="R21" s="155"/>
      <c r="S21" s="156"/>
      <c r="T21" s="103"/>
      <c r="U21" s="103"/>
      <c r="V21" s="182"/>
      <c r="W21" s="183"/>
      <c r="X21" s="184"/>
      <c r="Y21" s="103"/>
      <c r="Z21" s="103"/>
    </row>
    <row r="22" spans="1:26" ht="18" customHeight="1" x14ac:dyDescent="0.15">
      <c r="A22" s="112"/>
      <c r="B22" s="195"/>
      <c r="C22" s="196"/>
      <c r="D22" s="196"/>
      <c r="E22" s="196"/>
      <c r="F22" s="197"/>
      <c r="G22" s="104"/>
      <c r="H22" s="104"/>
      <c r="I22" s="191"/>
      <c r="J22" s="192"/>
      <c r="K22" s="193"/>
      <c r="L22" s="109"/>
      <c r="M22" s="109"/>
      <c r="N22" s="220"/>
      <c r="O22" s="221"/>
      <c r="P22" s="221"/>
      <c r="Q22" s="221"/>
      <c r="R22" s="221"/>
      <c r="S22" s="222"/>
      <c r="T22" s="104"/>
      <c r="U22" s="104"/>
      <c r="V22" s="191"/>
      <c r="W22" s="192"/>
      <c r="X22" s="193"/>
      <c r="Y22" s="109"/>
      <c r="Z22" s="109"/>
    </row>
    <row r="23" spans="1:26" ht="7.5" customHeight="1" x14ac:dyDescent="0.15">
      <c r="A23" s="112"/>
      <c r="B23" s="113"/>
      <c r="C23" s="113"/>
      <c r="D23" s="112"/>
      <c r="E23" s="112"/>
      <c r="F23" s="112"/>
      <c r="G23" s="112"/>
      <c r="H23" s="112"/>
      <c r="I23" s="112"/>
      <c r="J23" s="112"/>
      <c r="K23" s="112"/>
      <c r="L23" s="113"/>
      <c r="M23" s="113"/>
      <c r="N23" s="113"/>
      <c r="O23" s="113"/>
      <c r="P23" s="113"/>
      <c r="Q23" s="113"/>
      <c r="R23" s="113"/>
      <c r="S23" s="113"/>
      <c r="T23" s="113"/>
      <c r="U23" s="113"/>
      <c r="V23" s="113"/>
      <c r="W23" s="113"/>
      <c r="X23" s="113"/>
      <c r="Y23" s="113"/>
      <c r="Z23" s="112"/>
    </row>
    <row r="24" spans="1:26" ht="18" customHeight="1" x14ac:dyDescent="0.15">
      <c r="A24" s="194" t="s">
        <v>79</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1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15">
      <c r="A26" s="14"/>
      <c r="B26" s="138" t="s">
        <v>73</v>
      </c>
      <c r="C26" s="140"/>
      <c r="D26" s="140"/>
      <c r="E26" s="140"/>
      <c r="F26" s="139"/>
      <c r="G26" s="26" t="s">
        <v>74</v>
      </c>
      <c r="H26" s="101" t="s">
        <v>75</v>
      </c>
      <c r="I26" s="140" t="s">
        <v>76</v>
      </c>
      <c r="J26" s="140"/>
      <c r="K26" s="140"/>
      <c r="L26" s="67" t="s">
        <v>80</v>
      </c>
      <c r="M26" s="67" t="s">
        <v>81</v>
      </c>
      <c r="N26" s="138" t="s">
        <v>73</v>
      </c>
      <c r="O26" s="140"/>
      <c r="P26" s="140"/>
      <c r="Q26" s="140"/>
      <c r="R26" s="140"/>
      <c r="S26" s="139"/>
      <c r="T26" s="26" t="s">
        <v>74</v>
      </c>
      <c r="U26" s="101" t="s">
        <v>75</v>
      </c>
      <c r="V26" s="140" t="s">
        <v>76</v>
      </c>
      <c r="W26" s="140"/>
      <c r="X26" s="140"/>
      <c r="Y26" s="67" t="s">
        <v>80</v>
      </c>
      <c r="Z26" s="67" t="s">
        <v>81</v>
      </c>
    </row>
    <row r="27" spans="1:26" ht="18" customHeight="1" x14ac:dyDescent="0.15">
      <c r="A27" s="14"/>
      <c r="B27" s="185" t="s">
        <v>212</v>
      </c>
      <c r="C27" s="186"/>
      <c r="D27" s="186"/>
      <c r="E27" s="186"/>
      <c r="F27" s="187"/>
      <c r="G27" s="102">
        <v>2</v>
      </c>
      <c r="H27" s="102" t="s">
        <v>184</v>
      </c>
      <c r="I27" s="179" t="s">
        <v>185</v>
      </c>
      <c r="J27" s="180"/>
      <c r="K27" s="181"/>
      <c r="L27" s="102" t="s">
        <v>184</v>
      </c>
      <c r="M27" s="102" t="s">
        <v>184</v>
      </c>
      <c r="N27" s="145"/>
      <c r="O27" s="146"/>
      <c r="P27" s="146"/>
      <c r="Q27" s="146"/>
      <c r="R27" s="146"/>
      <c r="S27" s="147"/>
      <c r="T27" s="102"/>
      <c r="U27" s="102"/>
      <c r="V27" s="179"/>
      <c r="W27" s="180"/>
      <c r="X27" s="181"/>
      <c r="Y27" s="102"/>
      <c r="Z27" s="102"/>
    </row>
    <row r="28" spans="1:26" ht="18" customHeight="1" x14ac:dyDescent="0.15">
      <c r="A28" s="14"/>
      <c r="B28" s="188" t="s">
        <v>213</v>
      </c>
      <c r="C28" s="189"/>
      <c r="D28" s="189"/>
      <c r="E28" s="189"/>
      <c r="F28" s="190"/>
      <c r="G28" s="103">
        <v>2</v>
      </c>
      <c r="H28" s="103" t="s">
        <v>184</v>
      </c>
      <c r="I28" s="182" t="s">
        <v>185</v>
      </c>
      <c r="J28" s="183"/>
      <c r="K28" s="184"/>
      <c r="L28" s="103" t="s">
        <v>184</v>
      </c>
      <c r="M28" s="103" t="s">
        <v>184</v>
      </c>
      <c r="N28" s="154"/>
      <c r="O28" s="155"/>
      <c r="P28" s="155"/>
      <c r="Q28" s="155"/>
      <c r="R28" s="155"/>
      <c r="S28" s="156"/>
      <c r="T28" s="103"/>
      <c r="U28" s="103"/>
      <c r="V28" s="182"/>
      <c r="W28" s="183"/>
      <c r="X28" s="184"/>
      <c r="Y28" s="103"/>
      <c r="Z28" s="103"/>
    </row>
    <row r="29" spans="1:26" ht="18" customHeight="1" x14ac:dyDescent="0.15">
      <c r="A29" s="14"/>
      <c r="B29" s="188" t="s">
        <v>214</v>
      </c>
      <c r="C29" s="189"/>
      <c r="D29" s="189"/>
      <c r="E29" s="189"/>
      <c r="F29" s="190"/>
      <c r="G29" s="103">
        <v>2</v>
      </c>
      <c r="H29" s="103" t="s">
        <v>184</v>
      </c>
      <c r="I29" s="182" t="s">
        <v>185</v>
      </c>
      <c r="J29" s="183"/>
      <c r="K29" s="184"/>
      <c r="L29" s="103" t="s">
        <v>184</v>
      </c>
      <c r="M29" s="103" t="s">
        <v>184</v>
      </c>
      <c r="N29" s="154"/>
      <c r="O29" s="155"/>
      <c r="P29" s="155"/>
      <c r="Q29" s="155"/>
      <c r="R29" s="155"/>
      <c r="S29" s="156"/>
      <c r="T29" s="103"/>
      <c r="U29" s="103"/>
      <c r="V29" s="182"/>
      <c r="W29" s="183"/>
      <c r="X29" s="184"/>
      <c r="Y29" s="103"/>
      <c r="Z29" s="103"/>
    </row>
    <row r="30" spans="1:26" ht="18" customHeight="1" x14ac:dyDescent="0.15">
      <c r="A30" s="14"/>
      <c r="B30" s="188"/>
      <c r="C30" s="189"/>
      <c r="D30" s="189"/>
      <c r="E30" s="189"/>
      <c r="F30" s="190"/>
      <c r="G30" s="103"/>
      <c r="H30" s="103"/>
      <c r="I30" s="182"/>
      <c r="J30" s="183"/>
      <c r="K30" s="184"/>
      <c r="L30" s="103"/>
      <c r="M30" s="103"/>
      <c r="N30" s="154"/>
      <c r="O30" s="155"/>
      <c r="P30" s="155"/>
      <c r="Q30" s="155"/>
      <c r="R30" s="155"/>
      <c r="S30" s="156"/>
      <c r="T30" s="103"/>
      <c r="U30" s="103"/>
      <c r="V30" s="182"/>
      <c r="W30" s="183"/>
      <c r="X30" s="184"/>
      <c r="Y30" s="103"/>
      <c r="Z30" s="103"/>
    </row>
    <row r="31" spans="1:26" ht="18" customHeight="1" x14ac:dyDescent="0.15">
      <c r="A31" s="14"/>
      <c r="B31" s="188"/>
      <c r="C31" s="189"/>
      <c r="D31" s="189"/>
      <c r="E31" s="189"/>
      <c r="F31" s="190"/>
      <c r="G31" s="103"/>
      <c r="H31" s="103"/>
      <c r="I31" s="182"/>
      <c r="J31" s="183"/>
      <c r="K31" s="184"/>
      <c r="L31" s="103"/>
      <c r="M31" s="103"/>
      <c r="N31" s="154"/>
      <c r="O31" s="155"/>
      <c r="P31" s="155"/>
      <c r="Q31" s="155"/>
      <c r="R31" s="155"/>
      <c r="S31" s="156"/>
      <c r="T31" s="103"/>
      <c r="U31" s="103"/>
      <c r="V31" s="182"/>
      <c r="W31" s="183"/>
      <c r="X31" s="184"/>
      <c r="Y31" s="103"/>
      <c r="Z31" s="103"/>
    </row>
    <row r="32" spans="1:26" ht="18" customHeight="1" x14ac:dyDescent="0.15">
      <c r="A32" s="14"/>
      <c r="B32" s="188"/>
      <c r="C32" s="189"/>
      <c r="D32" s="189"/>
      <c r="E32" s="189"/>
      <c r="F32" s="190"/>
      <c r="G32" s="103"/>
      <c r="H32" s="103"/>
      <c r="I32" s="182"/>
      <c r="J32" s="183"/>
      <c r="K32" s="184"/>
      <c r="L32" s="103"/>
      <c r="M32" s="103"/>
      <c r="N32" s="154"/>
      <c r="O32" s="155"/>
      <c r="P32" s="155"/>
      <c r="Q32" s="155"/>
      <c r="R32" s="155"/>
      <c r="S32" s="156"/>
      <c r="T32" s="103"/>
      <c r="U32" s="103"/>
      <c r="V32" s="182"/>
      <c r="W32" s="183"/>
      <c r="X32" s="184"/>
      <c r="Y32" s="103"/>
      <c r="Z32" s="103"/>
    </row>
    <row r="33" spans="1:26" ht="18" customHeight="1" x14ac:dyDescent="0.15">
      <c r="A33" s="14"/>
      <c r="B33" s="195"/>
      <c r="C33" s="196"/>
      <c r="D33" s="196"/>
      <c r="E33" s="196"/>
      <c r="F33" s="197"/>
      <c r="G33" s="104"/>
      <c r="H33" s="104"/>
      <c r="I33" s="191"/>
      <c r="J33" s="192"/>
      <c r="K33" s="193"/>
      <c r="L33" s="109"/>
      <c r="M33" s="109"/>
      <c r="N33" s="220"/>
      <c r="O33" s="221"/>
      <c r="P33" s="221"/>
      <c r="Q33" s="221"/>
      <c r="R33" s="221"/>
      <c r="S33" s="222"/>
      <c r="T33" s="104"/>
      <c r="U33" s="104"/>
      <c r="V33" s="191"/>
      <c r="W33" s="192"/>
      <c r="X33" s="193"/>
      <c r="Y33" s="109"/>
      <c r="Z33" s="109"/>
    </row>
    <row r="34" spans="1:26" ht="7.5" customHeight="1" x14ac:dyDescent="0.15">
      <c r="A34" s="112"/>
      <c r="B34" s="113"/>
      <c r="C34" s="113"/>
      <c r="D34" s="112"/>
      <c r="E34" s="112"/>
      <c r="F34" s="112"/>
      <c r="G34" s="112"/>
      <c r="H34" s="112"/>
      <c r="I34" s="112"/>
      <c r="J34" s="112"/>
      <c r="K34" s="112"/>
      <c r="L34" s="113"/>
      <c r="M34" s="113"/>
      <c r="N34" s="113"/>
      <c r="O34" s="113"/>
      <c r="P34" s="113"/>
      <c r="Q34" s="113"/>
      <c r="R34" s="113"/>
      <c r="S34" s="113"/>
      <c r="T34" s="113"/>
      <c r="U34" s="113"/>
      <c r="V34" s="113"/>
      <c r="W34" s="113"/>
      <c r="X34" s="113"/>
      <c r="Y34" s="113"/>
      <c r="Z34" s="112"/>
    </row>
    <row r="35" spans="1:26" ht="18" customHeight="1" x14ac:dyDescent="0.15">
      <c r="A35" s="194" t="s">
        <v>82</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15">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15">
      <c r="A37" s="14"/>
      <c r="B37" s="138" t="s">
        <v>73</v>
      </c>
      <c r="C37" s="140"/>
      <c r="D37" s="140"/>
      <c r="E37" s="140"/>
      <c r="F37" s="139"/>
      <c r="G37" s="26" t="s">
        <v>74</v>
      </c>
      <c r="H37" s="101" t="s">
        <v>75</v>
      </c>
      <c r="I37" s="138" t="s">
        <v>76</v>
      </c>
      <c r="J37" s="140"/>
      <c r="K37" s="139"/>
      <c r="L37" s="67" t="s">
        <v>83</v>
      </c>
      <c r="M37" s="67" t="s">
        <v>84</v>
      </c>
      <c r="N37" s="138" t="s">
        <v>73</v>
      </c>
      <c r="O37" s="140"/>
      <c r="P37" s="140"/>
      <c r="Q37" s="140"/>
      <c r="R37" s="140"/>
      <c r="S37" s="139"/>
      <c r="T37" s="26" t="s">
        <v>74</v>
      </c>
      <c r="U37" s="101" t="s">
        <v>75</v>
      </c>
      <c r="V37" s="138" t="s">
        <v>76</v>
      </c>
      <c r="W37" s="140"/>
      <c r="X37" s="139"/>
      <c r="Y37" s="67" t="s">
        <v>83</v>
      </c>
      <c r="Z37" s="67" t="s">
        <v>84</v>
      </c>
    </row>
    <row r="38" spans="1:26" ht="18" customHeight="1" x14ac:dyDescent="0.15">
      <c r="A38" s="112"/>
      <c r="B38" s="185" t="s">
        <v>212</v>
      </c>
      <c r="C38" s="186"/>
      <c r="D38" s="186"/>
      <c r="E38" s="186"/>
      <c r="F38" s="187"/>
      <c r="G38" s="102">
        <v>2</v>
      </c>
      <c r="H38" s="102" t="s">
        <v>184</v>
      </c>
      <c r="I38" s="179" t="s">
        <v>185</v>
      </c>
      <c r="J38" s="180"/>
      <c r="K38" s="181"/>
      <c r="L38" s="102" t="s">
        <v>184</v>
      </c>
      <c r="M38" s="102" t="s">
        <v>184</v>
      </c>
      <c r="N38" s="145"/>
      <c r="O38" s="146"/>
      <c r="P38" s="146"/>
      <c r="Q38" s="146"/>
      <c r="R38" s="146"/>
      <c r="S38" s="147"/>
      <c r="T38" s="102"/>
      <c r="U38" s="102"/>
      <c r="V38" s="179"/>
      <c r="W38" s="180"/>
      <c r="X38" s="181"/>
      <c r="Y38" s="102"/>
      <c r="Z38" s="102"/>
    </row>
    <row r="39" spans="1:26" ht="18" customHeight="1" x14ac:dyDescent="0.15">
      <c r="A39" s="112"/>
      <c r="B39" s="188" t="s">
        <v>215</v>
      </c>
      <c r="C39" s="189"/>
      <c r="D39" s="189"/>
      <c r="E39" s="189"/>
      <c r="F39" s="190"/>
      <c r="G39" s="103">
        <v>2</v>
      </c>
      <c r="H39" s="103" t="s">
        <v>184</v>
      </c>
      <c r="I39" s="182" t="s">
        <v>185</v>
      </c>
      <c r="J39" s="183"/>
      <c r="K39" s="184"/>
      <c r="L39" s="103" t="s">
        <v>184</v>
      </c>
      <c r="M39" s="103" t="s">
        <v>184</v>
      </c>
      <c r="N39" s="154"/>
      <c r="O39" s="155"/>
      <c r="P39" s="155"/>
      <c r="Q39" s="155"/>
      <c r="R39" s="155"/>
      <c r="S39" s="156"/>
      <c r="T39" s="103"/>
      <c r="U39" s="103"/>
      <c r="V39" s="182"/>
      <c r="W39" s="183"/>
      <c r="X39" s="184"/>
      <c r="Y39" s="103"/>
      <c r="Z39" s="103"/>
    </row>
    <row r="40" spans="1:26" ht="18" customHeight="1" x14ac:dyDescent="0.15">
      <c r="A40" s="112"/>
      <c r="B40" s="188" t="s">
        <v>214</v>
      </c>
      <c r="C40" s="189"/>
      <c r="D40" s="189"/>
      <c r="E40" s="189"/>
      <c r="F40" s="190"/>
      <c r="G40" s="103">
        <v>2</v>
      </c>
      <c r="H40" s="103" t="s">
        <v>184</v>
      </c>
      <c r="I40" s="182" t="s">
        <v>185</v>
      </c>
      <c r="J40" s="183"/>
      <c r="K40" s="184"/>
      <c r="L40" s="103" t="s">
        <v>184</v>
      </c>
      <c r="M40" s="103" t="s">
        <v>184</v>
      </c>
      <c r="N40" s="154"/>
      <c r="O40" s="155"/>
      <c r="P40" s="155"/>
      <c r="Q40" s="155"/>
      <c r="R40" s="155"/>
      <c r="S40" s="156"/>
      <c r="T40" s="103"/>
      <c r="U40" s="103"/>
      <c r="V40" s="182"/>
      <c r="W40" s="183"/>
      <c r="X40" s="184"/>
      <c r="Y40" s="103"/>
      <c r="Z40" s="103"/>
    </row>
    <row r="41" spans="1:26" ht="18" customHeight="1" x14ac:dyDescent="0.15">
      <c r="A41" s="112"/>
      <c r="B41" s="188"/>
      <c r="C41" s="189"/>
      <c r="D41" s="189"/>
      <c r="E41" s="189"/>
      <c r="F41" s="190"/>
      <c r="G41" s="103"/>
      <c r="H41" s="103"/>
      <c r="I41" s="182"/>
      <c r="J41" s="183"/>
      <c r="K41" s="184"/>
      <c r="L41" s="103"/>
      <c r="M41" s="103"/>
      <c r="N41" s="154"/>
      <c r="O41" s="155"/>
      <c r="P41" s="155"/>
      <c r="Q41" s="155"/>
      <c r="R41" s="155"/>
      <c r="S41" s="156"/>
      <c r="T41" s="103"/>
      <c r="U41" s="103"/>
      <c r="V41" s="182"/>
      <c r="W41" s="183"/>
      <c r="X41" s="184"/>
      <c r="Y41" s="103"/>
      <c r="Z41" s="103"/>
    </row>
    <row r="42" spans="1:26" ht="18" customHeight="1" x14ac:dyDescent="0.15">
      <c r="A42" s="112"/>
      <c r="B42" s="188"/>
      <c r="C42" s="189"/>
      <c r="D42" s="189"/>
      <c r="E42" s="189"/>
      <c r="F42" s="190"/>
      <c r="G42" s="103"/>
      <c r="H42" s="103"/>
      <c r="I42" s="182"/>
      <c r="J42" s="183"/>
      <c r="K42" s="184"/>
      <c r="L42" s="103"/>
      <c r="M42" s="103"/>
      <c r="N42" s="154"/>
      <c r="O42" s="155"/>
      <c r="P42" s="155"/>
      <c r="Q42" s="155"/>
      <c r="R42" s="155"/>
      <c r="S42" s="156"/>
      <c r="T42" s="103"/>
      <c r="U42" s="103"/>
      <c r="V42" s="182"/>
      <c r="W42" s="183"/>
      <c r="X42" s="184"/>
      <c r="Y42" s="103"/>
      <c r="Z42" s="103"/>
    </row>
    <row r="43" spans="1:26" ht="18" customHeight="1" x14ac:dyDescent="0.15">
      <c r="A43" s="112"/>
      <c r="B43" s="188"/>
      <c r="C43" s="189"/>
      <c r="D43" s="189"/>
      <c r="E43" s="189"/>
      <c r="F43" s="190"/>
      <c r="G43" s="103"/>
      <c r="H43" s="103"/>
      <c r="I43" s="182"/>
      <c r="J43" s="183"/>
      <c r="K43" s="184"/>
      <c r="L43" s="103"/>
      <c r="M43" s="103"/>
      <c r="N43" s="154"/>
      <c r="O43" s="155"/>
      <c r="P43" s="155"/>
      <c r="Q43" s="155"/>
      <c r="R43" s="155"/>
      <c r="S43" s="156"/>
      <c r="T43" s="103"/>
      <c r="U43" s="103"/>
      <c r="V43" s="182"/>
      <c r="W43" s="183"/>
      <c r="X43" s="184"/>
      <c r="Y43" s="103"/>
      <c r="Z43" s="103"/>
    </row>
    <row r="44" spans="1:26" ht="18" customHeight="1" x14ac:dyDescent="0.15">
      <c r="A44" s="112"/>
      <c r="B44" s="195"/>
      <c r="C44" s="196"/>
      <c r="D44" s="196"/>
      <c r="E44" s="196"/>
      <c r="F44" s="197"/>
      <c r="G44" s="104"/>
      <c r="H44" s="104"/>
      <c r="I44" s="191"/>
      <c r="J44" s="192"/>
      <c r="K44" s="193"/>
      <c r="L44" s="109"/>
      <c r="M44" s="109"/>
      <c r="N44" s="220"/>
      <c r="O44" s="221"/>
      <c r="P44" s="221"/>
      <c r="Q44" s="221"/>
      <c r="R44" s="221"/>
      <c r="S44" s="222"/>
      <c r="T44" s="104"/>
      <c r="U44" s="104"/>
      <c r="V44" s="191"/>
      <c r="W44" s="192"/>
      <c r="X44" s="193"/>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4" t="s">
        <v>85</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15">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15">
      <c r="A48" s="14"/>
      <c r="B48" s="138" t="s">
        <v>73</v>
      </c>
      <c r="C48" s="140"/>
      <c r="D48" s="140"/>
      <c r="E48" s="140"/>
      <c r="F48" s="139"/>
      <c r="G48" s="26" t="s">
        <v>74</v>
      </c>
      <c r="H48" s="101" t="s">
        <v>75</v>
      </c>
      <c r="I48" s="138" t="s">
        <v>76</v>
      </c>
      <c r="J48" s="140"/>
      <c r="K48" s="139"/>
      <c r="L48" s="67" t="s">
        <v>86</v>
      </c>
      <c r="M48" s="67" t="s">
        <v>87</v>
      </c>
      <c r="N48" s="138" t="s">
        <v>73</v>
      </c>
      <c r="O48" s="140"/>
      <c r="P48" s="140"/>
      <c r="Q48" s="140"/>
      <c r="R48" s="140"/>
      <c r="S48" s="139"/>
      <c r="T48" s="26" t="s">
        <v>74</v>
      </c>
      <c r="U48" s="101" t="s">
        <v>75</v>
      </c>
      <c r="V48" s="138" t="s">
        <v>76</v>
      </c>
      <c r="W48" s="140"/>
      <c r="X48" s="139"/>
      <c r="Y48" s="67" t="s">
        <v>86</v>
      </c>
      <c r="Z48" s="67" t="s">
        <v>87</v>
      </c>
    </row>
    <row r="49" spans="1:26" ht="18" customHeight="1" x14ac:dyDescent="0.15">
      <c r="A49" s="112"/>
      <c r="B49" s="185" t="s">
        <v>209</v>
      </c>
      <c r="C49" s="186"/>
      <c r="D49" s="186"/>
      <c r="E49" s="186"/>
      <c r="F49" s="187"/>
      <c r="G49" s="102">
        <v>2</v>
      </c>
      <c r="H49" s="102" t="s">
        <v>184</v>
      </c>
      <c r="I49" s="179" t="s">
        <v>185</v>
      </c>
      <c r="J49" s="180"/>
      <c r="K49" s="181"/>
      <c r="L49" s="102" t="s">
        <v>184</v>
      </c>
      <c r="M49" s="102" t="s">
        <v>184</v>
      </c>
      <c r="N49" s="145"/>
      <c r="O49" s="146"/>
      <c r="P49" s="146"/>
      <c r="Q49" s="146"/>
      <c r="R49" s="146"/>
      <c r="S49" s="147"/>
      <c r="T49" s="102"/>
      <c r="U49" s="102"/>
      <c r="V49" s="179"/>
      <c r="W49" s="180"/>
      <c r="X49" s="181"/>
      <c r="Y49" s="102"/>
      <c r="Z49" s="102"/>
    </row>
    <row r="50" spans="1:26" ht="18" customHeight="1" x14ac:dyDescent="0.15">
      <c r="A50" s="112"/>
      <c r="B50" s="188" t="s">
        <v>216</v>
      </c>
      <c r="C50" s="189"/>
      <c r="D50" s="189"/>
      <c r="E50" s="189"/>
      <c r="F50" s="190"/>
      <c r="G50" s="103">
        <v>2</v>
      </c>
      <c r="H50" s="103" t="s">
        <v>184</v>
      </c>
      <c r="I50" s="182" t="s">
        <v>185</v>
      </c>
      <c r="J50" s="183"/>
      <c r="K50" s="184"/>
      <c r="L50" s="103" t="s">
        <v>184</v>
      </c>
      <c r="M50" s="103" t="s">
        <v>184</v>
      </c>
      <c r="N50" s="154"/>
      <c r="O50" s="155"/>
      <c r="P50" s="155"/>
      <c r="Q50" s="155"/>
      <c r="R50" s="155"/>
      <c r="S50" s="156"/>
      <c r="T50" s="103"/>
      <c r="U50" s="103"/>
      <c r="V50" s="182"/>
      <c r="W50" s="183"/>
      <c r="X50" s="184"/>
      <c r="Y50" s="103"/>
      <c r="Z50" s="103"/>
    </row>
    <row r="51" spans="1:26" ht="18" customHeight="1" x14ac:dyDescent="0.15">
      <c r="A51" s="112"/>
      <c r="B51" s="188" t="s">
        <v>217</v>
      </c>
      <c r="C51" s="189"/>
      <c r="D51" s="189"/>
      <c r="E51" s="189"/>
      <c r="F51" s="190"/>
      <c r="G51" s="103">
        <v>2</v>
      </c>
      <c r="H51" s="103" t="s">
        <v>184</v>
      </c>
      <c r="I51" s="182" t="s">
        <v>185</v>
      </c>
      <c r="J51" s="183"/>
      <c r="K51" s="184"/>
      <c r="L51" s="103" t="s">
        <v>184</v>
      </c>
      <c r="M51" s="103" t="s">
        <v>184</v>
      </c>
      <c r="N51" s="154"/>
      <c r="O51" s="155"/>
      <c r="P51" s="155"/>
      <c r="Q51" s="155"/>
      <c r="R51" s="155"/>
      <c r="S51" s="156"/>
      <c r="T51" s="103"/>
      <c r="U51" s="103"/>
      <c r="V51" s="182"/>
      <c r="W51" s="183"/>
      <c r="X51" s="184"/>
      <c r="Y51" s="103"/>
      <c r="Z51" s="103"/>
    </row>
    <row r="52" spans="1:26" ht="18" customHeight="1" x14ac:dyDescent="0.15">
      <c r="A52" s="112"/>
      <c r="B52" s="188"/>
      <c r="C52" s="189"/>
      <c r="D52" s="189"/>
      <c r="E52" s="189"/>
      <c r="F52" s="190"/>
      <c r="G52" s="103"/>
      <c r="H52" s="103"/>
      <c r="I52" s="182"/>
      <c r="J52" s="183"/>
      <c r="K52" s="184"/>
      <c r="L52" s="103"/>
      <c r="M52" s="103"/>
      <c r="N52" s="154"/>
      <c r="O52" s="155"/>
      <c r="P52" s="155"/>
      <c r="Q52" s="155"/>
      <c r="R52" s="155"/>
      <c r="S52" s="156"/>
      <c r="T52" s="103"/>
      <c r="U52" s="103"/>
      <c r="V52" s="182"/>
      <c r="W52" s="183"/>
      <c r="X52" s="184"/>
      <c r="Y52" s="103"/>
      <c r="Z52" s="103"/>
    </row>
    <row r="53" spans="1:26" ht="18" customHeight="1" x14ac:dyDescent="0.15">
      <c r="A53" s="112"/>
      <c r="B53" s="188"/>
      <c r="C53" s="189"/>
      <c r="D53" s="189"/>
      <c r="E53" s="189"/>
      <c r="F53" s="190"/>
      <c r="G53" s="103"/>
      <c r="H53" s="103"/>
      <c r="I53" s="182"/>
      <c r="J53" s="183"/>
      <c r="K53" s="184"/>
      <c r="L53" s="103"/>
      <c r="M53" s="103"/>
      <c r="N53" s="154"/>
      <c r="O53" s="155"/>
      <c r="P53" s="155"/>
      <c r="Q53" s="155"/>
      <c r="R53" s="155"/>
      <c r="S53" s="156"/>
      <c r="T53" s="103"/>
      <c r="U53" s="103"/>
      <c r="V53" s="182"/>
      <c r="W53" s="183"/>
      <c r="X53" s="184"/>
      <c r="Y53" s="103"/>
      <c r="Z53" s="103"/>
    </row>
    <row r="54" spans="1:26" ht="18" customHeight="1" x14ac:dyDescent="0.15">
      <c r="A54" s="112"/>
      <c r="B54" s="188"/>
      <c r="C54" s="189"/>
      <c r="D54" s="189"/>
      <c r="E54" s="189"/>
      <c r="F54" s="190"/>
      <c r="G54" s="103"/>
      <c r="H54" s="103"/>
      <c r="I54" s="182"/>
      <c r="J54" s="183"/>
      <c r="K54" s="184"/>
      <c r="L54" s="103"/>
      <c r="M54" s="103"/>
      <c r="N54" s="154"/>
      <c r="O54" s="155"/>
      <c r="P54" s="155"/>
      <c r="Q54" s="155"/>
      <c r="R54" s="155"/>
      <c r="S54" s="156"/>
      <c r="T54" s="103"/>
      <c r="U54" s="103"/>
      <c r="V54" s="182"/>
      <c r="W54" s="183"/>
      <c r="X54" s="184"/>
      <c r="Y54" s="103"/>
      <c r="Z54" s="103"/>
    </row>
    <row r="55" spans="1:26" ht="18" customHeight="1" x14ac:dyDescent="0.15">
      <c r="A55" s="112"/>
      <c r="B55" s="195"/>
      <c r="C55" s="196"/>
      <c r="D55" s="196"/>
      <c r="E55" s="196"/>
      <c r="F55" s="197"/>
      <c r="G55" s="104"/>
      <c r="H55" s="104"/>
      <c r="I55" s="191"/>
      <c r="J55" s="192"/>
      <c r="K55" s="193"/>
      <c r="L55" s="109"/>
      <c r="M55" s="109"/>
      <c r="N55" s="220"/>
      <c r="O55" s="221"/>
      <c r="P55" s="221"/>
      <c r="Q55" s="221"/>
      <c r="R55" s="221"/>
      <c r="S55" s="222"/>
      <c r="T55" s="104"/>
      <c r="U55" s="104"/>
      <c r="V55" s="191"/>
      <c r="W55" s="192"/>
      <c r="X55" s="193"/>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4" t="s">
        <v>88</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1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15">
      <c r="A59" s="14"/>
      <c r="B59" s="138" t="s">
        <v>73</v>
      </c>
      <c r="C59" s="140"/>
      <c r="D59" s="140"/>
      <c r="E59" s="139"/>
      <c r="F59" s="26" t="s">
        <v>74</v>
      </c>
      <c r="G59" s="101" t="s">
        <v>75</v>
      </c>
      <c r="H59" s="22" t="s">
        <v>76</v>
      </c>
      <c r="I59" s="98"/>
      <c r="J59" s="23"/>
      <c r="K59" s="67" t="s">
        <v>89</v>
      </c>
      <c r="L59" s="67" t="s">
        <v>90</v>
      </c>
      <c r="M59" s="67" t="s">
        <v>91</v>
      </c>
      <c r="N59" s="138" t="s">
        <v>73</v>
      </c>
      <c r="O59" s="140"/>
      <c r="P59" s="140"/>
      <c r="Q59" s="140"/>
      <c r="R59" s="139"/>
      <c r="S59" s="26" t="s">
        <v>74</v>
      </c>
      <c r="T59" s="101" t="s">
        <v>75</v>
      </c>
      <c r="U59" s="22" t="s">
        <v>76</v>
      </c>
      <c r="V59" s="98"/>
      <c r="W59" s="23"/>
      <c r="X59" s="67" t="s">
        <v>89</v>
      </c>
      <c r="Y59" s="67" t="s">
        <v>90</v>
      </c>
      <c r="Z59" s="67" t="s">
        <v>91</v>
      </c>
    </row>
    <row r="60" spans="1:26" ht="18" customHeight="1" x14ac:dyDescent="0.15">
      <c r="A60" s="112"/>
      <c r="B60" s="145" t="s">
        <v>218</v>
      </c>
      <c r="C60" s="146"/>
      <c r="D60" s="146"/>
      <c r="E60" s="147"/>
      <c r="F60" s="102">
        <v>2</v>
      </c>
      <c r="G60" s="102" t="s">
        <v>184</v>
      </c>
      <c r="H60" s="179" t="s">
        <v>185</v>
      </c>
      <c r="I60" s="180"/>
      <c r="J60" s="181"/>
      <c r="K60" s="116" t="s">
        <v>195</v>
      </c>
      <c r="L60" s="102" t="s">
        <v>184</v>
      </c>
      <c r="M60" s="102" t="s">
        <v>184</v>
      </c>
      <c r="N60" s="145"/>
      <c r="O60" s="146"/>
      <c r="P60" s="146"/>
      <c r="Q60" s="146"/>
      <c r="R60" s="147"/>
      <c r="S60" s="102"/>
      <c r="T60" s="102"/>
      <c r="U60" s="179"/>
      <c r="V60" s="180"/>
      <c r="W60" s="181"/>
      <c r="X60" s="116"/>
      <c r="Y60" s="102"/>
      <c r="Z60" s="102"/>
    </row>
    <row r="61" spans="1:26" ht="18" customHeight="1" x14ac:dyDescent="0.15">
      <c r="A61" s="112"/>
      <c r="B61" s="154" t="s">
        <v>219</v>
      </c>
      <c r="C61" s="155"/>
      <c r="D61" s="155"/>
      <c r="E61" s="156"/>
      <c r="F61" s="103">
        <v>2</v>
      </c>
      <c r="G61" s="103" t="s">
        <v>184</v>
      </c>
      <c r="H61" s="182" t="s">
        <v>185</v>
      </c>
      <c r="I61" s="183"/>
      <c r="J61" s="184"/>
      <c r="K61" s="114" t="s">
        <v>195</v>
      </c>
      <c r="L61" s="103" t="s">
        <v>184</v>
      </c>
      <c r="M61" s="103" t="s">
        <v>184</v>
      </c>
      <c r="N61" s="154"/>
      <c r="O61" s="155"/>
      <c r="P61" s="155"/>
      <c r="Q61" s="155"/>
      <c r="R61" s="156"/>
      <c r="S61" s="103"/>
      <c r="T61" s="103"/>
      <c r="U61" s="182"/>
      <c r="V61" s="183"/>
      <c r="W61" s="184"/>
      <c r="X61" s="114"/>
      <c r="Y61" s="103"/>
      <c r="Z61" s="103"/>
    </row>
    <row r="62" spans="1:26" ht="18" customHeight="1" x14ac:dyDescent="0.15">
      <c r="A62" s="112"/>
      <c r="B62" s="154" t="s">
        <v>220</v>
      </c>
      <c r="C62" s="155"/>
      <c r="D62" s="155"/>
      <c r="E62" s="156"/>
      <c r="F62" s="103">
        <v>2</v>
      </c>
      <c r="G62" s="103" t="s">
        <v>184</v>
      </c>
      <c r="H62" s="182" t="s">
        <v>185</v>
      </c>
      <c r="I62" s="183"/>
      <c r="J62" s="184"/>
      <c r="K62" s="114" t="s">
        <v>195</v>
      </c>
      <c r="L62" s="103" t="s">
        <v>184</v>
      </c>
      <c r="M62" s="103" t="s">
        <v>184</v>
      </c>
      <c r="N62" s="154"/>
      <c r="O62" s="155"/>
      <c r="P62" s="155"/>
      <c r="Q62" s="155"/>
      <c r="R62" s="156"/>
      <c r="S62" s="103"/>
      <c r="T62" s="103"/>
      <c r="U62" s="182"/>
      <c r="V62" s="183"/>
      <c r="W62" s="184"/>
      <c r="X62" s="114"/>
      <c r="Y62" s="103"/>
      <c r="Z62" s="103"/>
    </row>
    <row r="63" spans="1:26" ht="18" customHeight="1" x14ac:dyDescent="0.15">
      <c r="A63" s="112"/>
      <c r="B63" s="154"/>
      <c r="C63" s="155"/>
      <c r="D63" s="155"/>
      <c r="E63" s="156"/>
      <c r="F63" s="103"/>
      <c r="G63" s="103"/>
      <c r="H63" s="182"/>
      <c r="I63" s="183"/>
      <c r="J63" s="184"/>
      <c r="K63" s="114"/>
      <c r="L63" s="103"/>
      <c r="M63" s="103"/>
      <c r="N63" s="154"/>
      <c r="O63" s="155"/>
      <c r="P63" s="155"/>
      <c r="Q63" s="155"/>
      <c r="R63" s="156"/>
      <c r="S63" s="103"/>
      <c r="T63" s="103"/>
      <c r="U63" s="182"/>
      <c r="V63" s="183"/>
      <c r="W63" s="184"/>
      <c r="X63" s="114"/>
      <c r="Y63" s="103"/>
      <c r="Z63" s="103"/>
    </row>
    <row r="64" spans="1:26" ht="18" customHeight="1" x14ac:dyDescent="0.15">
      <c r="A64" s="112"/>
      <c r="B64" s="154"/>
      <c r="C64" s="155"/>
      <c r="D64" s="155"/>
      <c r="E64" s="156"/>
      <c r="F64" s="103"/>
      <c r="G64" s="103"/>
      <c r="H64" s="182"/>
      <c r="I64" s="183"/>
      <c r="J64" s="184"/>
      <c r="K64" s="114"/>
      <c r="L64" s="103"/>
      <c r="M64" s="103"/>
      <c r="N64" s="154"/>
      <c r="O64" s="155"/>
      <c r="P64" s="155"/>
      <c r="Q64" s="155"/>
      <c r="R64" s="156"/>
      <c r="S64" s="103"/>
      <c r="T64" s="103"/>
      <c r="U64" s="182"/>
      <c r="V64" s="183"/>
      <c r="W64" s="184"/>
      <c r="X64" s="114"/>
      <c r="Y64" s="103"/>
      <c r="Z64" s="103"/>
    </row>
    <row r="65" spans="1:26" ht="18" customHeight="1" x14ac:dyDescent="0.15">
      <c r="A65" s="112"/>
      <c r="B65" s="154"/>
      <c r="C65" s="155"/>
      <c r="D65" s="155"/>
      <c r="E65" s="156"/>
      <c r="F65" s="103"/>
      <c r="G65" s="103"/>
      <c r="H65" s="182"/>
      <c r="I65" s="183"/>
      <c r="J65" s="184"/>
      <c r="K65" s="114"/>
      <c r="L65" s="103"/>
      <c r="M65" s="103"/>
      <c r="N65" s="154"/>
      <c r="O65" s="155"/>
      <c r="P65" s="155"/>
      <c r="Q65" s="155"/>
      <c r="R65" s="156"/>
      <c r="S65" s="103"/>
      <c r="T65" s="103"/>
      <c r="U65" s="182"/>
      <c r="V65" s="183"/>
      <c r="W65" s="184"/>
      <c r="X65" s="114"/>
      <c r="Y65" s="103"/>
      <c r="Z65" s="103"/>
    </row>
    <row r="66" spans="1:26" ht="18" customHeight="1" x14ac:dyDescent="0.15">
      <c r="A66" s="112"/>
      <c r="B66" s="220"/>
      <c r="C66" s="221"/>
      <c r="D66" s="221"/>
      <c r="E66" s="222"/>
      <c r="F66" s="104"/>
      <c r="G66" s="104"/>
      <c r="H66" s="191"/>
      <c r="I66" s="192"/>
      <c r="J66" s="193"/>
      <c r="K66" s="115"/>
      <c r="L66" s="109"/>
      <c r="M66" s="109"/>
      <c r="N66" s="220"/>
      <c r="O66" s="221"/>
      <c r="P66" s="221"/>
      <c r="Q66" s="221"/>
      <c r="R66" s="222"/>
      <c r="S66" s="104"/>
      <c r="T66" s="104"/>
      <c r="U66" s="191"/>
      <c r="V66" s="192"/>
      <c r="W66" s="193"/>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92</v>
      </c>
      <c r="B68" s="14"/>
      <c r="C68" s="14"/>
      <c r="D68" s="14"/>
      <c r="E68" s="14"/>
      <c r="F68" s="14"/>
      <c r="G68" s="14"/>
      <c r="H68" s="14"/>
      <c r="I68" s="14"/>
      <c r="J68" s="14"/>
      <c r="K68" s="14"/>
      <c r="L68" s="112"/>
      <c r="M68" s="112"/>
      <c r="N68" s="112"/>
      <c r="O68" s="112"/>
      <c r="P68" s="112"/>
      <c r="Q68" s="112"/>
      <c r="R68" s="112"/>
      <c r="S68" s="112"/>
      <c r="T68" s="112"/>
      <c r="U68" s="112"/>
      <c r="V68" s="112"/>
      <c r="W68" s="112"/>
      <c r="X68" s="112"/>
      <c r="Y68" s="112"/>
      <c r="Z68" s="112"/>
    </row>
    <row r="69" spans="1:26" ht="18" customHeight="1" x14ac:dyDescent="0.15">
      <c r="A69" s="14"/>
      <c r="B69" s="138" t="s">
        <v>73</v>
      </c>
      <c r="C69" s="140"/>
      <c r="D69" s="140"/>
      <c r="E69" s="140"/>
      <c r="F69" s="139"/>
      <c r="G69" s="138" t="s">
        <v>93</v>
      </c>
      <c r="H69" s="140"/>
      <c r="I69" s="140"/>
      <c r="J69" s="140"/>
      <c r="K69" s="140"/>
      <c r="L69" s="140"/>
      <c r="M69" s="139"/>
      <c r="N69" s="226" t="s">
        <v>73</v>
      </c>
      <c r="O69" s="227"/>
      <c r="P69" s="227"/>
      <c r="Q69" s="227"/>
      <c r="R69" s="227"/>
      <c r="S69" s="228"/>
      <c r="T69" s="138" t="s">
        <v>93</v>
      </c>
      <c r="U69" s="140"/>
      <c r="V69" s="140"/>
      <c r="W69" s="140"/>
      <c r="X69" s="140"/>
      <c r="Y69" s="140"/>
      <c r="Z69" s="139"/>
    </row>
    <row r="70" spans="1:26" ht="18" customHeight="1" x14ac:dyDescent="0.15">
      <c r="A70" s="112"/>
      <c r="B70" s="145" t="s">
        <v>200</v>
      </c>
      <c r="C70" s="146"/>
      <c r="D70" s="146"/>
      <c r="E70" s="146"/>
      <c r="F70" s="147"/>
      <c r="G70" s="148"/>
      <c r="H70" s="149"/>
      <c r="I70" s="149"/>
      <c r="J70" s="149"/>
      <c r="K70" s="149"/>
      <c r="L70" s="149"/>
      <c r="M70" s="150"/>
      <c r="N70" s="145"/>
      <c r="O70" s="146"/>
      <c r="P70" s="146"/>
      <c r="Q70" s="146"/>
      <c r="R70" s="146"/>
      <c r="S70" s="147"/>
      <c r="T70" s="148"/>
      <c r="U70" s="149"/>
      <c r="V70" s="149"/>
      <c r="W70" s="149"/>
      <c r="X70" s="149"/>
      <c r="Y70" s="149"/>
      <c r="Z70" s="150"/>
    </row>
    <row r="71" spans="1:26" ht="18" customHeight="1" x14ac:dyDescent="0.15">
      <c r="A71" s="112"/>
      <c r="B71" s="154" t="s">
        <v>201</v>
      </c>
      <c r="C71" s="155"/>
      <c r="D71" s="155"/>
      <c r="E71" s="155"/>
      <c r="F71" s="156"/>
      <c r="G71" s="157"/>
      <c r="H71" s="158"/>
      <c r="I71" s="158"/>
      <c r="J71" s="158"/>
      <c r="K71" s="158"/>
      <c r="L71" s="158"/>
      <c r="M71" s="159"/>
      <c r="N71" s="154"/>
      <c r="O71" s="155"/>
      <c r="P71" s="155"/>
      <c r="Q71" s="155"/>
      <c r="R71" s="155"/>
      <c r="S71" s="156"/>
      <c r="T71" s="157"/>
      <c r="U71" s="158"/>
      <c r="V71" s="158"/>
      <c r="W71" s="158"/>
      <c r="X71" s="158"/>
      <c r="Y71" s="158"/>
      <c r="Z71" s="159"/>
    </row>
    <row r="72" spans="1:26" ht="18" customHeight="1" x14ac:dyDescent="0.15">
      <c r="A72" s="112"/>
      <c r="B72" s="154" t="s">
        <v>202</v>
      </c>
      <c r="C72" s="155"/>
      <c r="D72" s="155"/>
      <c r="E72" s="155"/>
      <c r="F72" s="156"/>
      <c r="G72" s="157"/>
      <c r="H72" s="158"/>
      <c r="I72" s="158"/>
      <c r="J72" s="158"/>
      <c r="K72" s="158"/>
      <c r="L72" s="158"/>
      <c r="M72" s="159"/>
      <c r="N72" s="154"/>
      <c r="O72" s="155"/>
      <c r="P72" s="155"/>
      <c r="Q72" s="155"/>
      <c r="R72" s="155"/>
      <c r="S72" s="156"/>
      <c r="T72" s="157"/>
      <c r="U72" s="158"/>
      <c r="V72" s="158"/>
      <c r="W72" s="158"/>
      <c r="X72" s="158"/>
      <c r="Y72" s="158"/>
      <c r="Z72" s="159"/>
    </row>
    <row r="73" spans="1:26" ht="18" customHeight="1" x14ac:dyDescent="0.15">
      <c r="A73" s="112"/>
      <c r="B73" s="154"/>
      <c r="C73" s="155"/>
      <c r="D73" s="155"/>
      <c r="E73" s="155"/>
      <c r="F73" s="156"/>
      <c r="G73" s="157"/>
      <c r="H73" s="158"/>
      <c r="I73" s="158"/>
      <c r="J73" s="158"/>
      <c r="K73" s="158"/>
      <c r="L73" s="158"/>
      <c r="M73" s="159"/>
      <c r="N73" s="154"/>
      <c r="O73" s="155"/>
      <c r="P73" s="155"/>
      <c r="Q73" s="155"/>
      <c r="R73" s="155"/>
      <c r="S73" s="156"/>
      <c r="T73" s="157"/>
      <c r="U73" s="158"/>
      <c r="V73" s="158"/>
      <c r="W73" s="158"/>
      <c r="X73" s="158"/>
      <c r="Y73" s="158"/>
      <c r="Z73" s="159"/>
    </row>
    <row r="74" spans="1:26" ht="18" customHeight="1" x14ac:dyDescent="0.15">
      <c r="A74" s="112"/>
      <c r="B74" s="154"/>
      <c r="C74" s="155"/>
      <c r="D74" s="155"/>
      <c r="E74" s="155"/>
      <c r="F74" s="156"/>
      <c r="G74" s="157"/>
      <c r="H74" s="158"/>
      <c r="I74" s="158"/>
      <c r="J74" s="158"/>
      <c r="K74" s="158"/>
      <c r="L74" s="158"/>
      <c r="M74" s="159"/>
      <c r="N74" s="154"/>
      <c r="O74" s="155"/>
      <c r="P74" s="155"/>
      <c r="Q74" s="155"/>
      <c r="R74" s="155"/>
      <c r="S74" s="156"/>
      <c r="T74" s="157"/>
      <c r="U74" s="158"/>
      <c r="V74" s="158"/>
      <c r="W74" s="158"/>
      <c r="X74" s="158"/>
      <c r="Y74" s="158"/>
      <c r="Z74" s="159"/>
    </row>
    <row r="75" spans="1:26" ht="18" customHeight="1" x14ac:dyDescent="0.15">
      <c r="A75" s="112"/>
      <c r="B75" s="154"/>
      <c r="C75" s="155"/>
      <c r="D75" s="155"/>
      <c r="E75" s="155"/>
      <c r="F75" s="156"/>
      <c r="G75" s="157"/>
      <c r="H75" s="158"/>
      <c r="I75" s="158"/>
      <c r="J75" s="158"/>
      <c r="K75" s="158"/>
      <c r="L75" s="158"/>
      <c r="M75" s="159"/>
      <c r="N75" s="154"/>
      <c r="O75" s="155"/>
      <c r="P75" s="155"/>
      <c r="Q75" s="155"/>
      <c r="R75" s="155"/>
      <c r="S75" s="156"/>
      <c r="T75" s="157"/>
      <c r="U75" s="158"/>
      <c r="V75" s="158"/>
      <c r="W75" s="158"/>
      <c r="X75" s="158"/>
      <c r="Y75" s="158"/>
      <c r="Z75" s="159"/>
    </row>
    <row r="76" spans="1:26" ht="18" customHeight="1" x14ac:dyDescent="0.15">
      <c r="A76" s="112"/>
      <c r="B76" s="220"/>
      <c r="C76" s="221"/>
      <c r="D76" s="221"/>
      <c r="E76" s="221"/>
      <c r="F76" s="222"/>
      <c r="G76" s="223"/>
      <c r="H76" s="224"/>
      <c r="I76" s="224"/>
      <c r="J76" s="224"/>
      <c r="K76" s="224"/>
      <c r="L76" s="224"/>
      <c r="M76" s="225"/>
      <c r="N76" s="220"/>
      <c r="O76" s="221"/>
      <c r="P76" s="221"/>
      <c r="Q76" s="221"/>
      <c r="R76" s="221"/>
      <c r="S76" s="222"/>
      <c r="T76" s="223"/>
      <c r="U76" s="224"/>
      <c r="V76" s="224"/>
      <c r="W76" s="224"/>
      <c r="X76" s="224"/>
      <c r="Y76" s="224"/>
      <c r="Z76" s="225"/>
    </row>
    <row r="77" spans="1:26" ht="18" customHeight="1" x14ac:dyDescent="0.15">
      <c r="A77" s="112"/>
      <c r="B77" s="113"/>
      <c r="C77" s="113"/>
      <c r="D77" s="113"/>
      <c r="E77" s="113"/>
      <c r="F77" s="113"/>
      <c r="G77" s="12"/>
      <c r="H77" s="12"/>
      <c r="I77" s="12"/>
      <c r="J77" s="12"/>
      <c r="K77" s="12"/>
      <c r="L77" s="12"/>
      <c r="M77" s="12"/>
      <c r="N77" s="113"/>
      <c r="O77" s="113"/>
      <c r="P77" s="113"/>
      <c r="Q77" s="113"/>
      <c r="R77" s="113"/>
      <c r="S77" s="113"/>
      <c r="T77" s="12"/>
      <c r="U77" s="12"/>
      <c r="V77" s="12"/>
      <c r="W77" s="12"/>
      <c r="X77" s="12"/>
      <c r="Y77" s="12"/>
      <c r="Z77" s="12"/>
    </row>
    <row r="78" spans="1:26" ht="18.75" customHeight="1" x14ac:dyDescent="0.15">
      <c r="A78" s="13" t="s">
        <v>94</v>
      </c>
    </row>
    <row r="79" spans="1:26" ht="18.75" customHeight="1" x14ac:dyDescent="0.15">
      <c r="B79" s="69" t="s">
        <v>95</v>
      </c>
      <c r="C79" s="70"/>
      <c r="D79" s="177" t="s">
        <v>96</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x14ac:dyDescent="0.15">
      <c r="B80" s="162" t="s">
        <v>97</v>
      </c>
      <c r="C80" s="76" t="s">
        <v>77</v>
      </c>
      <c r="D80" s="171" t="s">
        <v>221</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78" customHeight="1" x14ac:dyDescent="0.15">
      <c r="B81" s="163"/>
      <c r="C81" s="99" t="s">
        <v>98</v>
      </c>
      <c r="D81" s="208" t="s">
        <v>222</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160" t="s">
        <v>99</v>
      </c>
      <c r="C82" s="71" t="s">
        <v>80</v>
      </c>
      <c r="D82" s="211" t="s">
        <v>223</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161"/>
      <c r="C83" s="100" t="s">
        <v>81</v>
      </c>
      <c r="D83" s="217" t="s">
        <v>224</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66" customHeight="1" x14ac:dyDescent="0.15">
      <c r="B84" s="160" t="s">
        <v>100</v>
      </c>
      <c r="C84" s="71" t="s">
        <v>83</v>
      </c>
      <c r="D84" s="211" t="s">
        <v>225</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161"/>
      <c r="C85" s="73" t="s">
        <v>84</v>
      </c>
      <c r="D85" s="214" t="s">
        <v>225</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2" t="s">
        <v>101</v>
      </c>
      <c r="C86" s="76" t="s">
        <v>86</v>
      </c>
      <c r="D86" s="171" t="s">
        <v>226</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6" customHeight="1" x14ac:dyDescent="0.15">
      <c r="B87" s="170"/>
      <c r="C87" s="72" t="s">
        <v>87</v>
      </c>
      <c r="D87" s="174" t="s">
        <v>227</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6" customHeight="1" x14ac:dyDescent="0.15">
      <c r="B88" s="162" t="s">
        <v>102</v>
      </c>
      <c r="C88" s="71" t="s">
        <v>89</v>
      </c>
      <c r="D88" s="164" t="s">
        <v>228</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63"/>
      <c r="C89" s="72" t="s">
        <v>90</v>
      </c>
      <c r="D89" s="151" t="s">
        <v>229</v>
      </c>
      <c r="E89" s="152"/>
      <c r="F89" s="152"/>
      <c r="G89" s="152"/>
      <c r="H89" s="152"/>
      <c r="I89" s="152"/>
      <c r="J89" s="152"/>
      <c r="K89" s="152"/>
      <c r="L89" s="152"/>
      <c r="M89" s="152"/>
      <c r="N89" s="152"/>
      <c r="O89" s="152"/>
      <c r="P89" s="152"/>
      <c r="Q89" s="152"/>
      <c r="R89" s="152"/>
      <c r="S89" s="152"/>
      <c r="T89" s="152"/>
      <c r="U89" s="152"/>
      <c r="V89" s="152"/>
      <c r="W89" s="152"/>
      <c r="X89" s="152"/>
      <c r="Y89" s="152"/>
      <c r="Z89" s="153"/>
    </row>
    <row r="90" spans="1:26" ht="66" customHeight="1" x14ac:dyDescent="0.15">
      <c r="B90" s="161"/>
      <c r="C90" s="73" t="s">
        <v>91</v>
      </c>
      <c r="D90" s="167" t="s">
        <v>230</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103</v>
      </c>
    </row>
    <row r="93" spans="1:26" ht="18.75" customHeight="1" x14ac:dyDescent="0.15">
      <c r="B93" s="229" t="s">
        <v>203</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3" t="s">
        <v>104</v>
      </c>
    </row>
    <row r="98" spans="1:26" ht="15" customHeight="1" x14ac:dyDescent="0.15">
      <c r="B98" s="238" t="s">
        <v>183</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40"/>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A89B93D4-02C4-495D-A4A2-F18F1663BB1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500AA695-638D-46CB-861E-632E6CD9FF17}">
      <formula1>"学部・学科によって、修了要件は相違する,学部・学科によって、修了要件は相違しない"</formula1>
    </dataValidation>
    <dataValidation type="list" allowBlank="1" showInputMessage="1" showErrorMessage="1" sqref="Z23 Z34 D34:K34 D23:K23 V16:V22 I38:I44 V27:V33 I49:I55 V38:V44 I16:I22 V49:V55 I27:I33 U60:U66 H60:H66" xr:uid="{E53B5825-0397-4E10-8770-47BE190F5657}">
      <formula1>"全学開講,一部開講"</formula1>
    </dataValidation>
    <dataValidation type="list" allowBlank="1" showInputMessage="1" showErrorMessage="1" sqref="Y16:Z22 Y27:Z33 Y38:Z44 Y49:Z55 Y60:Z66 H27:H33 T60:T66 U16:U22 U27:U33 H16:H22 U38:U44 H49:H55 U49:U55 H38:H44 L16:M22 L27:M33 L38:M44 L49:M55 L60:M66 G60:G66" xr:uid="{FEE39626-131D-4FBE-B9CC-5CE01F56358E}">
      <formula1>"○"</formula1>
    </dataValidation>
  </dataValidations>
  <hyperlinks>
    <hyperlink ref="B98" r:id="rId1" xr:uid="{815EF956-ECF5-446B-96DC-76C099B4196A}"/>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4F49-2C7A-439B-A547-FA4B0DF52C45}">
  <dimension ref="A1:Z98"/>
  <sheetViews>
    <sheetView showZeros="0" view="pageBreakPreview" zoomScale="70" zoomScaleNormal="100" zoomScaleSheetLayoutView="7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1" t="s">
        <v>231</v>
      </c>
      <c r="X1" s="241"/>
      <c r="Y1" s="241"/>
      <c r="Z1" s="241"/>
    </row>
    <row r="2" spans="1:26" ht="18" customHeight="1" x14ac:dyDescent="0.15">
      <c r="A2" s="198" t="s">
        <v>69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112"/>
      <c r="C3" s="112"/>
      <c r="D3" s="112"/>
      <c r="E3" s="112"/>
      <c r="F3" s="112"/>
      <c r="G3" s="112"/>
      <c r="H3" s="112"/>
      <c r="I3" s="112"/>
      <c r="J3" s="112"/>
      <c r="K3" s="112"/>
      <c r="L3" s="112"/>
      <c r="M3" s="112"/>
      <c r="N3" s="112"/>
      <c r="O3" s="112"/>
      <c r="P3" s="112"/>
      <c r="Q3" s="112"/>
      <c r="R3" s="112"/>
      <c r="S3" s="112"/>
      <c r="T3" s="112"/>
      <c r="U3" s="112"/>
      <c r="V3" s="112"/>
      <c r="W3" s="112"/>
      <c r="X3" s="112"/>
      <c r="Y3" s="112"/>
      <c r="Z3" s="112"/>
    </row>
    <row r="4" spans="1:26" ht="18" customHeight="1" x14ac:dyDescent="0.15">
      <c r="A4" s="13" t="s">
        <v>70</v>
      </c>
      <c r="B4" s="112"/>
      <c r="C4" s="112"/>
      <c r="D4" s="112"/>
      <c r="E4" s="112"/>
      <c r="F4" s="112"/>
      <c r="G4" s="112"/>
      <c r="H4" s="14" t="s">
        <v>71</v>
      </c>
      <c r="I4" s="112"/>
      <c r="J4" s="112"/>
      <c r="K4" s="112"/>
      <c r="L4" s="112"/>
      <c r="M4" s="112"/>
      <c r="N4" s="112"/>
      <c r="O4" s="138" t="s">
        <v>207</v>
      </c>
      <c r="P4" s="140"/>
      <c r="Q4" s="140"/>
      <c r="R4" s="140"/>
      <c r="S4" s="140"/>
      <c r="T4" s="140"/>
      <c r="U4" s="140"/>
      <c r="V4" s="140"/>
      <c r="W4" s="140"/>
      <c r="X4" s="140"/>
      <c r="Y4" s="140"/>
      <c r="Z4" s="139"/>
    </row>
    <row r="5" spans="1:26" ht="6" customHeight="1" x14ac:dyDescent="0.15">
      <c r="B5" s="112"/>
      <c r="C5" s="112"/>
      <c r="D5" s="112"/>
      <c r="E5" s="112"/>
      <c r="F5" s="112"/>
      <c r="G5" s="112"/>
      <c r="H5" s="112"/>
      <c r="I5" s="112"/>
      <c r="J5" s="112"/>
      <c r="K5" s="112"/>
      <c r="L5" s="112"/>
      <c r="M5" s="112"/>
      <c r="N5" s="112"/>
      <c r="O5" s="15"/>
      <c r="P5" s="112"/>
      <c r="Q5" s="112"/>
      <c r="R5" s="112"/>
      <c r="S5" s="112"/>
      <c r="T5" s="112"/>
      <c r="U5" s="112"/>
      <c r="V5" s="112"/>
      <c r="W5" s="112"/>
      <c r="X5" s="112"/>
      <c r="Y5" s="112"/>
      <c r="Z5" s="112"/>
    </row>
    <row r="6" spans="1:26" ht="18" customHeight="1" x14ac:dyDescent="0.15">
      <c r="B6" s="199" t="s">
        <v>242</v>
      </c>
      <c r="C6" s="200"/>
      <c r="D6" s="200"/>
      <c r="E6" s="200"/>
      <c r="F6" s="200"/>
      <c r="G6" s="200"/>
      <c r="H6" s="200"/>
      <c r="I6" s="200"/>
      <c r="J6" s="200"/>
      <c r="K6" s="200"/>
      <c r="L6" s="200"/>
      <c r="M6" s="200"/>
      <c r="N6" s="200"/>
      <c r="O6" s="200"/>
      <c r="P6" s="200"/>
      <c r="Q6" s="200"/>
      <c r="R6" s="200"/>
      <c r="S6" s="200"/>
      <c r="T6" s="200"/>
      <c r="U6" s="200"/>
      <c r="V6" s="200"/>
      <c r="W6" s="200"/>
      <c r="X6" s="200"/>
      <c r="Y6" s="200"/>
      <c r="Z6" s="201"/>
    </row>
    <row r="7" spans="1:26" ht="18" customHeight="1" x14ac:dyDescent="0.15">
      <c r="B7" s="202"/>
      <c r="C7" s="203"/>
      <c r="D7" s="203"/>
      <c r="E7" s="203"/>
      <c r="F7" s="203"/>
      <c r="G7" s="203"/>
      <c r="H7" s="203"/>
      <c r="I7" s="203"/>
      <c r="J7" s="203"/>
      <c r="K7" s="203"/>
      <c r="L7" s="203"/>
      <c r="M7" s="203"/>
      <c r="N7" s="203"/>
      <c r="O7" s="203"/>
      <c r="P7" s="203"/>
      <c r="Q7" s="203"/>
      <c r="R7" s="203"/>
      <c r="S7" s="203"/>
      <c r="T7" s="203"/>
      <c r="U7" s="203"/>
      <c r="V7" s="203"/>
      <c r="W7" s="203"/>
      <c r="X7" s="203"/>
      <c r="Y7" s="203"/>
      <c r="Z7" s="204"/>
    </row>
    <row r="8" spans="1:26" ht="18" customHeight="1" x14ac:dyDescent="0.15">
      <c r="B8" s="202"/>
      <c r="C8" s="203"/>
      <c r="D8" s="203"/>
      <c r="E8" s="203"/>
      <c r="F8" s="203"/>
      <c r="G8" s="203"/>
      <c r="H8" s="203"/>
      <c r="I8" s="203"/>
      <c r="J8" s="203"/>
      <c r="K8" s="203"/>
      <c r="L8" s="203"/>
      <c r="M8" s="203"/>
      <c r="N8" s="203"/>
      <c r="O8" s="203"/>
      <c r="P8" s="203"/>
      <c r="Q8" s="203"/>
      <c r="R8" s="203"/>
      <c r="S8" s="203"/>
      <c r="T8" s="203"/>
      <c r="U8" s="203"/>
      <c r="V8" s="203"/>
      <c r="W8" s="203"/>
      <c r="X8" s="203"/>
      <c r="Y8" s="203"/>
      <c r="Z8" s="204"/>
    </row>
    <row r="9" spans="1:26" ht="18" customHeight="1" x14ac:dyDescent="0.15">
      <c r="B9" s="202"/>
      <c r="C9" s="203"/>
      <c r="D9" s="203"/>
      <c r="E9" s="203"/>
      <c r="F9" s="203"/>
      <c r="G9" s="203"/>
      <c r="H9" s="203"/>
      <c r="I9" s="203"/>
      <c r="J9" s="203"/>
      <c r="K9" s="203"/>
      <c r="L9" s="203"/>
      <c r="M9" s="203"/>
      <c r="N9" s="203"/>
      <c r="O9" s="203"/>
      <c r="P9" s="203"/>
      <c r="Q9" s="203"/>
      <c r="R9" s="203"/>
      <c r="S9" s="203"/>
      <c r="T9" s="203"/>
      <c r="U9" s="203"/>
      <c r="V9" s="203"/>
      <c r="W9" s="203"/>
      <c r="X9" s="203"/>
      <c r="Y9" s="203"/>
      <c r="Z9" s="204"/>
    </row>
    <row r="10" spans="1:26" ht="18" customHeight="1" x14ac:dyDescent="0.1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4"/>
    </row>
    <row r="11" spans="1:26" ht="18" customHeight="1" x14ac:dyDescent="0.15">
      <c r="B11" s="205"/>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7"/>
    </row>
    <row r="12" spans="1:26" ht="7.5" customHeight="1" x14ac:dyDescent="0.15">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row>
    <row r="13" spans="1:26" ht="18" customHeight="1" x14ac:dyDescent="0.15">
      <c r="A13" s="194" t="s">
        <v>72</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15">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15">
      <c r="A15" s="14"/>
      <c r="B15" s="138" t="s">
        <v>73</v>
      </c>
      <c r="C15" s="140"/>
      <c r="D15" s="140"/>
      <c r="E15" s="140"/>
      <c r="F15" s="139"/>
      <c r="G15" s="26" t="s">
        <v>74</v>
      </c>
      <c r="H15" s="101" t="s">
        <v>75</v>
      </c>
      <c r="I15" s="140" t="s">
        <v>76</v>
      </c>
      <c r="J15" s="140"/>
      <c r="K15" s="140"/>
      <c r="L15" s="67" t="s">
        <v>77</v>
      </c>
      <c r="M15" s="67" t="s">
        <v>78</v>
      </c>
      <c r="N15" s="138" t="s">
        <v>73</v>
      </c>
      <c r="O15" s="140"/>
      <c r="P15" s="140"/>
      <c r="Q15" s="140"/>
      <c r="R15" s="140"/>
      <c r="S15" s="139"/>
      <c r="T15" s="26" t="s">
        <v>74</v>
      </c>
      <c r="U15" s="101" t="s">
        <v>75</v>
      </c>
      <c r="V15" s="140" t="s">
        <v>76</v>
      </c>
      <c r="W15" s="140"/>
      <c r="X15" s="140"/>
      <c r="Y15" s="67" t="s">
        <v>77</v>
      </c>
      <c r="Z15" s="67" t="s">
        <v>78</v>
      </c>
    </row>
    <row r="16" spans="1:26" ht="18" customHeight="1" x14ac:dyDescent="0.15">
      <c r="A16" s="14"/>
      <c r="B16" s="188" t="s">
        <v>186</v>
      </c>
      <c r="C16" s="189"/>
      <c r="D16" s="189"/>
      <c r="E16" s="189"/>
      <c r="F16" s="190"/>
      <c r="G16" s="103">
        <v>1</v>
      </c>
      <c r="H16" s="103" t="s">
        <v>184</v>
      </c>
      <c r="I16" s="182" t="s">
        <v>185</v>
      </c>
      <c r="J16" s="183"/>
      <c r="K16" s="184"/>
      <c r="L16" s="103" t="s">
        <v>184</v>
      </c>
      <c r="M16" s="103" t="s">
        <v>184</v>
      </c>
      <c r="N16" s="145"/>
      <c r="O16" s="146"/>
      <c r="P16" s="146"/>
      <c r="Q16" s="146"/>
      <c r="R16" s="146"/>
      <c r="S16" s="147"/>
      <c r="T16" s="102"/>
      <c r="U16" s="102"/>
      <c r="V16" s="179"/>
      <c r="W16" s="180"/>
      <c r="X16" s="181"/>
      <c r="Y16" s="102"/>
      <c r="Z16" s="102"/>
    </row>
    <row r="17" spans="1:26" ht="18" customHeight="1" x14ac:dyDescent="0.15">
      <c r="A17" s="14"/>
      <c r="B17" s="188"/>
      <c r="C17" s="189"/>
      <c r="D17" s="189"/>
      <c r="E17" s="189"/>
      <c r="F17" s="190"/>
      <c r="G17" s="103"/>
      <c r="H17" s="103"/>
      <c r="I17" s="182"/>
      <c r="J17" s="183"/>
      <c r="K17" s="184"/>
      <c r="L17" s="103"/>
      <c r="M17" s="103"/>
      <c r="N17" s="154"/>
      <c r="O17" s="155"/>
      <c r="P17" s="155"/>
      <c r="Q17" s="155"/>
      <c r="R17" s="155"/>
      <c r="S17" s="156"/>
      <c r="T17" s="103"/>
      <c r="U17" s="103"/>
      <c r="V17" s="182"/>
      <c r="W17" s="183"/>
      <c r="X17" s="184"/>
      <c r="Y17" s="103"/>
      <c r="Z17" s="103"/>
    </row>
    <row r="18" spans="1:26" ht="18" customHeight="1" x14ac:dyDescent="0.15">
      <c r="A18" s="14"/>
      <c r="B18" s="188"/>
      <c r="C18" s="189"/>
      <c r="D18" s="189"/>
      <c r="E18" s="189"/>
      <c r="F18" s="190"/>
      <c r="G18" s="103"/>
      <c r="H18" s="103"/>
      <c r="I18" s="182"/>
      <c r="J18" s="183"/>
      <c r="K18" s="184"/>
      <c r="L18" s="103"/>
      <c r="M18" s="103"/>
      <c r="N18" s="154"/>
      <c r="O18" s="155"/>
      <c r="P18" s="155"/>
      <c r="Q18" s="155"/>
      <c r="R18" s="155"/>
      <c r="S18" s="156"/>
      <c r="T18" s="103"/>
      <c r="U18" s="103"/>
      <c r="V18" s="182"/>
      <c r="W18" s="183"/>
      <c r="X18" s="184"/>
      <c r="Y18" s="103"/>
      <c r="Z18" s="103"/>
    </row>
    <row r="19" spans="1:26" ht="18" customHeight="1" x14ac:dyDescent="0.15">
      <c r="A19" s="14"/>
      <c r="B19" s="188"/>
      <c r="C19" s="189"/>
      <c r="D19" s="189"/>
      <c r="E19" s="189"/>
      <c r="F19" s="190"/>
      <c r="G19" s="103"/>
      <c r="H19" s="103"/>
      <c r="I19" s="182"/>
      <c r="J19" s="183"/>
      <c r="K19" s="184"/>
      <c r="L19" s="103"/>
      <c r="M19" s="103"/>
      <c r="N19" s="154"/>
      <c r="O19" s="155"/>
      <c r="P19" s="155"/>
      <c r="Q19" s="155"/>
      <c r="R19" s="155"/>
      <c r="S19" s="156"/>
      <c r="T19" s="103"/>
      <c r="U19" s="103"/>
      <c r="V19" s="182"/>
      <c r="W19" s="183"/>
      <c r="X19" s="184"/>
      <c r="Y19" s="103"/>
      <c r="Z19" s="103"/>
    </row>
    <row r="20" spans="1:26" ht="18" customHeight="1" x14ac:dyDescent="0.15">
      <c r="A20" s="14"/>
      <c r="B20" s="188"/>
      <c r="C20" s="189"/>
      <c r="D20" s="189"/>
      <c r="E20" s="189"/>
      <c r="F20" s="190"/>
      <c r="G20" s="103"/>
      <c r="H20" s="103"/>
      <c r="I20" s="182"/>
      <c r="J20" s="183"/>
      <c r="K20" s="184"/>
      <c r="L20" s="103"/>
      <c r="M20" s="103"/>
      <c r="N20" s="154"/>
      <c r="O20" s="155"/>
      <c r="P20" s="155"/>
      <c r="Q20" s="155"/>
      <c r="R20" s="155"/>
      <c r="S20" s="156"/>
      <c r="T20" s="103"/>
      <c r="U20" s="103"/>
      <c r="V20" s="182"/>
      <c r="W20" s="183"/>
      <c r="X20" s="184"/>
      <c r="Y20" s="103"/>
      <c r="Z20" s="103"/>
    </row>
    <row r="21" spans="1:26" ht="18" customHeight="1" x14ac:dyDescent="0.15">
      <c r="A21" s="112"/>
      <c r="B21" s="188"/>
      <c r="C21" s="189"/>
      <c r="D21" s="189"/>
      <c r="E21" s="189"/>
      <c r="F21" s="190"/>
      <c r="G21" s="103"/>
      <c r="H21" s="103"/>
      <c r="I21" s="182"/>
      <c r="J21" s="183"/>
      <c r="K21" s="184"/>
      <c r="L21" s="103"/>
      <c r="M21" s="103"/>
      <c r="N21" s="154"/>
      <c r="O21" s="155"/>
      <c r="P21" s="155"/>
      <c r="Q21" s="155"/>
      <c r="R21" s="155"/>
      <c r="S21" s="156"/>
      <c r="T21" s="103"/>
      <c r="U21" s="103"/>
      <c r="V21" s="182"/>
      <c r="W21" s="183"/>
      <c r="X21" s="184"/>
      <c r="Y21" s="103"/>
      <c r="Z21" s="103"/>
    </row>
    <row r="22" spans="1:26" ht="18" customHeight="1" x14ac:dyDescent="0.15">
      <c r="A22" s="112"/>
      <c r="B22" s="195"/>
      <c r="C22" s="196"/>
      <c r="D22" s="196"/>
      <c r="E22" s="196"/>
      <c r="F22" s="197"/>
      <c r="G22" s="104"/>
      <c r="H22" s="104"/>
      <c r="I22" s="191"/>
      <c r="J22" s="192"/>
      <c r="K22" s="193"/>
      <c r="L22" s="109"/>
      <c r="M22" s="109"/>
      <c r="N22" s="220"/>
      <c r="O22" s="221"/>
      <c r="P22" s="221"/>
      <c r="Q22" s="221"/>
      <c r="R22" s="221"/>
      <c r="S22" s="222"/>
      <c r="T22" s="104"/>
      <c r="U22" s="104"/>
      <c r="V22" s="191"/>
      <c r="W22" s="192"/>
      <c r="X22" s="193"/>
      <c r="Y22" s="109"/>
      <c r="Z22" s="109"/>
    </row>
    <row r="23" spans="1:26" ht="7.5" customHeight="1" x14ac:dyDescent="0.15">
      <c r="A23" s="112"/>
      <c r="B23" s="113"/>
      <c r="C23" s="113"/>
      <c r="D23" s="112"/>
      <c r="E23" s="112"/>
      <c r="F23" s="112"/>
      <c r="G23" s="112"/>
      <c r="H23" s="112"/>
      <c r="I23" s="112"/>
      <c r="J23" s="112"/>
      <c r="K23" s="112"/>
      <c r="L23" s="113"/>
      <c r="M23" s="113"/>
      <c r="N23" s="113"/>
      <c r="O23" s="113"/>
      <c r="P23" s="113"/>
      <c r="Q23" s="113"/>
      <c r="R23" s="113"/>
      <c r="S23" s="113"/>
      <c r="T23" s="113"/>
      <c r="U23" s="113"/>
      <c r="V23" s="113"/>
      <c r="W23" s="113"/>
      <c r="X23" s="113"/>
      <c r="Y23" s="113"/>
      <c r="Z23" s="112"/>
    </row>
    <row r="24" spans="1:26" ht="18" customHeight="1" x14ac:dyDescent="0.15">
      <c r="A24" s="194" t="s">
        <v>79</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1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15">
      <c r="A26" s="14"/>
      <c r="B26" s="138" t="s">
        <v>73</v>
      </c>
      <c r="C26" s="140"/>
      <c r="D26" s="140"/>
      <c r="E26" s="140"/>
      <c r="F26" s="139"/>
      <c r="G26" s="26" t="s">
        <v>74</v>
      </c>
      <c r="H26" s="101" t="s">
        <v>75</v>
      </c>
      <c r="I26" s="140" t="s">
        <v>76</v>
      </c>
      <c r="J26" s="140"/>
      <c r="K26" s="140"/>
      <c r="L26" s="67" t="s">
        <v>80</v>
      </c>
      <c r="M26" s="67" t="s">
        <v>81</v>
      </c>
      <c r="N26" s="138" t="s">
        <v>73</v>
      </c>
      <c r="O26" s="140"/>
      <c r="P26" s="140"/>
      <c r="Q26" s="140"/>
      <c r="R26" s="140"/>
      <c r="S26" s="139"/>
      <c r="T26" s="26" t="s">
        <v>74</v>
      </c>
      <c r="U26" s="101" t="s">
        <v>75</v>
      </c>
      <c r="V26" s="140" t="s">
        <v>76</v>
      </c>
      <c r="W26" s="140"/>
      <c r="X26" s="140"/>
      <c r="Y26" s="67" t="s">
        <v>80</v>
      </c>
      <c r="Z26" s="67" t="s">
        <v>81</v>
      </c>
    </row>
    <row r="27" spans="1:26" ht="18" customHeight="1" x14ac:dyDescent="0.15">
      <c r="A27" s="14"/>
      <c r="B27" s="188" t="s">
        <v>190</v>
      </c>
      <c r="C27" s="189"/>
      <c r="D27" s="189"/>
      <c r="E27" s="189"/>
      <c r="F27" s="190"/>
      <c r="G27" s="103">
        <v>1</v>
      </c>
      <c r="H27" s="103" t="s">
        <v>184</v>
      </c>
      <c r="I27" s="182" t="s">
        <v>185</v>
      </c>
      <c r="J27" s="183"/>
      <c r="K27" s="184"/>
      <c r="L27" s="103" t="s">
        <v>184</v>
      </c>
      <c r="M27" s="103" t="s">
        <v>184</v>
      </c>
      <c r="N27" s="145"/>
      <c r="O27" s="146"/>
      <c r="P27" s="146"/>
      <c r="Q27" s="146"/>
      <c r="R27" s="146"/>
      <c r="S27" s="147"/>
      <c r="T27" s="102"/>
      <c r="U27" s="102"/>
      <c r="V27" s="179"/>
      <c r="W27" s="180"/>
      <c r="X27" s="181"/>
      <c r="Y27" s="102"/>
      <c r="Z27" s="102"/>
    </row>
    <row r="28" spans="1:26" ht="18" customHeight="1" x14ac:dyDescent="0.15">
      <c r="A28" s="14"/>
      <c r="B28" s="188"/>
      <c r="C28" s="189"/>
      <c r="D28" s="189"/>
      <c r="E28" s="189"/>
      <c r="F28" s="190"/>
      <c r="G28" s="103"/>
      <c r="H28" s="103"/>
      <c r="I28" s="182"/>
      <c r="J28" s="183"/>
      <c r="K28" s="184"/>
      <c r="L28" s="103"/>
      <c r="M28" s="103"/>
      <c r="N28" s="154"/>
      <c r="O28" s="155"/>
      <c r="P28" s="155"/>
      <c r="Q28" s="155"/>
      <c r="R28" s="155"/>
      <c r="S28" s="156"/>
      <c r="T28" s="103"/>
      <c r="U28" s="103"/>
      <c r="V28" s="182"/>
      <c r="W28" s="183"/>
      <c r="X28" s="184"/>
      <c r="Y28" s="103"/>
      <c r="Z28" s="103"/>
    </row>
    <row r="29" spans="1:26" ht="18" customHeight="1" x14ac:dyDescent="0.15">
      <c r="A29" s="14"/>
      <c r="B29" s="188"/>
      <c r="C29" s="189"/>
      <c r="D29" s="189"/>
      <c r="E29" s="189"/>
      <c r="F29" s="190"/>
      <c r="G29" s="103"/>
      <c r="H29" s="103"/>
      <c r="I29" s="182"/>
      <c r="J29" s="183"/>
      <c r="K29" s="184"/>
      <c r="L29" s="103"/>
      <c r="M29" s="103"/>
      <c r="N29" s="154"/>
      <c r="O29" s="155"/>
      <c r="P29" s="155"/>
      <c r="Q29" s="155"/>
      <c r="R29" s="155"/>
      <c r="S29" s="156"/>
      <c r="T29" s="103"/>
      <c r="U29" s="103"/>
      <c r="V29" s="182"/>
      <c r="W29" s="183"/>
      <c r="X29" s="184"/>
      <c r="Y29" s="103"/>
      <c r="Z29" s="103"/>
    </row>
    <row r="30" spans="1:26" ht="18" customHeight="1" x14ac:dyDescent="0.15">
      <c r="A30" s="14"/>
      <c r="B30" s="188"/>
      <c r="C30" s="189"/>
      <c r="D30" s="189"/>
      <c r="E30" s="189"/>
      <c r="F30" s="190"/>
      <c r="G30" s="103"/>
      <c r="H30" s="103"/>
      <c r="I30" s="182"/>
      <c r="J30" s="183"/>
      <c r="K30" s="184"/>
      <c r="L30" s="103"/>
      <c r="M30" s="103"/>
      <c r="N30" s="154"/>
      <c r="O30" s="155"/>
      <c r="P30" s="155"/>
      <c r="Q30" s="155"/>
      <c r="R30" s="155"/>
      <c r="S30" s="156"/>
      <c r="T30" s="103"/>
      <c r="U30" s="103"/>
      <c r="V30" s="182"/>
      <c r="W30" s="183"/>
      <c r="X30" s="184"/>
      <c r="Y30" s="103"/>
      <c r="Z30" s="103"/>
    </row>
    <row r="31" spans="1:26" ht="18" customHeight="1" x14ac:dyDescent="0.15">
      <c r="A31" s="14"/>
      <c r="B31" s="188"/>
      <c r="C31" s="189"/>
      <c r="D31" s="189"/>
      <c r="E31" s="189"/>
      <c r="F31" s="190"/>
      <c r="G31" s="103"/>
      <c r="H31" s="103"/>
      <c r="I31" s="182"/>
      <c r="J31" s="183"/>
      <c r="K31" s="184"/>
      <c r="L31" s="103"/>
      <c r="M31" s="103"/>
      <c r="N31" s="154"/>
      <c r="O31" s="155"/>
      <c r="P31" s="155"/>
      <c r="Q31" s="155"/>
      <c r="R31" s="155"/>
      <c r="S31" s="156"/>
      <c r="T31" s="103"/>
      <c r="U31" s="103"/>
      <c r="V31" s="182"/>
      <c r="W31" s="183"/>
      <c r="X31" s="184"/>
      <c r="Y31" s="103"/>
      <c r="Z31" s="103"/>
    </row>
    <row r="32" spans="1:26" ht="18" customHeight="1" x14ac:dyDescent="0.15">
      <c r="A32" s="14"/>
      <c r="B32" s="188"/>
      <c r="C32" s="189"/>
      <c r="D32" s="189"/>
      <c r="E32" s="189"/>
      <c r="F32" s="190"/>
      <c r="G32" s="103"/>
      <c r="H32" s="103"/>
      <c r="I32" s="182"/>
      <c r="J32" s="183"/>
      <c r="K32" s="184"/>
      <c r="L32" s="103"/>
      <c r="M32" s="103"/>
      <c r="N32" s="154"/>
      <c r="O32" s="155"/>
      <c r="P32" s="155"/>
      <c r="Q32" s="155"/>
      <c r="R32" s="155"/>
      <c r="S32" s="156"/>
      <c r="T32" s="103"/>
      <c r="U32" s="103"/>
      <c r="V32" s="182"/>
      <c r="W32" s="183"/>
      <c r="X32" s="184"/>
      <c r="Y32" s="103"/>
      <c r="Z32" s="103"/>
    </row>
    <row r="33" spans="1:26" ht="18" customHeight="1" x14ac:dyDescent="0.15">
      <c r="A33" s="14"/>
      <c r="B33" s="195"/>
      <c r="C33" s="196"/>
      <c r="D33" s="196"/>
      <c r="E33" s="196"/>
      <c r="F33" s="197"/>
      <c r="G33" s="104"/>
      <c r="H33" s="104"/>
      <c r="I33" s="191"/>
      <c r="J33" s="192"/>
      <c r="K33" s="193"/>
      <c r="L33" s="109"/>
      <c r="M33" s="109"/>
      <c r="N33" s="220"/>
      <c r="O33" s="221"/>
      <c r="P33" s="221"/>
      <c r="Q33" s="221"/>
      <c r="R33" s="221"/>
      <c r="S33" s="222"/>
      <c r="T33" s="104"/>
      <c r="U33" s="104"/>
      <c r="V33" s="191"/>
      <c r="W33" s="192"/>
      <c r="X33" s="193"/>
      <c r="Y33" s="109"/>
      <c r="Z33" s="109"/>
    </row>
    <row r="34" spans="1:26" ht="7.5" customHeight="1" x14ac:dyDescent="0.15">
      <c r="A34" s="112"/>
      <c r="B34" s="113"/>
      <c r="C34" s="113"/>
      <c r="D34" s="112"/>
      <c r="E34" s="112"/>
      <c r="F34" s="112"/>
      <c r="G34" s="112"/>
      <c r="H34" s="112"/>
      <c r="I34" s="112"/>
      <c r="J34" s="112"/>
      <c r="K34" s="112"/>
      <c r="L34" s="113"/>
      <c r="M34" s="113"/>
      <c r="N34" s="113"/>
      <c r="O34" s="113"/>
      <c r="P34" s="113"/>
      <c r="Q34" s="113"/>
      <c r="R34" s="113"/>
      <c r="S34" s="113"/>
      <c r="T34" s="113"/>
      <c r="U34" s="113"/>
      <c r="V34" s="113"/>
      <c r="W34" s="113"/>
      <c r="X34" s="113"/>
      <c r="Y34" s="113"/>
      <c r="Z34" s="112"/>
    </row>
    <row r="35" spans="1:26" ht="18" customHeight="1" x14ac:dyDescent="0.15">
      <c r="A35" s="194" t="s">
        <v>82</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15">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15">
      <c r="A37" s="14"/>
      <c r="B37" s="138" t="s">
        <v>73</v>
      </c>
      <c r="C37" s="140"/>
      <c r="D37" s="140"/>
      <c r="E37" s="140"/>
      <c r="F37" s="139"/>
      <c r="G37" s="26" t="s">
        <v>74</v>
      </c>
      <c r="H37" s="101" t="s">
        <v>75</v>
      </c>
      <c r="I37" s="138" t="s">
        <v>76</v>
      </c>
      <c r="J37" s="140"/>
      <c r="K37" s="139"/>
      <c r="L37" s="67" t="s">
        <v>83</v>
      </c>
      <c r="M37" s="67" t="s">
        <v>84</v>
      </c>
      <c r="N37" s="138" t="s">
        <v>73</v>
      </c>
      <c r="O37" s="140"/>
      <c r="P37" s="140"/>
      <c r="Q37" s="140"/>
      <c r="R37" s="140"/>
      <c r="S37" s="139"/>
      <c r="T37" s="26" t="s">
        <v>74</v>
      </c>
      <c r="U37" s="101" t="s">
        <v>75</v>
      </c>
      <c r="V37" s="138" t="s">
        <v>76</v>
      </c>
      <c r="W37" s="140"/>
      <c r="X37" s="139"/>
      <c r="Y37" s="67" t="s">
        <v>83</v>
      </c>
      <c r="Z37" s="67" t="s">
        <v>84</v>
      </c>
    </row>
    <row r="38" spans="1:26" ht="18" customHeight="1" x14ac:dyDescent="0.15">
      <c r="A38" s="112"/>
      <c r="B38" s="188" t="s">
        <v>190</v>
      </c>
      <c r="C38" s="189"/>
      <c r="D38" s="189"/>
      <c r="E38" s="189"/>
      <c r="F38" s="190"/>
      <c r="G38" s="103">
        <v>1</v>
      </c>
      <c r="H38" s="103" t="s">
        <v>184</v>
      </c>
      <c r="I38" s="182" t="s">
        <v>185</v>
      </c>
      <c r="J38" s="183"/>
      <c r="K38" s="184"/>
      <c r="L38" s="103" t="s">
        <v>184</v>
      </c>
      <c r="M38" s="103" t="s">
        <v>184</v>
      </c>
      <c r="N38" s="145"/>
      <c r="O38" s="146"/>
      <c r="P38" s="146"/>
      <c r="Q38" s="146"/>
      <c r="R38" s="146"/>
      <c r="S38" s="147"/>
      <c r="T38" s="102"/>
      <c r="U38" s="102"/>
      <c r="V38" s="179"/>
      <c r="W38" s="180"/>
      <c r="X38" s="181"/>
      <c r="Y38" s="102"/>
      <c r="Z38" s="102"/>
    </row>
    <row r="39" spans="1:26" ht="18" customHeight="1" x14ac:dyDescent="0.15">
      <c r="A39" s="112"/>
      <c r="B39" s="188"/>
      <c r="C39" s="189"/>
      <c r="D39" s="189"/>
      <c r="E39" s="189"/>
      <c r="F39" s="190"/>
      <c r="G39" s="103"/>
      <c r="H39" s="103"/>
      <c r="I39" s="182"/>
      <c r="J39" s="183"/>
      <c r="K39" s="184"/>
      <c r="L39" s="103"/>
      <c r="M39" s="103"/>
      <c r="N39" s="154"/>
      <c r="O39" s="155"/>
      <c r="P39" s="155"/>
      <c r="Q39" s="155"/>
      <c r="R39" s="155"/>
      <c r="S39" s="156"/>
      <c r="T39" s="103"/>
      <c r="U39" s="103"/>
      <c r="V39" s="182"/>
      <c r="W39" s="183"/>
      <c r="X39" s="184"/>
      <c r="Y39" s="103"/>
      <c r="Z39" s="103"/>
    </row>
    <row r="40" spans="1:26" ht="18" customHeight="1" x14ac:dyDescent="0.15">
      <c r="A40" s="112"/>
      <c r="B40" s="188"/>
      <c r="C40" s="189"/>
      <c r="D40" s="189"/>
      <c r="E40" s="189"/>
      <c r="F40" s="190"/>
      <c r="G40" s="103"/>
      <c r="H40" s="103"/>
      <c r="I40" s="182"/>
      <c r="J40" s="183"/>
      <c r="K40" s="184"/>
      <c r="L40" s="103"/>
      <c r="M40" s="103"/>
      <c r="N40" s="154"/>
      <c r="O40" s="155"/>
      <c r="P40" s="155"/>
      <c r="Q40" s="155"/>
      <c r="R40" s="155"/>
      <c r="S40" s="156"/>
      <c r="T40" s="103"/>
      <c r="U40" s="103"/>
      <c r="V40" s="182"/>
      <c r="W40" s="183"/>
      <c r="X40" s="184"/>
      <c r="Y40" s="103"/>
      <c r="Z40" s="103"/>
    </row>
    <row r="41" spans="1:26" ht="18" customHeight="1" x14ac:dyDescent="0.15">
      <c r="A41" s="112"/>
      <c r="B41" s="188"/>
      <c r="C41" s="189"/>
      <c r="D41" s="189"/>
      <c r="E41" s="189"/>
      <c r="F41" s="190"/>
      <c r="G41" s="103"/>
      <c r="H41" s="103"/>
      <c r="I41" s="182"/>
      <c r="J41" s="183"/>
      <c r="K41" s="184"/>
      <c r="L41" s="103"/>
      <c r="M41" s="103"/>
      <c r="N41" s="154"/>
      <c r="O41" s="155"/>
      <c r="P41" s="155"/>
      <c r="Q41" s="155"/>
      <c r="R41" s="155"/>
      <c r="S41" s="156"/>
      <c r="T41" s="103"/>
      <c r="U41" s="103"/>
      <c r="V41" s="182"/>
      <c r="W41" s="183"/>
      <c r="X41" s="184"/>
      <c r="Y41" s="103"/>
      <c r="Z41" s="103"/>
    </row>
    <row r="42" spans="1:26" ht="18" customHeight="1" x14ac:dyDescent="0.15">
      <c r="A42" s="112"/>
      <c r="B42" s="188"/>
      <c r="C42" s="189"/>
      <c r="D42" s="189"/>
      <c r="E42" s="189"/>
      <c r="F42" s="190"/>
      <c r="G42" s="103"/>
      <c r="H42" s="103"/>
      <c r="I42" s="182"/>
      <c r="J42" s="183"/>
      <c r="K42" s="184"/>
      <c r="L42" s="103"/>
      <c r="M42" s="103"/>
      <c r="N42" s="154"/>
      <c r="O42" s="155"/>
      <c r="P42" s="155"/>
      <c r="Q42" s="155"/>
      <c r="R42" s="155"/>
      <c r="S42" s="156"/>
      <c r="T42" s="103"/>
      <c r="U42" s="103"/>
      <c r="V42" s="182"/>
      <c r="W42" s="183"/>
      <c r="X42" s="184"/>
      <c r="Y42" s="103"/>
      <c r="Z42" s="103"/>
    </row>
    <row r="43" spans="1:26" ht="18" customHeight="1" x14ac:dyDescent="0.15">
      <c r="A43" s="112"/>
      <c r="B43" s="188"/>
      <c r="C43" s="189"/>
      <c r="D43" s="189"/>
      <c r="E43" s="189"/>
      <c r="F43" s="190"/>
      <c r="G43" s="103"/>
      <c r="H43" s="103"/>
      <c r="I43" s="182"/>
      <c r="J43" s="183"/>
      <c r="K43" s="184"/>
      <c r="L43" s="103"/>
      <c r="M43" s="103"/>
      <c r="N43" s="154"/>
      <c r="O43" s="155"/>
      <c r="P43" s="155"/>
      <c r="Q43" s="155"/>
      <c r="R43" s="155"/>
      <c r="S43" s="156"/>
      <c r="T43" s="103"/>
      <c r="U43" s="103"/>
      <c r="V43" s="182"/>
      <c r="W43" s="183"/>
      <c r="X43" s="184"/>
      <c r="Y43" s="103"/>
      <c r="Z43" s="103"/>
    </row>
    <row r="44" spans="1:26" ht="18" customHeight="1" x14ac:dyDescent="0.15">
      <c r="A44" s="112"/>
      <c r="B44" s="195"/>
      <c r="C44" s="196"/>
      <c r="D44" s="196"/>
      <c r="E44" s="196"/>
      <c r="F44" s="197"/>
      <c r="G44" s="104"/>
      <c r="H44" s="104"/>
      <c r="I44" s="191"/>
      <c r="J44" s="192"/>
      <c r="K44" s="193"/>
      <c r="L44" s="109"/>
      <c r="M44" s="109"/>
      <c r="N44" s="220"/>
      <c r="O44" s="221"/>
      <c r="P44" s="221"/>
      <c r="Q44" s="221"/>
      <c r="R44" s="221"/>
      <c r="S44" s="222"/>
      <c r="T44" s="104"/>
      <c r="U44" s="104"/>
      <c r="V44" s="191"/>
      <c r="W44" s="192"/>
      <c r="X44" s="193"/>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4" t="s">
        <v>85</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15">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15">
      <c r="A48" s="14"/>
      <c r="B48" s="138" t="s">
        <v>73</v>
      </c>
      <c r="C48" s="140"/>
      <c r="D48" s="140"/>
      <c r="E48" s="140"/>
      <c r="F48" s="139"/>
      <c r="G48" s="26" t="s">
        <v>74</v>
      </c>
      <c r="H48" s="101" t="s">
        <v>75</v>
      </c>
      <c r="I48" s="138" t="s">
        <v>76</v>
      </c>
      <c r="J48" s="140"/>
      <c r="K48" s="139"/>
      <c r="L48" s="67" t="s">
        <v>86</v>
      </c>
      <c r="M48" s="67" t="s">
        <v>87</v>
      </c>
      <c r="N48" s="138" t="s">
        <v>73</v>
      </c>
      <c r="O48" s="140"/>
      <c r="P48" s="140"/>
      <c r="Q48" s="140"/>
      <c r="R48" s="140"/>
      <c r="S48" s="139"/>
      <c r="T48" s="26" t="s">
        <v>74</v>
      </c>
      <c r="U48" s="101" t="s">
        <v>75</v>
      </c>
      <c r="V48" s="138" t="s">
        <v>76</v>
      </c>
      <c r="W48" s="140"/>
      <c r="X48" s="139"/>
      <c r="Y48" s="67" t="s">
        <v>86</v>
      </c>
      <c r="Z48" s="67" t="s">
        <v>87</v>
      </c>
    </row>
    <row r="49" spans="1:26" ht="18" customHeight="1" x14ac:dyDescent="0.15">
      <c r="A49" s="112"/>
      <c r="B49" s="188" t="s">
        <v>190</v>
      </c>
      <c r="C49" s="189"/>
      <c r="D49" s="189"/>
      <c r="E49" s="189"/>
      <c r="F49" s="190"/>
      <c r="G49" s="103">
        <v>1</v>
      </c>
      <c r="H49" s="103" t="s">
        <v>184</v>
      </c>
      <c r="I49" s="182" t="s">
        <v>185</v>
      </c>
      <c r="J49" s="183"/>
      <c r="K49" s="184"/>
      <c r="L49" s="103" t="s">
        <v>184</v>
      </c>
      <c r="M49" s="103" t="s">
        <v>184</v>
      </c>
      <c r="N49" s="145"/>
      <c r="O49" s="146"/>
      <c r="P49" s="146"/>
      <c r="Q49" s="146"/>
      <c r="R49" s="146"/>
      <c r="S49" s="147"/>
      <c r="T49" s="102"/>
      <c r="U49" s="102"/>
      <c r="V49" s="179"/>
      <c r="W49" s="180"/>
      <c r="X49" s="181"/>
      <c r="Y49" s="102"/>
      <c r="Z49" s="102"/>
    </row>
    <row r="50" spans="1:26" ht="18" customHeight="1" x14ac:dyDescent="0.15">
      <c r="A50" s="112"/>
      <c r="B50" s="188"/>
      <c r="C50" s="189"/>
      <c r="D50" s="189"/>
      <c r="E50" s="189"/>
      <c r="F50" s="190"/>
      <c r="G50" s="103"/>
      <c r="H50" s="103"/>
      <c r="I50" s="182"/>
      <c r="J50" s="183"/>
      <c r="K50" s="184"/>
      <c r="L50" s="103"/>
      <c r="M50" s="103"/>
      <c r="N50" s="154"/>
      <c r="O50" s="155"/>
      <c r="P50" s="155"/>
      <c r="Q50" s="155"/>
      <c r="R50" s="155"/>
      <c r="S50" s="156"/>
      <c r="T50" s="103"/>
      <c r="U50" s="103"/>
      <c r="V50" s="182"/>
      <c r="W50" s="183"/>
      <c r="X50" s="184"/>
      <c r="Y50" s="103"/>
      <c r="Z50" s="103"/>
    </row>
    <row r="51" spans="1:26" ht="18" customHeight="1" x14ac:dyDescent="0.15">
      <c r="A51" s="112"/>
      <c r="B51" s="188"/>
      <c r="C51" s="189"/>
      <c r="D51" s="189"/>
      <c r="E51" s="189"/>
      <c r="F51" s="190"/>
      <c r="G51" s="103"/>
      <c r="H51" s="103"/>
      <c r="I51" s="182"/>
      <c r="J51" s="183"/>
      <c r="K51" s="184"/>
      <c r="L51" s="103"/>
      <c r="M51" s="103"/>
      <c r="N51" s="154"/>
      <c r="O51" s="155"/>
      <c r="P51" s="155"/>
      <c r="Q51" s="155"/>
      <c r="R51" s="155"/>
      <c r="S51" s="156"/>
      <c r="T51" s="103"/>
      <c r="U51" s="103"/>
      <c r="V51" s="182"/>
      <c r="W51" s="183"/>
      <c r="X51" s="184"/>
      <c r="Y51" s="103"/>
      <c r="Z51" s="103"/>
    </row>
    <row r="52" spans="1:26" ht="18" customHeight="1" x14ac:dyDescent="0.15">
      <c r="A52" s="112"/>
      <c r="B52" s="188"/>
      <c r="C52" s="189"/>
      <c r="D52" s="189"/>
      <c r="E52" s="189"/>
      <c r="F52" s="190"/>
      <c r="G52" s="103"/>
      <c r="H52" s="103"/>
      <c r="I52" s="182"/>
      <c r="J52" s="183"/>
      <c r="K52" s="184"/>
      <c r="L52" s="103"/>
      <c r="M52" s="103"/>
      <c r="N52" s="154"/>
      <c r="O52" s="155"/>
      <c r="P52" s="155"/>
      <c r="Q52" s="155"/>
      <c r="R52" s="155"/>
      <c r="S52" s="156"/>
      <c r="T52" s="103"/>
      <c r="U52" s="103"/>
      <c r="V52" s="182"/>
      <c r="W52" s="183"/>
      <c r="X52" s="184"/>
      <c r="Y52" s="103"/>
      <c r="Z52" s="103"/>
    </row>
    <row r="53" spans="1:26" ht="18" customHeight="1" x14ac:dyDescent="0.15">
      <c r="A53" s="112"/>
      <c r="B53" s="188"/>
      <c r="C53" s="189"/>
      <c r="D53" s="189"/>
      <c r="E53" s="189"/>
      <c r="F53" s="190"/>
      <c r="G53" s="103"/>
      <c r="H53" s="103"/>
      <c r="I53" s="182"/>
      <c r="J53" s="183"/>
      <c r="K53" s="184"/>
      <c r="L53" s="103"/>
      <c r="M53" s="103"/>
      <c r="N53" s="154"/>
      <c r="O53" s="155"/>
      <c r="P53" s="155"/>
      <c r="Q53" s="155"/>
      <c r="R53" s="155"/>
      <c r="S53" s="156"/>
      <c r="T53" s="103"/>
      <c r="U53" s="103"/>
      <c r="V53" s="182"/>
      <c r="W53" s="183"/>
      <c r="X53" s="184"/>
      <c r="Y53" s="103"/>
      <c r="Z53" s="103"/>
    </row>
    <row r="54" spans="1:26" ht="18" customHeight="1" x14ac:dyDescent="0.15">
      <c r="A54" s="112"/>
      <c r="B54" s="188"/>
      <c r="C54" s="189"/>
      <c r="D54" s="189"/>
      <c r="E54" s="189"/>
      <c r="F54" s="190"/>
      <c r="G54" s="103"/>
      <c r="H54" s="103"/>
      <c r="I54" s="182"/>
      <c r="J54" s="183"/>
      <c r="K54" s="184"/>
      <c r="L54" s="103"/>
      <c r="M54" s="103"/>
      <c r="N54" s="154"/>
      <c r="O54" s="155"/>
      <c r="P54" s="155"/>
      <c r="Q54" s="155"/>
      <c r="R54" s="155"/>
      <c r="S54" s="156"/>
      <c r="T54" s="103"/>
      <c r="U54" s="103"/>
      <c r="V54" s="182"/>
      <c r="W54" s="183"/>
      <c r="X54" s="184"/>
      <c r="Y54" s="103"/>
      <c r="Z54" s="103"/>
    </row>
    <row r="55" spans="1:26" ht="18" customHeight="1" x14ac:dyDescent="0.15">
      <c r="A55" s="112"/>
      <c r="B55" s="195"/>
      <c r="C55" s="196"/>
      <c r="D55" s="196"/>
      <c r="E55" s="196"/>
      <c r="F55" s="197"/>
      <c r="G55" s="104"/>
      <c r="H55" s="104"/>
      <c r="I55" s="191"/>
      <c r="J55" s="192"/>
      <c r="K55" s="193"/>
      <c r="L55" s="109"/>
      <c r="M55" s="109"/>
      <c r="N55" s="220"/>
      <c r="O55" s="221"/>
      <c r="P55" s="221"/>
      <c r="Q55" s="221"/>
      <c r="R55" s="221"/>
      <c r="S55" s="222"/>
      <c r="T55" s="104"/>
      <c r="U55" s="104"/>
      <c r="V55" s="191"/>
      <c r="W55" s="192"/>
      <c r="X55" s="193"/>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4" t="s">
        <v>88</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1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15">
      <c r="A59" s="14"/>
      <c r="B59" s="138" t="s">
        <v>73</v>
      </c>
      <c r="C59" s="140"/>
      <c r="D59" s="140"/>
      <c r="E59" s="139"/>
      <c r="F59" s="26" t="s">
        <v>74</v>
      </c>
      <c r="G59" s="101" t="s">
        <v>75</v>
      </c>
      <c r="H59" s="22" t="s">
        <v>76</v>
      </c>
      <c r="I59" s="98"/>
      <c r="J59" s="23"/>
      <c r="K59" s="67" t="s">
        <v>89</v>
      </c>
      <c r="L59" s="67" t="s">
        <v>90</v>
      </c>
      <c r="M59" s="67" t="s">
        <v>91</v>
      </c>
      <c r="N59" s="138" t="s">
        <v>73</v>
      </c>
      <c r="O59" s="140"/>
      <c r="P59" s="140"/>
      <c r="Q59" s="140"/>
      <c r="R59" s="139"/>
      <c r="S59" s="26" t="s">
        <v>74</v>
      </c>
      <c r="T59" s="101" t="s">
        <v>75</v>
      </c>
      <c r="U59" s="22" t="s">
        <v>76</v>
      </c>
      <c r="V59" s="98"/>
      <c r="W59" s="23"/>
      <c r="X59" s="67" t="s">
        <v>89</v>
      </c>
      <c r="Y59" s="67" t="s">
        <v>90</v>
      </c>
      <c r="Z59" s="67" t="s">
        <v>91</v>
      </c>
    </row>
    <row r="60" spans="1:26" ht="18" customHeight="1" x14ac:dyDescent="0.15">
      <c r="A60" s="112"/>
      <c r="B60" s="154" t="s">
        <v>196</v>
      </c>
      <c r="C60" s="155"/>
      <c r="D60" s="155"/>
      <c r="E60" s="156"/>
      <c r="F60" s="103">
        <v>2</v>
      </c>
      <c r="G60" s="103" t="s">
        <v>184</v>
      </c>
      <c r="H60" s="182" t="s">
        <v>185</v>
      </c>
      <c r="I60" s="183"/>
      <c r="J60" s="184"/>
      <c r="K60" s="114" t="s">
        <v>195</v>
      </c>
      <c r="L60" s="103" t="s">
        <v>184</v>
      </c>
      <c r="M60" s="103" t="s">
        <v>184</v>
      </c>
      <c r="N60" s="145"/>
      <c r="O60" s="146"/>
      <c r="P60" s="146"/>
      <c r="Q60" s="146"/>
      <c r="R60" s="147"/>
      <c r="S60" s="102"/>
      <c r="T60" s="102"/>
      <c r="U60" s="179"/>
      <c r="V60" s="180"/>
      <c r="W60" s="181"/>
      <c r="X60" s="116"/>
      <c r="Y60" s="102"/>
      <c r="Z60" s="102"/>
    </row>
    <row r="61" spans="1:26" ht="18" customHeight="1" x14ac:dyDescent="0.15">
      <c r="A61" s="112"/>
      <c r="B61" s="154"/>
      <c r="C61" s="155"/>
      <c r="D61" s="155"/>
      <c r="E61" s="156"/>
      <c r="F61" s="103"/>
      <c r="G61" s="103"/>
      <c r="H61" s="182"/>
      <c r="I61" s="183"/>
      <c r="J61" s="184"/>
      <c r="K61" s="114"/>
      <c r="L61" s="103"/>
      <c r="M61" s="103"/>
      <c r="N61" s="154"/>
      <c r="O61" s="155"/>
      <c r="P61" s="155"/>
      <c r="Q61" s="155"/>
      <c r="R61" s="156"/>
      <c r="S61" s="103"/>
      <c r="T61" s="103"/>
      <c r="U61" s="182"/>
      <c r="V61" s="183"/>
      <c r="W61" s="184"/>
      <c r="X61" s="114"/>
      <c r="Y61" s="103"/>
      <c r="Z61" s="103"/>
    </row>
    <row r="62" spans="1:26" ht="18" customHeight="1" x14ac:dyDescent="0.15">
      <c r="A62" s="112"/>
      <c r="B62" s="154"/>
      <c r="C62" s="155"/>
      <c r="D62" s="155"/>
      <c r="E62" s="156"/>
      <c r="F62" s="103"/>
      <c r="G62" s="103"/>
      <c r="H62" s="182"/>
      <c r="I62" s="183"/>
      <c r="J62" s="184"/>
      <c r="K62" s="114"/>
      <c r="L62" s="103"/>
      <c r="M62" s="103"/>
      <c r="N62" s="154"/>
      <c r="O62" s="155"/>
      <c r="P62" s="155"/>
      <c r="Q62" s="155"/>
      <c r="R62" s="156"/>
      <c r="S62" s="103"/>
      <c r="T62" s="103"/>
      <c r="U62" s="182"/>
      <c r="V62" s="183"/>
      <c r="W62" s="184"/>
      <c r="X62" s="114"/>
      <c r="Y62" s="103"/>
      <c r="Z62" s="103"/>
    </row>
    <row r="63" spans="1:26" ht="18" customHeight="1" x14ac:dyDescent="0.15">
      <c r="A63" s="112"/>
      <c r="B63" s="154"/>
      <c r="C63" s="155"/>
      <c r="D63" s="155"/>
      <c r="E63" s="156"/>
      <c r="F63" s="103"/>
      <c r="G63" s="103"/>
      <c r="H63" s="182"/>
      <c r="I63" s="183"/>
      <c r="J63" s="184"/>
      <c r="K63" s="114"/>
      <c r="L63" s="103"/>
      <c r="M63" s="103"/>
      <c r="N63" s="154"/>
      <c r="O63" s="155"/>
      <c r="P63" s="155"/>
      <c r="Q63" s="155"/>
      <c r="R63" s="156"/>
      <c r="S63" s="103"/>
      <c r="T63" s="103"/>
      <c r="U63" s="182"/>
      <c r="V63" s="183"/>
      <c r="W63" s="184"/>
      <c r="X63" s="114"/>
      <c r="Y63" s="103"/>
      <c r="Z63" s="103"/>
    </row>
    <row r="64" spans="1:26" ht="18" customHeight="1" x14ac:dyDescent="0.15">
      <c r="A64" s="112"/>
      <c r="B64" s="154"/>
      <c r="C64" s="155"/>
      <c r="D64" s="155"/>
      <c r="E64" s="156"/>
      <c r="F64" s="103"/>
      <c r="G64" s="103"/>
      <c r="H64" s="182"/>
      <c r="I64" s="183"/>
      <c r="J64" s="184"/>
      <c r="K64" s="114"/>
      <c r="L64" s="103"/>
      <c r="M64" s="103"/>
      <c r="N64" s="154"/>
      <c r="O64" s="155"/>
      <c r="P64" s="155"/>
      <c r="Q64" s="155"/>
      <c r="R64" s="156"/>
      <c r="S64" s="103"/>
      <c r="T64" s="103"/>
      <c r="U64" s="182"/>
      <c r="V64" s="183"/>
      <c r="W64" s="184"/>
      <c r="X64" s="114"/>
      <c r="Y64" s="103"/>
      <c r="Z64" s="103"/>
    </row>
    <row r="65" spans="1:26" ht="18" customHeight="1" x14ac:dyDescent="0.15">
      <c r="A65" s="112"/>
      <c r="B65" s="154"/>
      <c r="C65" s="155"/>
      <c r="D65" s="155"/>
      <c r="E65" s="156"/>
      <c r="F65" s="103"/>
      <c r="G65" s="103"/>
      <c r="H65" s="182"/>
      <c r="I65" s="183"/>
      <c r="J65" s="184"/>
      <c r="K65" s="114"/>
      <c r="L65" s="103"/>
      <c r="M65" s="103"/>
      <c r="N65" s="154"/>
      <c r="O65" s="155"/>
      <c r="P65" s="155"/>
      <c r="Q65" s="155"/>
      <c r="R65" s="156"/>
      <c r="S65" s="103"/>
      <c r="T65" s="103"/>
      <c r="U65" s="182"/>
      <c r="V65" s="183"/>
      <c r="W65" s="184"/>
      <c r="X65" s="114"/>
      <c r="Y65" s="103"/>
      <c r="Z65" s="103"/>
    </row>
    <row r="66" spans="1:26" ht="18" customHeight="1" x14ac:dyDescent="0.15">
      <c r="A66" s="112"/>
      <c r="B66" s="220"/>
      <c r="C66" s="221"/>
      <c r="D66" s="221"/>
      <c r="E66" s="222"/>
      <c r="F66" s="104"/>
      <c r="G66" s="104"/>
      <c r="H66" s="191"/>
      <c r="I66" s="192"/>
      <c r="J66" s="193"/>
      <c r="K66" s="115"/>
      <c r="L66" s="109"/>
      <c r="M66" s="109"/>
      <c r="N66" s="220"/>
      <c r="O66" s="221"/>
      <c r="P66" s="221"/>
      <c r="Q66" s="221"/>
      <c r="R66" s="222"/>
      <c r="S66" s="104"/>
      <c r="T66" s="104"/>
      <c r="U66" s="191"/>
      <c r="V66" s="192"/>
      <c r="W66" s="193"/>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92</v>
      </c>
      <c r="B68" s="14"/>
      <c r="C68" s="14"/>
      <c r="D68" s="14"/>
      <c r="E68" s="14"/>
      <c r="F68" s="14"/>
      <c r="G68" s="14"/>
      <c r="H68" s="14"/>
      <c r="I68" s="14"/>
      <c r="J68" s="14"/>
      <c r="K68" s="14"/>
      <c r="L68" s="112"/>
      <c r="M68" s="112"/>
      <c r="N68" s="112"/>
      <c r="O68" s="112"/>
      <c r="P68" s="112"/>
      <c r="Q68" s="112"/>
      <c r="R68" s="112"/>
      <c r="S68" s="112"/>
      <c r="T68" s="112"/>
      <c r="U68" s="112"/>
      <c r="V68" s="112"/>
      <c r="W68" s="112"/>
      <c r="X68" s="112"/>
      <c r="Y68" s="112"/>
      <c r="Z68" s="112"/>
    </row>
    <row r="69" spans="1:26" ht="18" customHeight="1" x14ac:dyDescent="0.15">
      <c r="A69" s="14"/>
      <c r="B69" s="138" t="s">
        <v>73</v>
      </c>
      <c r="C69" s="140"/>
      <c r="D69" s="140"/>
      <c r="E69" s="140"/>
      <c r="F69" s="139"/>
      <c r="G69" s="138" t="s">
        <v>93</v>
      </c>
      <c r="H69" s="140"/>
      <c r="I69" s="140"/>
      <c r="J69" s="140"/>
      <c r="K69" s="140"/>
      <c r="L69" s="140"/>
      <c r="M69" s="139"/>
      <c r="N69" s="226" t="s">
        <v>73</v>
      </c>
      <c r="O69" s="227"/>
      <c r="P69" s="227"/>
      <c r="Q69" s="227"/>
      <c r="R69" s="227"/>
      <c r="S69" s="228"/>
      <c r="T69" s="138" t="s">
        <v>93</v>
      </c>
      <c r="U69" s="140"/>
      <c r="V69" s="140"/>
      <c r="W69" s="140"/>
      <c r="X69" s="140"/>
      <c r="Y69" s="140"/>
      <c r="Z69" s="139"/>
    </row>
    <row r="70" spans="1:26" ht="18" customHeight="1" x14ac:dyDescent="0.15">
      <c r="A70" s="112"/>
      <c r="B70" s="145" t="s">
        <v>200</v>
      </c>
      <c r="C70" s="146"/>
      <c r="D70" s="146"/>
      <c r="E70" s="146"/>
      <c r="F70" s="147"/>
      <c r="G70" s="148"/>
      <c r="H70" s="149"/>
      <c r="I70" s="149"/>
      <c r="J70" s="149"/>
      <c r="K70" s="149"/>
      <c r="L70" s="149"/>
      <c r="M70" s="150"/>
      <c r="N70" s="145"/>
      <c r="O70" s="146"/>
      <c r="P70" s="146"/>
      <c r="Q70" s="146"/>
      <c r="R70" s="146"/>
      <c r="S70" s="147"/>
      <c r="T70" s="148"/>
      <c r="U70" s="149"/>
      <c r="V70" s="149"/>
      <c r="W70" s="149"/>
      <c r="X70" s="149"/>
      <c r="Y70" s="149"/>
      <c r="Z70" s="150"/>
    </row>
    <row r="71" spans="1:26" ht="18" customHeight="1" x14ac:dyDescent="0.15">
      <c r="A71" s="112"/>
      <c r="B71" s="154" t="s">
        <v>201</v>
      </c>
      <c r="C71" s="155"/>
      <c r="D71" s="155"/>
      <c r="E71" s="155"/>
      <c r="F71" s="156"/>
      <c r="G71" s="157"/>
      <c r="H71" s="158"/>
      <c r="I71" s="158"/>
      <c r="J71" s="158"/>
      <c r="K71" s="158"/>
      <c r="L71" s="158"/>
      <c r="M71" s="159"/>
      <c r="N71" s="154"/>
      <c r="O71" s="155"/>
      <c r="P71" s="155"/>
      <c r="Q71" s="155"/>
      <c r="R71" s="155"/>
      <c r="S71" s="156"/>
      <c r="T71" s="157"/>
      <c r="U71" s="158"/>
      <c r="V71" s="158"/>
      <c r="W71" s="158"/>
      <c r="X71" s="158"/>
      <c r="Y71" s="158"/>
      <c r="Z71" s="159"/>
    </row>
    <row r="72" spans="1:26" ht="18" customHeight="1" x14ac:dyDescent="0.15">
      <c r="A72" s="112"/>
      <c r="B72" s="154" t="s">
        <v>202</v>
      </c>
      <c r="C72" s="155"/>
      <c r="D72" s="155"/>
      <c r="E72" s="155"/>
      <c r="F72" s="156"/>
      <c r="G72" s="157"/>
      <c r="H72" s="158"/>
      <c r="I72" s="158"/>
      <c r="J72" s="158"/>
      <c r="K72" s="158"/>
      <c r="L72" s="158"/>
      <c r="M72" s="159"/>
      <c r="N72" s="154"/>
      <c r="O72" s="155"/>
      <c r="P72" s="155"/>
      <c r="Q72" s="155"/>
      <c r="R72" s="155"/>
      <c r="S72" s="156"/>
      <c r="T72" s="157"/>
      <c r="U72" s="158"/>
      <c r="V72" s="158"/>
      <c r="W72" s="158"/>
      <c r="X72" s="158"/>
      <c r="Y72" s="158"/>
      <c r="Z72" s="159"/>
    </row>
    <row r="73" spans="1:26" ht="18" customHeight="1" x14ac:dyDescent="0.15">
      <c r="A73" s="112"/>
      <c r="B73" s="154"/>
      <c r="C73" s="155"/>
      <c r="D73" s="155"/>
      <c r="E73" s="155"/>
      <c r="F73" s="156"/>
      <c r="G73" s="157"/>
      <c r="H73" s="158"/>
      <c r="I73" s="158"/>
      <c r="J73" s="158"/>
      <c r="K73" s="158"/>
      <c r="L73" s="158"/>
      <c r="M73" s="159"/>
      <c r="N73" s="154"/>
      <c r="O73" s="155"/>
      <c r="P73" s="155"/>
      <c r="Q73" s="155"/>
      <c r="R73" s="155"/>
      <c r="S73" s="156"/>
      <c r="T73" s="157"/>
      <c r="U73" s="158"/>
      <c r="V73" s="158"/>
      <c r="W73" s="158"/>
      <c r="X73" s="158"/>
      <c r="Y73" s="158"/>
      <c r="Z73" s="159"/>
    </row>
    <row r="74" spans="1:26" ht="18" customHeight="1" x14ac:dyDescent="0.15">
      <c r="A74" s="112"/>
      <c r="B74" s="154"/>
      <c r="C74" s="155"/>
      <c r="D74" s="155"/>
      <c r="E74" s="155"/>
      <c r="F74" s="156"/>
      <c r="G74" s="157"/>
      <c r="H74" s="158"/>
      <c r="I74" s="158"/>
      <c r="J74" s="158"/>
      <c r="K74" s="158"/>
      <c r="L74" s="158"/>
      <c r="M74" s="159"/>
      <c r="N74" s="154"/>
      <c r="O74" s="155"/>
      <c r="P74" s="155"/>
      <c r="Q74" s="155"/>
      <c r="R74" s="155"/>
      <c r="S74" s="156"/>
      <c r="T74" s="157"/>
      <c r="U74" s="158"/>
      <c r="V74" s="158"/>
      <c r="W74" s="158"/>
      <c r="X74" s="158"/>
      <c r="Y74" s="158"/>
      <c r="Z74" s="159"/>
    </row>
    <row r="75" spans="1:26" ht="18" customHeight="1" x14ac:dyDescent="0.15">
      <c r="A75" s="112"/>
      <c r="B75" s="154"/>
      <c r="C75" s="155"/>
      <c r="D75" s="155"/>
      <c r="E75" s="155"/>
      <c r="F75" s="156"/>
      <c r="G75" s="157"/>
      <c r="H75" s="158"/>
      <c r="I75" s="158"/>
      <c r="J75" s="158"/>
      <c r="K75" s="158"/>
      <c r="L75" s="158"/>
      <c r="M75" s="159"/>
      <c r="N75" s="154"/>
      <c r="O75" s="155"/>
      <c r="P75" s="155"/>
      <c r="Q75" s="155"/>
      <c r="R75" s="155"/>
      <c r="S75" s="156"/>
      <c r="T75" s="157"/>
      <c r="U75" s="158"/>
      <c r="V75" s="158"/>
      <c r="W75" s="158"/>
      <c r="X75" s="158"/>
      <c r="Y75" s="158"/>
      <c r="Z75" s="159"/>
    </row>
    <row r="76" spans="1:26" ht="18" customHeight="1" x14ac:dyDescent="0.15">
      <c r="A76" s="112"/>
      <c r="B76" s="220"/>
      <c r="C76" s="221"/>
      <c r="D76" s="221"/>
      <c r="E76" s="221"/>
      <c r="F76" s="222"/>
      <c r="G76" s="223"/>
      <c r="H76" s="224"/>
      <c r="I76" s="224"/>
      <c r="J76" s="224"/>
      <c r="K76" s="224"/>
      <c r="L76" s="224"/>
      <c r="M76" s="225"/>
      <c r="N76" s="220"/>
      <c r="O76" s="221"/>
      <c r="P76" s="221"/>
      <c r="Q76" s="221"/>
      <c r="R76" s="221"/>
      <c r="S76" s="222"/>
      <c r="T76" s="223"/>
      <c r="U76" s="224"/>
      <c r="V76" s="224"/>
      <c r="W76" s="224"/>
      <c r="X76" s="224"/>
      <c r="Y76" s="224"/>
      <c r="Z76" s="225"/>
    </row>
    <row r="77" spans="1:26" ht="18" customHeight="1" x14ac:dyDescent="0.15">
      <c r="A77" s="112"/>
      <c r="B77" s="113"/>
      <c r="C77" s="113"/>
      <c r="D77" s="113"/>
      <c r="E77" s="113"/>
      <c r="F77" s="113"/>
      <c r="G77" s="12"/>
      <c r="H77" s="12"/>
      <c r="I77" s="12"/>
      <c r="J77" s="12"/>
      <c r="K77" s="12"/>
      <c r="L77" s="12"/>
      <c r="M77" s="12"/>
      <c r="N77" s="113"/>
      <c r="O77" s="113"/>
      <c r="P77" s="113"/>
      <c r="Q77" s="113"/>
      <c r="R77" s="113"/>
      <c r="S77" s="113"/>
      <c r="T77" s="12"/>
      <c r="U77" s="12"/>
      <c r="V77" s="12"/>
      <c r="W77" s="12"/>
      <c r="X77" s="12"/>
      <c r="Y77" s="12"/>
      <c r="Z77" s="12"/>
    </row>
    <row r="78" spans="1:26" ht="18.75" customHeight="1" x14ac:dyDescent="0.15">
      <c r="A78" s="13" t="s">
        <v>94</v>
      </c>
    </row>
    <row r="79" spans="1:26" ht="18.75" customHeight="1" x14ac:dyDescent="0.15">
      <c r="B79" s="69" t="s">
        <v>95</v>
      </c>
      <c r="C79" s="70"/>
      <c r="D79" s="177" t="s">
        <v>96</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x14ac:dyDescent="0.15">
      <c r="B80" s="162" t="s">
        <v>97</v>
      </c>
      <c r="C80" s="76" t="s">
        <v>77</v>
      </c>
      <c r="D80" s="171" t="s">
        <v>233</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78" customHeight="1" x14ac:dyDescent="0.15">
      <c r="B81" s="163"/>
      <c r="C81" s="99" t="s">
        <v>98</v>
      </c>
      <c r="D81" s="208" t="s">
        <v>233</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160" t="s">
        <v>99</v>
      </c>
      <c r="C82" s="71" t="s">
        <v>80</v>
      </c>
      <c r="D82" s="211" t="s">
        <v>234</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161"/>
      <c r="C83" s="100" t="s">
        <v>81</v>
      </c>
      <c r="D83" s="217" t="s">
        <v>235</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66" customHeight="1" x14ac:dyDescent="0.15">
      <c r="B84" s="160" t="s">
        <v>100</v>
      </c>
      <c r="C84" s="71" t="s">
        <v>83</v>
      </c>
      <c r="D84" s="211" t="s">
        <v>236</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161"/>
      <c r="C85" s="73" t="s">
        <v>84</v>
      </c>
      <c r="D85" s="214" t="s">
        <v>236</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2" t="s">
        <v>101</v>
      </c>
      <c r="C86" s="76" t="s">
        <v>86</v>
      </c>
      <c r="D86" s="171" t="s">
        <v>237</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6" customHeight="1" x14ac:dyDescent="0.15">
      <c r="B87" s="170"/>
      <c r="C87" s="72" t="s">
        <v>87</v>
      </c>
      <c r="D87" s="174" t="s">
        <v>238</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6" customHeight="1" x14ac:dyDescent="0.15">
      <c r="B88" s="162" t="s">
        <v>102</v>
      </c>
      <c r="C88" s="71" t="s">
        <v>89</v>
      </c>
      <c r="D88" s="164" t="s">
        <v>239</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63"/>
      <c r="C89" s="72" t="s">
        <v>90</v>
      </c>
      <c r="D89" s="151" t="s">
        <v>240</v>
      </c>
      <c r="E89" s="152"/>
      <c r="F89" s="152"/>
      <c r="G89" s="152"/>
      <c r="H89" s="152"/>
      <c r="I89" s="152"/>
      <c r="J89" s="152"/>
      <c r="K89" s="152"/>
      <c r="L89" s="152"/>
      <c r="M89" s="152"/>
      <c r="N89" s="152"/>
      <c r="O89" s="152"/>
      <c r="P89" s="152"/>
      <c r="Q89" s="152"/>
      <c r="R89" s="152"/>
      <c r="S89" s="152"/>
      <c r="T89" s="152"/>
      <c r="U89" s="152"/>
      <c r="V89" s="152"/>
      <c r="W89" s="152"/>
      <c r="X89" s="152"/>
      <c r="Y89" s="152"/>
      <c r="Z89" s="153"/>
    </row>
    <row r="90" spans="1:26" ht="66" customHeight="1" x14ac:dyDescent="0.15">
      <c r="B90" s="161"/>
      <c r="C90" s="73" t="s">
        <v>91</v>
      </c>
      <c r="D90" s="167" t="s">
        <v>241</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103</v>
      </c>
    </row>
    <row r="93" spans="1:26" ht="18.75" customHeight="1" x14ac:dyDescent="0.15">
      <c r="B93" s="229" t="s">
        <v>232</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3" t="s">
        <v>104</v>
      </c>
    </row>
    <row r="98" spans="1:26" ht="15" customHeight="1" x14ac:dyDescent="0.15">
      <c r="B98" s="238" t="s">
        <v>183</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40"/>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Y27:Z33 Y38:Z44 Y49:Z55 Y60:Z66 L38:M44 T60:T66 U16:U22 U27:U33 H16:H22 U38:U44 L27:M33 U49:U55 L49:M55 L16:M22 H27:H33 H38:H44 H49:H55 G60:G66 L60:M66" xr:uid="{52A06F1A-6885-4349-ADD6-E0DCD3F90828}">
      <formula1>"○"</formula1>
    </dataValidation>
    <dataValidation type="list" allowBlank="1" showInputMessage="1" showErrorMessage="1" sqref="Z23 Z34 D34:K34 D23:K23 V16:V22 I38:I44 V27:V33 I49:I55 V38:V44 I16:I22 V49:V55 I27:I33 U60:U66 H60:H66" xr:uid="{DFE12393-C0BF-4768-A62D-93199918E82A}">
      <formula1>"全学開講,一部開講"</formula1>
    </dataValidation>
    <dataValidation type="list" allowBlank="1" showInputMessage="1" showErrorMessage="1" sqref="O4" xr:uid="{905A876F-B998-4288-9163-AB03517FB9D4}">
      <formula1>"学部・学科によって、修了要件は相違する,学部・学科によって、修了要件は相違しない"</formula1>
    </dataValidation>
    <dataValidation type="list" allowBlank="1" showInputMessage="1" showErrorMessage="1" sqref="H74:M77 G70:G77 H70:M71 T70:T77 U70:Z71 U74:Z77" xr:uid="{FA6CD3B0-0C8A-46FD-A8E4-1C6627AA8C5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89929BE4-317D-4EF3-97B7-50B96F0AB033}"/>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D337-7C0D-443F-A96A-709A7E415F06}">
  <dimension ref="A1:Z98"/>
  <sheetViews>
    <sheetView showZeros="0" view="pageBreakPreview" zoomScale="70" zoomScaleNormal="100" zoomScaleSheetLayoutView="7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1" t="s">
        <v>261</v>
      </c>
      <c r="X1" s="241"/>
      <c r="Y1" s="241"/>
      <c r="Z1" s="241"/>
    </row>
    <row r="2" spans="1:26" ht="18" customHeight="1" x14ac:dyDescent="0.15">
      <c r="A2" s="198" t="s">
        <v>69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112"/>
      <c r="C3" s="112"/>
      <c r="D3" s="112"/>
      <c r="E3" s="112"/>
      <c r="F3" s="112"/>
      <c r="G3" s="112"/>
      <c r="H3" s="112"/>
      <c r="I3" s="112"/>
      <c r="J3" s="112"/>
      <c r="K3" s="112"/>
      <c r="L3" s="112"/>
      <c r="M3" s="112"/>
      <c r="N3" s="112"/>
      <c r="O3" s="112"/>
      <c r="P3" s="112"/>
      <c r="Q3" s="112"/>
      <c r="R3" s="112"/>
      <c r="S3" s="112"/>
      <c r="T3" s="112"/>
      <c r="U3" s="112"/>
      <c r="V3" s="112"/>
      <c r="W3" s="112"/>
      <c r="X3" s="112"/>
      <c r="Y3" s="112"/>
      <c r="Z3" s="112"/>
    </row>
    <row r="4" spans="1:26" ht="18" customHeight="1" x14ac:dyDescent="0.15">
      <c r="A4" s="13" t="s">
        <v>70</v>
      </c>
      <c r="B4" s="112"/>
      <c r="C4" s="112"/>
      <c r="D4" s="112"/>
      <c r="E4" s="112"/>
      <c r="F4" s="112"/>
      <c r="G4" s="112"/>
      <c r="H4" s="14" t="s">
        <v>71</v>
      </c>
      <c r="I4" s="112"/>
      <c r="J4" s="112"/>
      <c r="K4" s="112"/>
      <c r="L4" s="112"/>
      <c r="M4" s="112"/>
      <c r="N4" s="112"/>
      <c r="O4" s="138" t="s">
        <v>207</v>
      </c>
      <c r="P4" s="140"/>
      <c r="Q4" s="140"/>
      <c r="R4" s="140"/>
      <c r="S4" s="140"/>
      <c r="T4" s="140"/>
      <c r="U4" s="140"/>
      <c r="V4" s="140"/>
      <c r="W4" s="140"/>
      <c r="X4" s="140"/>
      <c r="Y4" s="140"/>
      <c r="Z4" s="139"/>
    </row>
    <row r="5" spans="1:26" ht="6" customHeight="1" x14ac:dyDescent="0.15">
      <c r="B5" s="112"/>
      <c r="C5" s="112"/>
      <c r="D5" s="112"/>
      <c r="E5" s="112"/>
      <c r="F5" s="112"/>
      <c r="G5" s="112"/>
      <c r="H5" s="112"/>
      <c r="I5" s="112"/>
      <c r="J5" s="112"/>
      <c r="K5" s="112"/>
      <c r="L5" s="112"/>
      <c r="M5" s="112"/>
      <c r="N5" s="112"/>
      <c r="O5" s="15"/>
      <c r="P5" s="112"/>
      <c r="Q5" s="112"/>
      <c r="R5" s="112"/>
      <c r="S5" s="112"/>
      <c r="T5" s="112"/>
      <c r="U5" s="112"/>
      <c r="V5" s="112"/>
      <c r="W5" s="112"/>
      <c r="X5" s="112"/>
      <c r="Y5" s="112"/>
      <c r="Z5" s="112"/>
    </row>
    <row r="6" spans="1:26" ht="18" customHeight="1" x14ac:dyDescent="0.15">
      <c r="B6" s="199" t="s">
        <v>242</v>
      </c>
      <c r="C6" s="200"/>
      <c r="D6" s="200"/>
      <c r="E6" s="200"/>
      <c r="F6" s="200"/>
      <c r="G6" s="200"/>
      <c r="H6" s="200"/>
      <c r="I6" s="200"/>
      <c r="J6" s="200"/>
      <c r="K6" s="200"/>
      <c r="L6" s="200"/>
      <c r="M6" s="200"/>
      <c r="N6" s="200"/>
      <c r="O6" s="200"/>
      <c r="P6" s="200"/>
      <c r="Q6" s="200"/>
      <c r="R6" s="200"/>
      <c r="S6" s="200"/>
      <c r="T6" s="200"/>
      <c r="U6" s="200"/>
      <c r="V6" s="200"/>
      <c r="W6" s="200"/>
      <c r="X6" s="200"/>
      <c r="Y6" s="200"/>
      <c r="Z6" s="201"/>
    </row>
    <row r="7" spans="1:26" ht="18" customHeight="1" x14ac:dyDescent="0.15">
      <c r="B7" s="202"/>
      <c r="C7" s="203"/>
      <c r="D7" s="203"/>
      <c r="E7" s="203"/>
      <c r="F7" s="203"/>
      <c r="G7" s="203"/>
      <c r="H7" s="203"/>
      <c r="I7" s="203"/>
      <c r="J7" s="203"/>
      <c r="K7" s="203"/>
      <c r="L7" s="203"/>
      <c r="M7" s="203"/>
      <c r="N7" s="203"/>
      <c r="O7" s="203"/>
      <c r="P7" s="203"/>
      <c r="Q7" s="203"/>
      <c r="R7" s="203"/>
      <c r="S7" s="203"/>
      <c r="T7" s="203"/>
      <c r="U7" s="203"/>
      <c r="V7" s="203"/>
      <c r="W7" s="203"/>
      <c r="X7" s="203"/>
      <c r="Y7" s="203"/>
      <c r="Z7" s="204"/>
    </row>
    <row r="8" spans="1:26" ht="18" customHeight="1" x14ac:dyDescent="0.15">
      <c r="B8" s="202"/>
      <c r="C8" s="203"/>
      <c r="D8" s="203"/>
      <c r="E8" s="203"/>
      <c r="F8" s="203"/>
      <c r="G8" s="203"/>
      <c r="H8" s="203"/>
      <c r="I8" s="203"/>
      <c r="J8" s="203"/>
      <c r="K8" s="203"/>
      <c r="L8" s="203"/>
      <c r="M8" s="203"/>
      <c r="N8" s="203"/>
      <c r="O8" s="203"/>
      <c r="P8" s="203"/>
      <c r="Q8" s="203"/>
      <c r="R8" s="203"/>
      <c r="S8" s="203"/>
      <c r="T8" s="203"/>
      <c r="U8" s="203"/>
      <c r="V8" s="203"/>
      <c r="W8" s="203"/>
      <c r="X8" s="203"/>
      <c r="Y8" s="203"/>
      <c r="Z8" s="204"/>
    </row>
    <row r="9" spans="1:26" ht="18" customHeight="1" x14ac:dyDescent="0.15">
      <c r="B9" s="202"/>
      <c r="C9" s="203"/>
      <c r="D9" s="203"/>
      <c r="E9" s="203"/>
      <c r="F9" s="203"/>
      <c r="G9" s="203"/>
      <c r="H9" s="203"/>
      <c r="I9" s="203"/>
      <c r="J9" s="203"/>
      <c r="K9" s="203"/>
      <c r="L9" s="203"/>
      <c r="M9" s="203"/>
      <c r="N9" s="203"/>
      <c r="O9" s="203"/>
      <c r="P9" s="203"/>
      <c r="Q9" s="203"/>
      <c r="R9" s="203"/>
      <c r="S9" s="203"/>
      <c r="T9" s="203"/>
      <c r="U9" s="203"/>
      <c r="V9" s="203"/>
      <c r="W9" s="203"/>
      <c r="X9" s="203"/>
      <c r="Y9" s="203"/>
      <c r="Z9" s="204"/>
    </row>
    <row r="10" spans="1:26" ht="18" customHeight="1" x14ac:dyDescent="0.1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4"/>
    </row>
    <row r="11" spans="1:26" ht="18" customHeight="1" x14ac:dyDescent="0.15">
      <c r="B11" s="205"/>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7"/>
    </row>
    <row r="12" spans="1:26" ht="7.5" customHeight="1" x14ac:dyDescent="0.15">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row>
    <row r="13" spans="1:26" ht="18" customHeight="1" x14ac:dyDescent="0.15">
      <c r="A13" s="194" t="s">
        <v>72</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15">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15">
      <c r="A15" s="14"/>
      <c r="B15" s="138" t="s">
        <v>73</v>
      </c>
      <c r="C15" s="140"/>
      <c r="D15" s="140"/>
      <c r="E15" s="140"/>
      <c r="F15" s="139"/>
      <c r="G15" s="26" t="s">
        <v>74</v>
      </c>
      <c r="H15" s="101" t="s">
        <v>75</v>
      </c>
      <c r="I15" s="140" t="s">
        <v>76</v>
      </c>
      <c r="J15" s="140"/>
      <c r="K15" s="140"/>
      <c r="L15" s="67" t="s">
        <v>77</v>
      </c>
      <c r="M15" s="67" t="s">
        <v>78</v>
      </c>
      <c r="N15" s="138" t="s">
        <v>73</v>
      </c>
      <c r="O15" s="140"/>
      <c r="P15" s="140"/>
      <c r="Q15" s="140"/>
      <c r="R15" s="140"/>
      <c r="S15" s="139"/>
      <c r="T15" s="26" t="s">
        <v>74</v>
      </c>
      <c r="U15" s="101" t="s">
        <v>75</v>
      </c>
      <c r="V15" s="140" t="s">
        <v>76</v>
      </c>
      <c r="W15" s="140"/>
      <c r="X15" s="140"/>
      <c r="Y15" s="67" t="s">
        <v>77</v>
      </c>
      <c r="Z15" s="67" t="s">
        <v>78</v>
      </c>
    </row>
    <row r="16" spans="1:26" ht="18" customHeight="1" x14ac:dyDescent="0.15">
      <c r="A16" s="14"/>
      <c r="B16" s="188" t="s">
        <v>187</v>
      </c>
      <c r="C16" s="189"/>
      <c r="D16" s="189"/>
      <c r="E16" s="189"/>
      <c r="F16" s="190"/>
      <c r="G16" s="103">
        <v>1</v>
      </c>
      <c r="H16" s="103" t="s">
        <v>184</v>
      </c>
      <c r="I16" s="182" t="s">
        <v>185</v>
      </c>
      <c r="J16" s="183"/>
      <c r="K16" s="184"/>
      <c r="L16" s="103" t="s">
        <v>184</v>
      </c>
      <c r="M16" s="103" t="s">
        <v>184</v>
      </c>
      <c r="N16" s="145"/>
      <c r="O16" s="146"/>
      <c r="P16" s="146"/>
      <c r="Q16" s="146"/>
      <c r="R16" s="146"/>
      <c r="S16" s="147"/>
      <c r="T16" s="102"/>
      <c r="U16" s="102"/>
      <c r="V16" s="179"/>
      <c r="W16" s="180"/>
      <c r="X16" s="181"/>
      <c r="Y16" s="102"/>
      <c r="Z16" s="102"/>
    </row>
    <row r="17" spans="1:26" ht="18" customHeight="1" x14ac:dyDescent="0.15">
      <c r="A17" s="14"/>
      <c r="B17" s="188"/>
      <c r="C17" s="189"/>
      <c r="D17" s="189"/>
      <c r="E17" s="189"/>
      <c r="F17" s="190"/>
      <c r="G17" s="103"/>
      <c r="H17" s="103"/>
      <c r="I17" s="182"/>
      <c r="J17" s="183"/>
      <c r="K17" s="184"/>
      <c r="L17" s="103"/>
      <c r="M17" s="103"/>
      <c r="N17" s="154"/>
      <c r="O17" s="155"/>
      <c r="P17" s="155"/>
      <c r="Q17" s="155"/>
      <c r="R17" s="155"/>
      <c r="S17" s="156"/>
      <c r="T17" s="103"/>
      <c r="U17" s="103"/>
      <c r="V17" s="182"/>
      <c r="W17" s="183"/>
      <c r="X17" s="184"/>
      <c r="Y17" s="103"/>
      <c r="Z17" s="103"/>
    </row>
    <row r="18" spans="1:26" ht="18" customHeight="1" x14ac:dyDescent="0.15">
      <c r="A18" s="14"/>
      <c r="B18" s="188"/>
      <c r="C18" s="189"/>
      <c r="D18" s="189"/>
      <c r="E18" s="189"/>
      <c r="F18" s="190"/>
      <c r="G18" s="103"/>
      <c r="H18" s="103"/>
      <c r="I18" s="182"/>
      <c r="J18" s="183"/>
      <c r="K18" s="184"/>
      <c r="L18" s="103"/>
      <c r="M18" s="103"/>
      <c r="N18" s="154"/>
      <c r="O18" s="155"/>
      <c r="P18" s="155"/>
      <c r="Q18" s="155"/>
      <c r="R18" s="155"/>
      <c r="S18" s="156"/>
      <c r="T18" s="103"/>
      <c r="U18" s="103"/>
      <c r="V18" s="182"/>
      <c r="W18" s="183"/>
      <c r="X18" s="184"/>
      <c r="Y18" s="103"/>
      <c r="Z18" s="103"/>
    </row>
    <row r="19" spans="1:26" ht="18" customHeight="1" x14ac:dyDescent="0.15">
      <c r="A19" s="14"/>
      <c r="B19" s="188"/>
      <c r="C19" s="189"/>
      <c r="D19" s="189"/>
      <c r="E19" s="189"/>
      <c r="F19" s="190"/>
      <c r="G19" s="103"/>
      <c r="H19" s="103"/>
      <c r="I19" s="182"/>
      <c r="J19" s="183"/>
      <c r="K19" s="184"/>
      <c r="L19" s="103"/>
      <c r="M19" s="103"/>
      <c r="N19" s="154"/>
      <c r="O19" s="155"/>
      <c r="P19" s="155"/>
      <c r="Q19" s="155"/>
      <c r="R19" s="155"/>
      <c r="S19" s="156"/>
      <c r="T19" s="103"/>
      <c r="U19" s="103"/>
      <c r="V19" s="182"/>
      <c r="W19" s="183"/>
      <c r="X19" s="184"/>
      <c r="Y19" s="103"/>
      <c r="Z19" s="103"/>
    </row>
    <row r="20" spans="1:26" ht="18" customHeight="1" x14ac:dyDescent="0.15">
      <c r="A20" s="14"/>
      <c r="B20" s="188"/>
      <c r="C20" s="189"/>
      <c r="D20" s="189"/>
      <c r="E20" s="189"/>
      <c r="F20" s="190"/>
      <c r="G20" s="103"/>
      <c r="H20" s="103"/>
      <c r="I20" s="182"/>
      <c r="J20" s="183"/>
      <c r="K20" s="184"/>
      <c r="L20" s="103"/>
      <c r="M20" s="103"/>
      <c r="N20" s="154"/>
      <c r="O20" s="155"/>
      <c r="P20" s="155"/>
      <c r="Q20" s="155"/>
      <c r="R20" s="155"/>
      <c r="S20" s="156"/>
      <c r="T20" s="103"/>
      <c r="U20" s="103"/>
      <c r="V20" s="182"/>
      <c r="W20" s="183"/>
      <c r="X20" s="184"/>
      <c r="Y20" s="103"/>
      <c r="Z20" s="103"/>
    </row>
    <row r="21" spans="1:26" ht="18" customHeight="1" x14ac:dyDescent="0.15">
      <c r="A21" s="112"/>
      <c r="B21" s="188"/>
      <c r="C21" s="189"/>
      <c r="D21" s="189"/>
      <c r="E21" s="189"/>
      <c r="F21" s="190"/>
      <c r="G21" s="103"/>
      <c r="H21" s="103"/>
      <c r="I21" s="182"/>
      <c r="J21" s="183"/>
      <c r="K21" s="184"/>
      <c r="L21" s="103"/>
      <c r="M21" s="103"/>
      <c r="N21" s="154"/>
      <c r="O21" s="155"/>
      <c r="P21" s="155"/>
      <c r="Q21" s="155"/>
      <c r="R21" s="155"/>
      <c r="S21" s="156"/>
      <c r="T21" s="103"/>
      <c r="U21" s="103"/>
      <c r="V21" s="182"/>
      <c r="W21" s="183"/>
      <c r="X21" s="184"/>
      <c r="Y21" s="103"/>
      <c r="Z21" s="103"/>
    </row>
    <row r="22" spans="1:26" ht="18" customHeight="1" x14ac:dyDescent="0.15">
      <c r="A22" s="112"/>
      <c r="B22" s="195"/>
      <c r="C22" s="196"/>
      <c r="D22" s="196"/>
      <c r="E22" s="196"/>
      <c r="F22" s="197"/>
      <c r="G22" s="104"/>
      <c r="H22" s="104"/>
      <c r="I22" s="191"/>
      <c r="J22" s="192"/>
      <c r="K22" s="193"/>
      <c r="L22" s="109"/>
      <c r="M22" s="109"/>
      <c r="N22" s="220"/>
      <c r="O22" s="221"/>
      <c r="P22" s="221"/>
      <c r="Q22" s="221"/>
      <c r="R22" s="221"/>
      <c r="S22" s="222"/>
      <c r="T22" s="104"/>
      <c r="U22" s="104"/>
      <c r="V22" s="191"/>
      <c r="W22" s="192"/>
      <c r="X22" s="193"/>
      <c r="Y22" s="109"/>
      <c r="Z22" s="109"/>
    </row>
    <row r="23" spans="1:26" ht="7.5" customHeight="1" x14ac:dyDescent="0.15">
      <c r="A23" s="112"/>
      <c r="B23" s="113"/>
      <c r="C23" s="113"/>
      <c r="D23" s="112"/>
      <c r="E23" s="112"/>
      <c r="F23" s="112"/>
      <c r="G23" s="112"/>
      <c r="H23" s="112"/>
      <c r="I23" s="112"/>
      <c r="J23" s="112"/>
      <c r="K23" s="112"/>
      <c r="L23" s="113"/>
      <c r="M23" s="113"/>
      <c r="N23" s="113"/>
      <c r="O23" s="113"/>
      <c r="P23" s="113"/>
      <c r="Q23" s="113"/>
      <c r="R23" s="113"/>
      <c r="S23" s="113"/>
      <c r="T23" s="113"/>
      <c r="U23" s="113"/>
      <c r="V23" s="113"/>
      <c r="W23" s="113"/>
      <c r="X23" s="113"/>
      <c r="Y23" s="113"/>
      <c r="Z23" s="112"/>
    </row>
    <row r="24" spans="1:26" ht="18" customHeight="1" x14ac:dyDescent="0.15">
      <c r="A24" s="194" t="s">
        <v>79</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1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15">
      <c r="A26" s="14"/>
      <c r="B26" s="138" t="s">
        <v>73</v>
      </c>
      <c r="C26" s="140"/>
      <c r="D26" s="140"/>
      <c r="E26" s="140"/>
      <c r="F26" s="139"/>
      <c r="G26" s="26" t="s">
        <v>74</v>
      </c>
      <c r="H26" s="101" t="s">
        <v>75</v>
      </c>
      <c r="I26" s="140" t="s">
        <v>76</v>
      </c>
      <c r="J26" s="140"/>
      <c r="K26" s="140"/>
      <c r="L26" s="67" t="s">
        <v>80</v>
      </c>
      <c r="M26" s="67" t="s">
        <v>81</v>
      </c>
      <c r="N26" s="138" t="s">
        <v>73</v>
      </c>
      <c r="O26" s="140"/>
      <c r="P26" s="140"/>
      <c r="Q26" s="140"/>
      <c r="R26" s="140"/>
      <c r="S26" s="139"/>
      <c r="T26" s="26" t="s">
        <v>74</v>
      </c>
      <c r="U26" s="101" t="s">
        <v>75</v>
      </c>
      <c r="V26" s="140" t="s">
        <v>76</v>
      </c>
      <c r="W26" s="140"/>
      <c r="X26" s="140"/>
      <c r="Y26" s="67" t="s">
        <v>80</v>
      </c>
      <c r="Z26" s="67" t="s">
        <v>81</v>
      </c>
    </row>
    <row r="27" spans="1:26" ht="18" customHeight="1" x14ac:dyDescent="0.15">
      <c r="A27" s="14"/>
      <c r="B27" s="188" t="s">
        <v>191</v>
      </c>
      <c r="C27" s="189"/>
      <c r="D27" s="189"/>
      <c r="E27" s="189"/>
      <c r="F27" s="190"/>
      <c r="G27" s="103">
        <v>1</v>
      </c>
      <c r="H27" s="103" t="s">
        <v>184</v>
      </c>
      <c r="I27" s="182" t="s">
        <v>185</v>
      </c>
      <c r="J27" s="183"/>
      <c r="K27" s="184"/>
      <c r="L27" s="103" t="s">
        <v>184</v>
      </c>
      <c r="M27" s="103" t="s">
        <v>184</v>
      </c>
      <c r="N27" s="145"/>
      <c r="O27" s="146"/>
      <c r="P27" s="146"/>
      <c r="Q27" s="146"/>
      <c r="R27" s="146"/>
      <c r="S27" s="147"/>
      <c r="T27" s="102"/>
      <c r="U27" s="102"/>
      <c r="V27" s="179"/>
      <c r="W27" s="180"/>
      <c r="X27" s="181"/>
      <c r="Y27" s="102"/>
      <c r="Z27" s="102"/>
    </row>
    <row r="28" spans="1:26" ht="18" customHeight="1" x14ac:dyDescent="0.15">
      <c r="A28" s="14"/>
      <c r="B28" s="188"/>
      <c r="C28" s="189"/>
      <c r="D28" s="189"/>
      <c r="E28" s="189"/>
      <c r="F28" s="190"/>
      <c r="G28" s="103"/>
      <c r="H28" s="103"/>
      <c r="I28" s="182"/>
      <c r="J28" s="183"/>
      <c r="K28" s="184"/>
      <c r="L28" s="103"/>
      <c r="M28" s="103"/>
      <c r="N28" s="154"/>
      <c r="O28" s="155"/>
      <c r="P28" s="155"/>
      <c r="Q28" s="155"/>
      <c r="R28" s="155"/>
      <c r="S28" s="156"/>
      <c r="T28" s="103"/>
      <c r="U28" s="103"/>
      <c r="V28" s="182"/>
      <c r="W28" s="183"/>
      <c r="X28" s="184"/>
      <c r="Y28" s="103"/>
      <c r="Z28" s="103"/>
    </row>
    <row r="29" spans="1:26" ht="18" customHeight="1" x14ac:dyDescent="0.15">
      <c r="A29" s="14"/>
      <c r="B29" s="188"/>
      <c r="C29" s="189"/>
      <c r="D29" s="189"/>
      <c r="E29" s="189"/>
      <c r="F29" s="190"/>
      <c r="G29" s="103"/>
      <c r="H29" s="103"/>
      <c r="I29" s="182"/>
      <c r="J29" s="183"/>
      <c r="K29" s="184"/>
      <c r="L29" s="103"/>
      <c r="M29" s="103"/>
      <c r="N29" s="154"/>
      <c r="O29" s="155"/>
      <c r="P29" s="155"/>
      <c r="Q29" s="155"/>
      <c r="R29" s="155"/>
      <c r="S29" s="156"/>
      <c r="T29" s="103"/>
      <c r="U29" s="103"/>
      <c r="V29" s="182"/>
      <c r="W29" s="183"/>
      <c r="X29" s="184"/>
      <c r="Y29" s="103"/>
      <c r="Z29" s="103"/>
    </row>
    <row r="30" spans="1:26" ht="18" customHeight="1" x14ac:dyDescent="0.15">
      <c r="A30" s="14"/>
      <c r="B30" s="188"/>
      <c r="C30" s="189"/>
      <c r="D30" s="189"/>
      <c r="E30" s="189"/>
      <c r="F30" s="190"/>
      <c r="G30" s="103"/>
      <c r="H30" s="103"/>
      <c r="I30" s="182"/>
      <c r="J30" s="183"/>
      <c r="K30" s="184"/>
      <c r="L30" s="103"/>
      <c r="M30" s="103"/>
      <c r="N30" s="154"/>
      <c r="O30" s="155"/>
      <c r="P30" s="155"/>
      <c r="Q30" s="155"/>
      <c r="R30" s="155"/>
      <c r="S30" s="156"/>
      <c r="T30" s="103"/>
      <c r="U30" s="103"/>
      <c r="V30" s="182"/>
      <c r="W30" s="183"/>
      <c r="X30" s="184"/>
      <c r="Y30" s="103"/>
      <c r="Z30" s="103"/>
    </row>
    <row r="31" spans="1:26" ht="18" customHeight="1" x14ac:dyDescent="0.15">
      <c r="A31" s="14"/>
      <c r="B31" s="188"/>
      <c r="C31" s="189"/>
      <c r="D31" s="189"/>
      <c r="E31" s="189"/>
      <c r="F31" s="190"/>
      <c r="G31" s="103"/>
      <c r="H31" s="103"/>
      <c r="I31" s="182"/>
      <c r="J31" s="183"/>
      <c r="K31" s="184"/>
      <c r="L31" s="103"/>
      <c r="M31" s="103"/>
      <c r="N31" s="154"/>
      <c r="O31" s="155"/>
      <c r="P31" s="155"/>
      <c r="Q31" s="155"/>
      <c r="R31" s="155"/>
      <c r="S31" s="156"/>
      <c r="T31" s="103"/>
      <c r="U31" s="103"/>
      <c r="V31" s="182"/>
      <c r="W31" s="183"/>
      <c r="X31" s="184"/>
      <c r="Y31" s="103"/>
      <c r="Z31" s="103"/>
    </row>
    <row r="32" spans="1:26" ht="18" customHeight="1" x14ac:dyDescent="0.15">
      <c r="A32" s="14"/>
      <c r="B32" s="188"/>
      <c r="C32" s="189"/>
      <c r="D32" s="189"/>
      <c r="E32" s="189"/>
      <c r="F32" s="190"/>
      <c r="G32" s="103"/>
      <c r="H32" s="103"/>
      <c r="I32" s="182"/>
      <c r="J32" s="183"/>
      <c r="K32" s="184"/>
      <c r="L32" s="103"/>
      <c r="M32" s="103"/>
      <c r="N32" s="154"/>
      <c r="O32" s="155"/>
      <c r="P32" s="155"/>
      <c r="Q32" s="155"/>
      <c r="R32" s="155"/>
      <c r="S32" s="156"/>
      <c r="T32" s="103"/>
      <c r="U32" s="103"/>
      <c r="V32" s="182"/>
      <c r="W32" s="183"/>
      <c r="X32" s="184"/>
      <c r="Y32" s="103"/>
      <c r="Z32" s="103"/>
    </row>
    <row r="33" spans="1:26" ht="18" customHeight="1" x14ac:dyDescent="0.15">
      <c r="A33" s="14"/>
      <c r="B33" s="195"/>
      <c r="C33" s="196"/>
      <c r="D33" s="196"/>
      <c r="E33" s="196"/>
      <c r="F33" s="197"/>
      <c r="G33" s="104"/>
      <c r="H33" s="104"/>
      <c r="I33" s="191"/>
      <c r="J33" s="192"/>
      <c r="K33" s="193"/>
      <c r="L33" s="109"/>
      <c r="M33" s="109"/>
      <c r="N33" s="220"/>
      <c r="O33" s="221"/>
      <c r="P33" s="221"/>
      <c r="Q33" s="221"/>
      <c r="R33" s="221"/>
      <c r="S33" s="222"/>
      <c r="T33" s="104"/>
      <c r="U33" s="104"/>
      <c r="V33" s="191"/>
      <c r="W33" s="192"/>
      <c r="X33" s="193"/>
      <c r="Y33" s="109"/>
      <c r="Z33" s="109"/>
    </row>
    <row r="34" spans="1:26" ht="7.5" customHeight="1" x14ac:dyDescent="0.15">
      <c r="A34" s="112"/>
      <c r="B34" s="113"/>
      <c r="C34" s="113"/>
      <c r="D34" s="112"/>
      <c r="E34" s="112"/>
      <c r="F34" s="112"/>
      <c r="G34" s="112"/>
      <c r="H34" s="112"/>
      <c r="I34" s="112"/>
      <c r="J34" s="112"/>
      <c r="K34" s="112"/>
      <c r="L34" s="113"/>
      <c r="M34" s="113"/>
      <c r="N34" s="113"/>
      <c r="O34" s="113"/>
      <c r="P34" s="113"/>
      <c r="Q34" s="113"/>
      <c r="R34" s="113"/>
      <c r="S34" s="113"/>
      <c r="T34" s="113"/>
      <c r="U34" s="113"/>
      <c r="V34" s="113"/>
      <c r="W34" s="113"/>
      <c r="X34" s="113"/>
      <c r="Y34" s="113"/>
      <c r="Z34" s="112"/>
    </row>
    <row r="35" spans="1:26" ht="18" customHeight="1" x14ac:dyDescent="0.15">
      <c r="A35" s="194" t="s">
        <v>82</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15">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15">
      <c r="A37" s="14"/>
      <c r="B37" s="138" t="s">
        <v>73</v>
      </c>
      <c r="C37" s="140"/>
      <c r="D37" s="140"/>
      <c r="E37" s="140"/>
      <c r="F37" s="139"/>
      <c r="G37" s="26" t="s">
        <v>74</v>
      </c>
      <c r="H37" s="101" t="s">
        <v>75</v>
      </c>
      <c r="I37" s="138" t="s">
        <v>76</v>
      </c>
      <c r="J37" s="140"/>
      <c r="K37" s="139"/>
      <c r="L37" s="67" t="s">
        <v>83</v>
      </c>
      <c r="M37" s="67" t="s">
        <v>84</v>
      </c>
      <c r="N37" s="138" t="s">
        <v>73</v>
      </c>
      <c r="O37" s="140"/>
      <c r="P37" s="140"/>
      <c r="Q37" s="140"/>
      <c r="R37" s="140"/>
      <c r="S37" s="139"/>
      <c r="T37" s="26" t="s">
        <v>74</v>
      </c>
      <c r="U37" s="101" t="s">
        <v>75</v>
      </c>
      <c r="V37" s="138" t="s">
        <v>76</v>
      </c>
      <c r="W37" s="140"/>
      <c r="X37" s="139"/>
      <c r="Y37" s="67" t="s">
        <v>83</v>
      </c>
      <c r="Z37" s="67" t="s">
        <v>84</v>
      </c>
    </row>
    <row r="38" spans="1:26" ht="18" customHeight="1" x14ac:dyDescent="0.15">
      <c r="A38" s="112"/>
      <c r="B38" s="188" t="s">
        <v>191</v>
      </c>
      <c r="C38" s="189"/>
      <c r="D38" s="189"/>
      <c r="E38" s="189"/>
      <c r="F38" s="190"/>
      <c r="G38" s="103">
        <v>1</v>
      </c>
      <c r="H38" s="103" t="s">
        <v>184</v>
      </c>
      <c r="I38" s="182" t="s">
        <v>185</v>
      </c>
      <c r="J38" s="183"/>
      <c r="K38" s="184"/>
      <c r="L38" s="103" t="s">
        <v>184</v>
      </c>
      <c r="M38" s="103" t="s">
        <v>184</v>
      </c>
      <c r="N38" s="145"/>
      <c r="O38" s="146"/>
      <c r="P38" s="146"/>
      <c r="Q38" s="146"/>
      <c r="R38" s="146"/>
      <c r="S38" s="147"/>
      <c r="T38" s="102"/>
      <c r="U38" s="102"/>
      <c r="V38" s="179"/>
      <c r="W38" s="180"/>
      <c r="X38" s="181"/>
      <c r="Y38" s="102"/>
      <c r="Z38" s="102"/>
    </row>
    <row r="39" spans="1:26" ht="18" customHeight="1" x14ac:dyDescent="0.15">
      <c r="A39" s="112"/>
      <c r="B39" s="188"/>
      <c r="C39" s="189"/>
      <c r="D39" s="189"/>
      <c r="E39" s="189"/>
      <c r="F39" s="190"/>
      <c r="G39" s="103"/>
      <c r="H39" s="103"/>
      <c r="I39" s="182"/>
      <c r="J39" s="183"/>
      <c r="K39" s="184"/>
      <c r="L39" s="103"/>
      <c r="M39" s="103"/>
      <c r="N39" s="154"/>
      <c r="O39" s="155"/>
      <c r="P39" s="155"/>
      <c r="Q39" s="155"/>
      <c r="R39" s="155"/>
      <c r="S39" s="156"/>
      <c r="T39" s="103"/>
      <c r="U39" s="103"/>
      <c r="V39" s="182"/>
      <c r="W39" s="183"/>
      <c r="X39" s="184"/>
      <c r="Y39" s="103"/>
      <c r="Z39" s="103"/>
    </row>
    <row r="40" spans="1:26" ht="18" customHeight="1" x14ac:dyDescent="0.15">
      <c r="A40" s="112"/>
      <c r="B40" s="188"/>
      <c r="C40" s="189"/>
      <c r="D40" s="189"/>
      <c r="E40" s="189"/>
      <c r="F40" s="190"/>
      <c r="G40" s="103"/>
      <c r="H40" s="103"/>
      <c r="I40" s="182"/>
      <c r="J40" s="183"/>
      <c r="K40" s="184"/>
      <c r="L40" s="103"/>
      <c r="M40" s="103"/>
      <c r="N40" s="154"/>
      <c r="O40" s="155"/>
      <c r="P40" s="155"/>
      <c r="Q40" s="155"/>
      <c r="R40" s="155"/>
      <c r="S40" s="156"/>
      <c r="T40" s="103"/>
      <c r="U40" s="103"/>
      <c r="V40" s="182"/>
      <c r="W40" s="183"/>
      <c r="X40" s="184"/>
      <c r="Y40" s="103"/>
      <c r="Z40" s="103"/>
    </row>
    <row r="41" spans="1:26" ht="18" customHeight="1" x14ac:dyDescent="0.15">
      <c r="A41" s="112"/>
      <c r="B41" s="188"/>
      <c r="C41" s="189"/>
      <c r="D41" s="189"/>
      <c r="E41" s="189"/>
      <c r="F41" s="190"/>
      <c r="G41" s="103"/>
      <c r="H41" s="103"/>
      <c r="I41" s="182"/>
      <c r="J41" s="183"/>
      <c r="K41" s="184"/>
      <c r="L41" s="103"/>
      <c r="M41" s="103"/>
      <c r="N41" s="154"/>
      <c r="O41" s="155"/>
      <c r="P41" s="155"/>
      <c r="Q41" s="155"/>
      <c r="R41" s="155"/>
      <c r="S41" s="156"/>
      <c r="T41" s="103"/>
      <c r="U41" s="103"/>
      <c r="V41" s="182"/>
      <c r="W41" s="183"/>
      <c r="X41" s="184"/>
      <c r="Y41" s="103"/>
      <c r="Z41" s="103"/>
    </row>
    <row r="42" spans="1:26" ht="18" customHeight="1" x14ac:dyDescent="0.15">
      <c r="A42" s="112"/>
      <c r="B42" s="188"/>
      <c r="C42" s="189"/>
      <c r="D42" s="189"/>
      <c r="E42" s="189"/>
      <c r="F42" s="190"/>
      <c r="G42" s="103"/>
      <c r="H42" s="103"/>
      <c r="I42" s="182"/>
      <c r="J42" s="183"/>
      <c r="K42" s="184"/>
      <c r="L42" s="103"/>
      <c r="M42" s="103"/>
      <c r="N42" s="154"/>
      <c r="O42" s="155"/>
      <c r="P42" s="155"/>
      <c r="Q42" s="155"/>
      <c r="R42" s="155"/>
      <c r="S42" s="156"/>
      <c r="T42" s="103"/>
      <c r="U42" s="103"/>
      <c r="V42" s="182"/>
      <c r="W42" s="183"/>
      <c r="X42" s="184"/>
      <c r="Y42" s="103"/>
      <c r="Z42" s="103"/>
    </row>
    <row r="43" spans="1:26" ht="18" customHeight="1" x14ac:dyDescent="0.15">
      <c r="A43" s="112"/>
      <c r="B43" s="188"/>
      <c r="C43" s="189"/>
      <c r="D43" s="189"/>
      <c r="E43" s="189"/>
      <c r="F43" s="190"/>
      <c r="G43" s="103"/>
      <c r="H43" s="103"/>
      <c r="I43" s="182"/>
      <c r="J43" s="183"/>
      <c r="K43" s="184"/>
      <c r="L43" s="103"/>
      <c r="M43" s="103"/>
      <c r="N43" s="154"/>
      <c r="O43" s="155"/>
      <c r="P43" s="155"/>
      <c r="Q43" s="155"/>
      <c r="R43" s="155"/>
      <c r="S43" s="156"/>
      <c r="T43" s="103"/>
      <c r="U43" s="103"/>
      <c r="V43" s="182"/>
      <c r="W43" s="183"/>
      <c r="X43" s="184"/>
      <c r="Y43" s="103"/>
      <c r="Z43" s="103"/>
    </row>
    <row r="44" spans="1:26" ht="18" customHeight="1" x14ac:dyDescent="0.15">
      <c r="A44" s="112"/>
      <c r="B44" s="195"/>
      <c r="C44" s="196"/>
      <c r="D44" s="196"/>
      <c r="E44" s="196"/>
      <c r="F44" s="197"/>
      <c r="G44" s="104"/>
      <c r="H44" s="104"/>
      <c r="I44" s="191"/>
      <c r="J44" s="192"/>
      <c r="K44" s="193"/>
      <c r="L44" s="109"/>
      <c r="M44" s="109"/>
      <c r="N44" s="220"/>
      <c r="O44" s="221"/>
      <c r="P44" s="221"/>
      <c r="Q44" s="221"/>
      <c r="R44" s="221"/>
      <c r="S44" s="222"/>
      <c r="T44" s="104"/>
      <c r="U44" s="104"/>
      <c r="V44" s="191"/>
      <c r="W44" s="192"/>
      <c r="X44" s="193"/>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4" t="s">
        <v>85</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15">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15">
      <c r="A48" s="14"/>
      <c r="B48" s="138" t="s">
        <v>73</v>
      </c>
      <c r="C48" s="140"/>
      <c r="D48" s="140"/>
      <c r="E48" s="140"/>
      <c r="F48" s="139"/>
      <c r="G48" s="26" t="s">
        <v>74</v>
      </c>
      <c r="H48" s="101" t="s">
        <v>75</v>
      </c>
      <c r="I48" s="138" t="s">
        <v>76</v>
      </c>
      <c r="J48" s="140"/>
      <c r="K48" s="139"/>
      <c r="L48" s="67" t="s">
        <v>86</v>
      </c>
      <c r="M48" s="67" t="s">
        <v>87</v>
      </c>
      <c r="N48" s="138" t="s">
        <v>73</v>
      </c>
      <c r="O48" s="140"/>
      <c r="P48" s="140"/>
      <c r="Q48" s="140"/>
      <c r="R48" s="140"/>
      <c r="S48" s="139"/>
      <c r="T48" s="26" t="s">
        <v>74</v>
      </c>
      <c r="U48" s="101" t="s">
        <v>75</v>
      </c>
      <c r="V48" s="138" t="s">
        <v>76</v>
      </c>
      <c r="W48" s="140"/>
      <c r="X48" s="139"/>
      <c r="Y48" s="67" t="s">
        <v>86</v>
      </c>
      <c r="Z48" s="67" t="s">
        <v>87</v>
      </c>
    </row>
    <row r="49" spans="1:26" ht="18" customHeight="1" x14ac:dyDescent="0.15">
      <c r="A49" s="112"/>
      <c r="B49" s="188" t="s">
        <v>191</v>
      </c>
      <c r="C49" s="189"/>
      <c r="D49" s="189"/>
      <c r="E49" s="189"/>
      <c r="F49" s="190"/>
      <c r="G49" s="103">
        <v>1</v>
      </c>
      <c r="H49" s="103" t="s">
        <v>184</v>
      </c>
      <c r="I49" s="182" t="s">
        <v>185</v>
      </c>
      <c r="J49" s="183"/>
      <c r="K49" s="184"/>
      <c r="L49" s="103" t="s">
        <v>184</v>
      </c>
      <c r="M49" s="103" t="s">
        <v>184</v>
      </c>
      <c r="N49" s="145"/>
      <c r="O49" s="146"/>
      <c r="P49" s="146"/>
      <c r="Q49" s="146"/>
      <c r="R49" s="146"/>
      <c r="S49" s="147"/>
      <c r="T49" s="102"/>
      <c r="U49" s="102"/>
      <c r="V49" s="179"/>
      <c r="W49" s="180"/>
      <c r="X49" s="181"/>
      <c r="Y49" s="102"/>
      <c r="Z49" s="102"/>
    </row>
    <row r="50" spans="1:26" ht="18" customHeight="1" x14ac:dyDescent="0.15">
      <c r="A50" s="112"/>
      <c r="B50" s="188"/>
      <c r="C50" s="189"/>
      <c r="D50" s="189"/>
      <c r="E50" s="189"/>
      <c r="F50" s="190"/>
      <c r="G50" s="103"/>
      <c r="H50" s="103"/>
      <c r="I50" s="182"/>
      <c r="J50" s="183"/>
      <c r="K50" s="184"/>
      <c r="L50" s="103"/>
      <c r="M50" s="103"/>
      <c r="N50" s="154"/>
      <c r="O50" s="155"/>
      <c r="P50" s="155"/>
      <c r="Q50" s="155"/>
      <c r="R50" s="155"/>
      <c r="S50" s="156"/>
      <c r="T50" s="103"/>
      <c r="U50" s="103"/>
      <c r="V50" s="182"/>
      <c r="W50" s="183"/>
      <c r="X50" s="184"/>
      <c r="Y50" s="103"/>
      <c r="Z50" s="103"/>
    </row>
    <row r="51" spans="1:26" ht="18" customHeight="1" x14ac:dyDescent="0.15">
      <c r="A51" s="112"/>
      <c r="B51" s="188"/>
      <c r="C51" s="189"/>
      <c r="D51" s="189"/>
      <c r="E51" s="189"/>
      <c r="F51" s="190"/>
      <c r="G51" s="103"/>
      <c r="H51" s="103"/>
      <c r="I51" s="182"/>
      <c r="J51" s="183"/>
      <c r="K51" s="184"/>
      <c r="L51" s="103"/>
      <c r="M51" s="103"/>
      <c r="N51" s="154"/>
      <c r="O51" s="155"/>
      <c r="P51" s="155"/>
      <c r="Q51" s="155"/>
      <c r="R51" s="155"/>
      <c r="S51" s="156"/>
      <c r="T51" s="103"/>
      <c r="U51" s="103"/>
      <c r="V51" s="182"/>
      <c r="W51" s="183"/>
      <c r="X51" s="184"/>
      <c r="Y51" s="103"/>
      <c r="Z51" s="103"/>
    </row>
    <row r="52" spans="1:26" ht="18" customHeight="1" x14ac:dyDescent="0.15">
      <c r="A52" s="112"/>
      <c r="B52" s="188"/>
      <c r="C52" s="189"/>
      <c r="D52" s="189"/>
      <c r="E52" s="189"/>
      <c r="F52" s="190"/>
      <c r="G52" s="103"/>
      <c r="H52" s="103"/>
      <c r="I52" s="182"/>
      <c r="J52" s="183"/>
      <c r="K52" s="184"/>
      <c r="L52" s="103"/>
      <c r="M52" s="103"/>
      <c r="N52" s="154"/>
      <c r="O52" s="155"/>
      <c r="P52" s="155"/>
      <c r="Q52" s="155"/>
      <c r="R52" s="155"/>
      <c r="S52" s="156"/>
      <c r="T52" s="103"/>
      <c r="U52" s="103"/>
      <c r="V52" s="182"/>
      <c r="W52" s="183"/>
      <c r="X52" s="184"/>
      <c r="Y52" s="103"/>
      <c r="Z52" s="103"/>
    </row>
    <row r="53" spans="1:26" ht="18" customHeight="1" x14ac:dyDescent="0.15">
      <c r="A53" s="112"/>
      <c r="B53" s="188"/>
      <c r="C53" s="189"/>
      <c r="D53" s="189"/>
      <c r="E53" s="189"/>
      <c r="F53" s="190"/>
      <c r="G53" s="103"/>
      <c r="H53" s="103"/>
      <c r="I53" s="182"/>
      <c r="J53" s="183"/>
      <c r="K53" s="184"/>
      <c r="L53" s="103"/>
      <c r="M53" s="103"/>
      <c r="N53" s="154"/>
      <c r="O53" s="155"/>
      <c r="P53" s="155"/>
      <c r="Q53" s="155"/>
      <c r="R53" s="155"/>
      <c r="S53" s="156"/>
      <c r="T53" s="103"/>
      <c r="U53" s="103"/>
      <c r="V53" s="182"/>
      <c r="W53" s="183"/>
      <c r="X53" s="184"/>
      <c r="Y53" s="103"/>
      <c r="Z53" s="103"/>
    </row>
    <row r="54" spans="1:26" ht="18" customHeight="1" x14ac:dyDescent="0.15">
      <c r="A54" s="112"/>
      <c r="B54" s="188"/>
      <c r="C54" s="189"/>
      <c r="D54" s="189"/>
      <c r="E54" s="189"/>
      <c r="F54" s="190"/>
      <c r="G54" s="103"/>
      <c r="H54" s="103"/>
      <c r="I54" s="182"/>
      <c r="J54" s="183"/>
      <c r="K54" s="184"/>
      <c r="L54" s="103"/>
      <c r="M54" s="103"/>
      <c r="N54" s="154"/>
      <c r="O54" s="155"/>
      <c r="P54" s="155"/>
      <c r="Q54" s="155"/>
      <c r="R54" s="155"/>
      <c r="S54" s="156"/>
      <c r="T54" s="103"/>
      <c r="U54" s="103"/>
      <c r="V54" s="182"/>
      <c r="W54" s="183"/>
      <c r="X54" s="184"/>
      <c r="Y54" s="103"/>
      <c r="Z54" s="103"/>
    </row>
    <row r="55" spans="1:26" ht="18" customHeight="1" x14ac:dyDescent="0.15">
      <c r="A55" s="112"/>
      <c r="B55" s="195"/>
      <c r="C55" s="196"/>
      <c r="D55" s="196"/>
      <c r="E55" s="196"/>
      <c r="F55" s="197"/>
      <c r="G55" s="104"/>
      <c r="H55" s="104"/>
      <c r="I55" s="191"/>
      <c r="J55" s="192"/>
      <c r="K55" s="193"/>
      <c r="L55" s="109"/>
      <c r="M55" s="109"/>
      <c r="N55" s="220"/>
      <c r="O55" s="221"/>
      <c r="P55" s="221"/>
      <c r="Q55" s="221"/>
      <c r="R55" s="221"/>
      <c r="S55" s="222"/>
      <c r="T55" s="104"/>
      <c r="U55" s="104"/>
      <c r="V55" s="191"/>
      <c r="W55" s="192"/>
      <c r="X55" s="193"/>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4" t="s">
        <v>88</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1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15">
      <c r="A59" s="14"/>
      <c r="B59" s="138" t="s">
        <v>73</v>
      </c>
      <c r="C59" s="140"/>
      <c r="D59" s="140"/>
      <c r="E59" s="139"/>
      <c r="F59" s="26" t="s">
        <v>74</v>
      </c>
      <c r="G59" s="101" t="s">
        <v>75</v>
      </c>
      <c r="H59" s="22" t="s">
        <v>76</v>
      </c>
      <c r="I59" s="98"/>
      <c r="J59" s="23"/>
      <c r="K59" s="67" t="s">
        <v>89</v>
      </c>
      <c r="L59" s="67" t="s">
        <v>90</v>
      </c>
      <c r="M59" s="67" t="s">
        <v>91</v>
      </c>
      <c r="N59" s="138" t="s">
        <v>73</v>
      </c>
      <c r="O59" s="140"/>
      <c r="P59" s="140"/>
      <c r="Q59" s="140"/>
      <c r="R59" s="139"/>
      <c r="S59" s="26" t="s">
        <v>74</v>
      </c>
      <c r="T59" s="101" t="s">
        <v>75</v>
      </c>
      <c r="U59" s="22" t="s">
        <v>76</v>
      </c>
      <c r="V59" s="98"/>
      <c r="W59" s="23"/>
      <c r="X59" s="67" t="s">
        <v>89</v>
      </c>
      <c r="Y59" s="67" t="s">
        <v>90</v>
      </c>
      <c r="Z59" s="67" t="s">
        <v>91</v>
      </c>
    </row>
    <row r="60" spans="1:26" ht="18" customHeight="1" x14ac:dyDescent="0.15">
      <c r="A60" s="112"/>
      <c r="B60" s="154" t="s">
        <v>197</v>
      </c>
      <c r="C60" s="155"/>
      <c r="D60" s="155"/>
      <c r="E60" s="156"/>
      <c r="F60" s="103">
        <v>2</v>
      </c>
      <c r="G60" s="103" t="s">
        <v>184</v>
      </c>
      <c r="H60" s="182" t="s">
        <v>185</v>
      </c>
      <c r="I60" s="183"/>
      <c r="J60" s="184"/>
      <c r="K60" s="114" t="s">
        <v>195</v>
      </c>
      <c r="L60" s="103" t="s">
        <v>184</v>
      </c>
      <c r="M60" s="103" t="s">
        <v>184</v>
      </c>
      <c r="N60" s="145"/>
      <c r="O60" s="146"/>
      <c r="P60" s="146"/>
      <c r="Q60" s="146"/>
      <c r="R60" s="147"/>
      <c r="S60" s="102"/>
      <c r="T60" s="102"/>
      <c r="U60" s="179"/>
      <c r="V60" s="180"/>
      <c r="W60" s="181"/>
      <c r="X60" s="116"/>
      <c r="Y60" s="102"/>
      <c r="Z60" s="102"/>
    </row>
    <row r="61" spans="1:26" ht="18" customHeight="1" x14ac:dyDescent="0.15">
      <c r="A61" s="112"/>
      <c r="B61" s="154"/>
      <c r="C61" s="155"/>
      <c r="D61" s="155"/>
      <c r="E61" s="156"/>
      <c r="F61" s="103"/>
      <c r="G61" s="103"/>
      <c r="H61" s="182"/>
      <c r="I61" s="183"/>
      <c r="J61" s="184"/>
      <c r="K61" s="114"/>
      <c r="L61" s="103"/>
      <c r="M61" s="103"/>
      <c r="N61" s="154"/>
      <c r="O61" s="155"/>
      <c r="P61" s="155"/>
      <c r="Q61" s="155"/>
      <c r="R61" s="156"/>
      <c r="S61" s="103"/>
      <c r="T61" s="103"/>
      <c r="U61" s="182"/>
      <c r="V61" s="183"/>
      <c r="W61" s="184"/>
      <c r="X61" s="114"/>
      <c r="Y61" s="103"/>
      <c r="Z61" s="103"/>
    </row>
    <row r="62" spans="1:26" ht="18" customHeight="1" x14ac:dyDescent="0.15">
      <c r="A62" s="112"/>
      <c r="B62" s="154"/>
      <c r="C62" s="155"/>
      <c r="D62" s="155"/>
      <c r="E62" s="156"/>
      <c r="F62" s="103"/>
      <c r="G62" s="103"/>
      <c r="H62" s="182"/>
      <c r="I62" s="183"/>
      <c r="J62" s="184"/>
      <c r="K62" s="114"/>
      <c r="L62" s="103"/>
      <c r="M62" s="103"/>
      <c r="N62" s="154"/>
      <c r="O62" s="155"/>
      <c r="P62" s="155"/>
      <c r="Q62" s="155"/>
      <c r="R62" s="156"/>
      <c r="S62" s="103"/>
      <c r="T62" s="103"/>
      <c r="U62" s="182"/>
      <c r="V62" s="183"/>
      <c r="W62" s="184"/>
      <c r="X62" s="114"/>
      <c r="Y62" s="103"/>
      <c r="Z62" s="103"/>
    </row>
    <row r="63" spans="1:26" ht="18" customHeight="1" x14ac:dyDescent="0.15">
      <c r="A63" s="112"/>
      <c r="B63" s="154"/>
      <c r="C63" s="155"/>
      <c r="D63" s="155"/>
      <c r="E63" s="156"/>
      <c r="F63" s="103"/>
      <c r="G63" s="103"/>
      <c r="H63" s="182"/>
      <c r="I63" s="183"/>
      <c r="J63" s="184"/>
      <c r="K63" s="114"/>
      <c r="L63" s="103"/>
      <c r="M63" s="103"/>
      <c r="N63" s="154"/>
      <c r="O63" s="155"/>
      <c r="P63" s="155"/>
      <c r="Q63" s="155"/>
      <c r="R63" s="156"/>
      <c r="S63" s="103"/>
      <c r="T63" s="103"/>
      <c r="U63" s="182"/>
      <c r="V63" s="183"/>
      <c r="W63" s="184"/>
      <c r="X63" s="114"/>
      <c r="Y63" s="103"/>
      <c r="Z63" s="103"/>
    </row>
    <row r="64" spans="1:26" ht="18" customHeight="1" x14ac:dyDescent="0.15">
      <c r="A64" s="112"/>
      <c r="B64" s="154"/>
      <c r="C64" s="155"/>
      <c r="D64" s="155"/>
      <c r="E64" s="156"/>
      <c r="F64" s="103"/>
      <c r="G64" s="103"/>
      <c r="H64" s="182"/>
      <c r="I64" s="183"/>
      <c r="J64" s="184"/>
      <c r="K64" s="114"/>
      <c r="L64" s="103"/>
      <c r="M64" s="103"/>
      <c r="N64" s="154"/>
      <c r="O64" s="155"/>
      <c r="P64" s="155"/>
      <c r="Q64" s="155"/>
      <c r="R64" s="156"/>
      <c r="S64" s="103"/>
      <c r="T64" s="103"/>
      <c r="U64" s="182"/>
      <c r="V64" s="183"/>
      <c r="W64" s="184"/>
      <c r="X64" s="114"/>
      <c r="Y64" s="103"/>
      <c r="Z64" s="103"/>
    </row>
    <row r="65" spans="1:26" ht="18" customHeight="1" x14ac:dyDescent="0.15">
      <c r="A65" s="112"/>
      <c r="B65" s="154"/>
      <c r="C65" s="155"/>
      <c r="D65" s="155"/>
      <c r="E65" s="156"/>
      <c r="F65" s="103"/>
      <c r="G65" s="103"/>
      <c r="H65" s="182"/>
      <c r="I65" s="183"/>
      <c r="J65" s="184"/>
      <c r="K65" s="114"/>
      <c r="L65" s="103"/>
      <c r="M65" s="103"/>
      <c r="N65" s="154"/>
      <c r="O65" s="155"/>
      <c r="P65" s="155"/>
      <c r="Q65" s="155"/>
      <c r="R65" s="156"/>
      <c r="S65" s="103"/>
      <c r="T65" s="103"/>
      <c r="U65" s="182"/>
      <c r="V65" s="183"/>
      <c r="W65" s="184"/>
      <c r="X65" s="114"/>
      <c r="Y65" s="103"/>
      <c r="Z65" s="103"/>
    </row>
    <row r="66" spans="1:26" ht="18" customHeight="1" x14ac:dyDescent="0.15">
      <c r="A66" s="112"/>
      <c r="B66" s="220"/>
      <c r="C66" s="221"/>
      <c r="D66" s="221"/>
      <c r="E66" s="222"/>
      <c r="F66" s="104"/>
      <c r="G66" s="104"/>
      <c r="H66" s="191"/>
      <c r="I66" s="192"/>
      <c r="J66" s="193"/>
      <c r="K66" s="115"/>
      <c r="L66" s="109"/>
      <c r="M66" s="109"/>
      <c r="N66" s="220"/>
      <c r="O66" s="221"/>
      <c r="P66" s="221"/>
      <c r="Q66" s="221"/>
      <c r="R66" s="222"/>
      <c r="S66" s="104"/>
      <c r="T66" s="104"/>
      <c r="U66" s="191"/>
      <c r="V66" s="192"/>
      <c r="W66" s="193"/>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92</v>
      </c>
      <c r="B68" s="14"/>
      <c r="C68" s="14"/>
      <c r="D68" s="14"/>
      <c r="E68" s="14"/>
      <c r="F68" s="14"/>
      <c r="G68" s="14"/>
      <c r="H68" s="14"/>
      <c r="I68" s="14"/>
      <c r="J68" s="14"/>
      <c r="K68" s="14"/>
      <c r="L68" s="112"/>
      <c r="M68" s="112"/>
      <c r="N68" s="112"/>
      <c r="O68" s="112"/>
      <c r="P68" s="112"/>
      <c r="Q68" s="112"/>
      <c r="R68" s="112"/>
      <c r="S68" s="112"/>
      <c r="T68" s="112"/>
      <c r="U68" s="112"/>
      <c r="V68" s="112"/>
      <c r="W68" s="112"/>
      <c r="X68" s="112"/>
      <c r="Y68" s="112"/>
      <c r="Z68" s="112"/>
    </row>
    <row r="69" spans="1:26" ht="18" customHeight="1" x14ac:dyDescent="0.15">
      <c r="A69" s="14"/>
      <c r="B69" s="138" t="s">
        <v>73</v>
      </c>
      <c r="C69" s="140"/>
      <c r="D69" s="140"/>
      <c r="E69" s="140"/>
      <c r="F69" s="139"/>
      <c r="G69" s="138" t="s">
        <v>93</v>
      </c>
      <c r="H69" s="140"/>
      <c r="I69" s="140"/>
      <c r="J69" s="140"/>
      <c r="K69" s="140"/>
      <c r="L69" s="140"/>
      <c r="M69" s="139"/>
      <c r="N69" s="226" t="s">
        <v>73</v>
      </c>
      <c r="O69" s="227"/>
      <c r="P69" s="227"/>
      <c r="Q69" s="227"/>
      <c r="R69" s="227"/>
      <c r="S69" s="228"/>
      <c r="T69" s="138" t="s">
        <v>93</v>
      </c>
      <c r="U69" s="140"/>
      <c r="V69" s="140"/>
      <c r="W69" s="140"/>
      <c r="X69" s="140"/>
      <c r="Y69" s="140"/>
      <c r="Z69" s="139"/>
    </row>
    <row r="70" spans="1:26" ht="18" customHeight="1" x14ac:dyDescent="0.15">
      <c r="A70" s="112"/>
      <c r="B70" s="145" t="s">
        <v>200</v>
      </c>
      <c r="C70" s="146"/>
      <c r="D70" s="146"/>
      <c r="E70" s="146"/>
      <c r="F70" s="147"/>
      <c r="G70" s="148"/>
      <c r="H70" s="149"/>
      <c r="I70" s="149"/>
      <c r="J70" s="149"/>
      <c r="K70" s="149"/>
      <c r="L70" s="149"/>
      <c r="M70" s="150"/>
      <c r="N70" s="145"/>
      <c r="O70" s="146"/>
      <c r="P70" s="146"/>
      <c r="Q70" s="146"/>
      <c r="R70" s="146"/>
      <c r="S70" s="147"/>
      <c r="T70" s="148"/>
      <c r="U70" s="149"/>
      <c r="V70" s="149"/>
      <c r="W70" s="149"/>
      <c r="X70" s="149"/>
      <c r="Y70" s="149"/>
      <c r="Z70" s="150"/>
    </row>
    <row r="71" spans="1:26" ht="18" customHeight="1" x14ac:dyDescent="0.15">
      <c r="A71" s="112"/>
      <c r="B71" s="154" t="s">
        <v>201</v>
      </c>
      <c r="C71" s="155"/>
      <c r="D71" s="155"/>
      <c r="E71" s="155"/>
      <c r="F71" s="156"/>
      <c r="G71" s="157"/>
      <c r="H71" s="158"/>
      <c r="I71" s="158"/>
      <c r="J71" s="158"/>
      <c r="K71" s="158"/>
      <c r="L71" s="158"/>
      <c r="M71" s="159"/>
      <c r="N71" s="154"/>
      <c r="O71" s="155"/>
      <c r="P71" s="155"/>
      <c r="Q71" s="155"/>
      <c r="R71" s="155"/>
      <c r="S71" s="156"/>
      <c r="T71" s="157"/>
      <c r="U71" s="158"/>
      <c r="V71" s="158"/>
      <c r="W71" s="158"/>
      <c r="X71" s="158"/>
      <c r="Y71" s="158"/>
      <c r="Z71" s="159"/>
    </row>
    <row r="72" spans="1:26" ht="18" customHeight="1" x14ac:dyDescent="0.15">
      <c r="A72" s="112"/>
      <c r="B72" s="154" t="s">
        <v>202</v>
      </c>
      <c r="C72" s="155"/>
      <c r="D72" s="155"/>
      <c r="E72" s="155"/>
      <c r="F72" s="156"/>
      <c r="G72" s="157"/>
      <c r="H72" s="158"/>
      <c r="I72" s="158"/>
      <c r="J72" s="158"/>
      <c r="K72" s="158"/>
      <c r="L72" s="158"/>
      <c r="M72" s="159"/>
      <c r="N72" s="154"/>
      <c r="O72" s="155"/>
      <c r="P72" s="155"/>
      <c r="Q72" s="155"/>
      <c r="R72" s="155"/>
      <c r="S72" s="156"/>
      <c r="T72" s="157"/>
      <c r="U72" s="158"/>
      <c r="V72" s="158"/>
      <c r="W72" s="158"/>
      <c r="X72" s="158"/>
      <c r="Y72" s="158"/>
      <c r="Z72" s="159"/>
    </row>
    <row r="73" spans="1:26" ht="18" customHeight="1" x14ac:dyDescent="0.15">
      <c r="A73" s="112"/>
      <c r="B73" s="154"/>
      <c r="C73" s="155"/>
      <c r="D73" s="155"/>
      <c r="E73" s="155"/>
      <c r="F73" s="156"/>
      <c r="G73" s="157"/>
      <c r="H73" s="158"/>
      <c r="I73" s="158"/>
      <c r="J73" s="158"/>
      <c r="K73" s="158"/>
      <c r="L73" s="158"/>
      <c r="M73" s="159"/>
      <c r="N73" s="154"/>
      <c r="O73" s="155"/>
      <c r="P73" s="155"/>
      <c r="Q73" s="155"/>
      <c r="R73" s="155"/>
      <c r="S73" s="156"/>
      <c r="T73" s="157"/>
      <c r="U73" s="158"/>
      <c r="V73" s="158"/>
      <c r="W73" s="158"/>
      <c r="X73" s="158"/>
      <c r="Y73" s="158"/>
      <c r="Z73" s="159"/>
    </row>
    <row r="74" spans="1:26" ht="18" customHeight="1" x14ac:dyDescent="0.15">
      <c r="A74" s="112"/>
      <c r="B74" s="154"/>
      <c r="C74" s="155"/>
      <c r="D74" s="155"/>
      <c r="E74" s="155"/>
      <c r="F74" s="156"/>
      <c r="G74" s="157"/>
      <c r="H74" s="158"/>
      <c r="I74" s="158"/>
      <c r="J74" s="158"/>
      <c r="K74" s="158"/>
      <c r="L74" s="158"/>
      <c r="M74" s="159"/>
      <c r="N74" s="154"/>
      <c r="O74" s="155"/>
      <c r="P74" s="155"/>
      <c r="Q74" s="155"/>
      <c r="R74" s="155"/>
      <c r="S74" s="156"/>
      <c r="T74" s="157"/>
      <c r="U74" s="158"/>
      <c r="V74" s="158"/>
      <c r="W74" s="158"/>
      <c r="X74" s="158"/>
      <c r="Y74" s="158"/>
      <c r="Z74" s="159"/>
    </row>
    <row r="75" spans="1:26" ht="18" customHeight="1" x14ac:dyDescent="0.15">
      <c r="A75" s="112"/>
      <c r="B75" s="154"/>
      <c r="C75" s="155"/>
      <c r="D75" s="155"/>
      <c r="E75" s="155"/>
      <c r="F75" s="156"/>
      <c r="G75" s="157"/>
      <c r="H75" s="158"/>
      <c r="I75" s="158"/>
      <c r="J75" s="158"/>
      <c r="K75" s="158"/>
      <c r="L75" s="158"/>
      <c r="M75" s="159"/>
      <c r="N75" s="154"/>
      <c r="O75" s="155"/>
      <c r="P75" s="155"/>
      <c r="Q75" s="155"/>
      <c r="R75" s="155"/>
      <c r="S75" s="156"/>
      <c r="T75" s="157"/>
      <c r="U75" s="158"/>
      <c r="V75" s="158"/>
      <c r="W75" s="158"/>
      <c r="X75" s="158"/>
      <c r="Y75" s="158"/>
      <c r="Z75" s="159"/>
    </row>
    <row r="76" spans="1:26" ht="18" customHeight="1" x14ac:dyDescent="0.15">
      <c r="A76" s="112"/>
      <c r="B76" s="220"/>
      <c r="C76" s="221"/>
      <c r="D76" s="221"/>
      <c r="E76" s="221"/>
      <c r="F76" s="222"/>
      <c r="G76" s="223"/>
      <c r="H76" s="224"/>
      <c r="I76" s="224"/>
      <c r="J76" s="224"/>
      <c r="K76" s="224"/>
      <c r="L76" s="224"/>
      <c r="M76" s="225"/>
      <c r="N76" s="220"/>
      <c r="O76" s="221"/>
      <c r="P76" s="221"/>
      <c r="Q76" s="221"/>
      <c r="R76" s="221"/>
      <c r="S76" s="222"/>
      <c r="T76" s="223"/>
      <c r="U76" s="224"/>
      <c r="V76" s="224"/>
      <c r="W76" s="224"/>
      <c r="X76" s="224"/>
      <c r="Y76" s="224"/>
      <c r="Z76" s="225"/>
    </row>
    <row r="77" spans="1:26" ht="18" customHeight="1" x14ac:dyDescent="0.15">
      <c r="A77" s="112"/>
      <c r="B77" s="113"/>
      <c r="C77" s="113"/>
      <c r="D77" s="113"/>
      <c r="E77" s="113"/>
      <c r="F77" s="113"/>
      <c r="G77" s="12"/>
      <c r="H77" s="12"/>
      <c r="I77" s="12"/>
      <c r="J77" s="12"/>
      <c r="K77" s="12"/>
      <c r="L77" s="12"/>
      <c r="M77" s="12"/>
      <c r="N77" s="113"/>
      <c r="O77" s="113"/>
      <c r="P77" s="113"/>
      <c r="Q77" s="113"/>
      <c r="R77" s="113"/>
      <c r="S77" s="113"/>
      <c r="T77" s="12"/>
      <c r="U77" s="12"/>
      <c r="V77" s="12"/>
      <c r="W77" s="12"/>
      <c r="X77" s="12"/>
      <c r="Y77" s="12"/>
      <c r="Z77" s="12"/>
    </row>
    <row r="78" spans="1:26" ht="18.75" customHeight="1" x14ac:dyDescent="0.15">
      <c r="A78" s="13" t="s">
        <v>94</v>
      </c>
    </row>
    <row r="79" spans="1:26" ht="18.75" customHeight="1" x14ac:dyDescent="0.15">
      <c r="B79" s="69" t="s">
        <v>95</v>
      </c>
      <c r="C79" s="70"/>
      <c r="D79" s="177" t="s">
        <v>96</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x14ac:dyDescent="0.15">
      <c r="B80" s="162" t="s">
        <v>97</v>
      </c>
      <c r="C80" s="76" t="s">
        <v>77</v>
      </c>
      <c r="D80" s="171" t="s">
        <v>243</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78" customHeight="1" x14ac:dyDescent="0.15">
      <c r="B81" s="163"/>
      <c r="C81" s="99" t="s">
        <v>98</v>
      </c>
      <c r="D81" s="208" t="s">
        <v>243</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160" t="s">
        <v>99</v>
      </c>
      <c r="C82" s="71" t="s">
        <v>80</v>
      </c>
      <c r="D82" s="211" t="s">
        <v>244</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161"/>
      <c r="C83" s="100" t="s">
        <v>81</v>
      </c>
      <c r="D83" s="217" t="s">
        <v>245</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66" customHeight="1" x14ac:dyDescent="0.15">
      <c r="B84" s="160" t="s">
        <v>100</v>
      </c>
      <c r="C84" s="71" t="s">
        <v>83</v>
      </c>
      <c r="D84" s="211" t="s">
        <v>246</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161"/>
      <c r="C85" s="73" t="s">
        <v>84</v>
      </c>
      <c r="D85" s="214" t="s">
        <v>246</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2" t="s">
        <v>101</v>
      </c>
      <c r="C86" s="76" t="s">
        <v>86</v>
      </c>
      <c r="D86" s="171" t="s">
        <v>247</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6" customHeight="1" x14ac:dyDescent="0.15">
      <c r="B87" s="170"/>
      <c r="C87" s="72" t="s">
        <v>87</v>
      </c>
      <c r="D87" s="174" t="s">
        <v>248</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6" customHeight="1" x14ac:dyDescent="0.15">
      <c r="B88" s="162" t="s">
        <v>102</v>
      </c>
      <c r="C88" s="71" t="s">
        <v>89</v>
      </c>
      <c r="D88" s="164" t="s">
        <v>249</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63"/>
      <c r="C89" s="72" t="s">
        <v>90</v>
      </c>
      <c r="D89" s="151" t="s">
        <v>250</v>
      </c>
      <c r="E89" s="152"/>
      <c r="F89" s="152"/>
      <c r="G89" s="152"/>
      <c r="H89" s="152"/>
      <c r="I89" s="152"/>
      <c r="J89" s="152"/>
      <c r="K89" s="152"/>
      <c r="L89" s="152"/>
      <c r="M89" s="152"/>
      <c r="N89" s="152"/>
      <c r="O89" s="152"/>
      <c r="P89" s="152"/>
      <c r="Q89" s="152"/>
      <c r="R89" s="152"/>
      <c r="S89" s="152"/>
      <c r="T89" s="152"/>
      <c r="U89" s="152"/>
      <c r="V89" s="152"/>
      <c r="W89" s="152"/>
      <c r="X89" s="152"/>
      <c r="Y89" s="152"/>
      <c r="Z89" s="153"/>
    </row>
    <row r="90" spans="1:26" ht="66" customHeight="1" x14ac:dyDescent="0.15">
      <c r="B90" s="161"/>
      <c r="C90" s="73" t="s">
        <v>91</v>
      </c>
      <c r="D90" s="167" t="s">
        <v>251</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103</v>
      </c>
    </row>
    <row r="93" spans="1:26" ht="18.75" customHeight="1" x14ac:dyDescent="0.15">
      <c r="B93" s="229" t="s">
        <v>232</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3" t="s">
        <v>104</v>
      </c>
    </row>
    <row r="98" spans="1:26" ht="15" customHeight="1" x14ac:dyDescent="0.15">
      <c r="B98" s="238" t="s">
        <v>183</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40"/>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491430B-B5A8-47DB-83F1-A4BA8D23E3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8FCD2768-11BB-47D8-814E-BEF215411893}">
      <formula1>"学部・学科によって、修了要件は相違する,学部・学科によって、修了要件は相違しない"</formula1>
    </dataValidation>
    <dataValidation type="list" allowBlank="1" showInputMessage="1" showErrorMessage="1" sqref="Z23 Z34 D34:K34 D23:K23 V16:V22 I27:I33 V27:V33 I38:I44 V38:V44 I49:I55 V49:V55 I16:I22 U60:U66 H60:H66" xr:uid="{17F313E8-88DC-4AE5-9AB2-0DBA116648D0}">
      <formula1>"全学開講,一部開講"</formula1>
    </dataValidation>
    <dataValidation type="list" allowBlank="1" showInputMessage="1" showErrorMessage="1" sqref="Y16:Z22 Y27:Z33 Y38:Z44 Y49:Z55 Y60:Z66 H38:H44 T60:T66 U16:U22 U27:U33 L16:M22 U38:U44 U49:U55 H49:H55 G60:G66 H16:H22 H27:H33 L38:M44 L49:M55 L27:M33 L60:M66" xr:uid="{C2D35642-BE04-4B16-AC61-3229FB746058}">
      <formula1>"○"</formula1>
    </dataValidation>
  </dataValidations>
  <hyperlinks>
    <hyperlink ref="B98" r:id="rId1" xr:uid="{698F2FF1-0259-4B11-9035-F1D3E80C67CB}"/>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9D7E1-2714-476A-B8DE-81E0CC097C60}">
  <dimension ref="A1:Z98"/>
  <sheetViews>
    <sheetView showZeros="0" view="pageBreakPreview" zoomScale="70" zoomScaleNormal="100" zoomScaleSheetLayoutView="70" workbookViewId="0">
      <selection activeCell="B93" sqref="B93:Z95"/>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1" t="s">
        <v>262</v>
      </c>
      <c r="X1" s="241"/>
      <c r="Y1" s="241"/>
      <c r="Z1" s="241"/>
    </row>
    <row r="2" spans="1:26" ht="18" customHeight="1" x14ac:dyDescent="0.15">
      <c r="A2" s="198" t="s">
        <v>69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112"/>
      <c r="C3" s="112"/>
      <c r="D3" s="112"/>
      <c r="E3" s="112"/>
      <c r="F3" s="112"/>
      <c r="G3" s="112"/>
      <c r="H3" s="112"/>
      <c r="I3" s="112"/>
      <c r="J3" s="112"/>
      <c r="K3" s="112"/>
      <c r="L3" s="112"/>
      <c r="M3" s="112"/>
      <c r="N3" s="112"/>
      <c r="O3" s="112"/>
      <c r="P3" s="112"/>
      <c r="Q3" s="112"/>
      <c r="R3" s="112"/>
      <c r="S3" s="112"/>
      <c r="T3" s="112"/>
      <c r="U3" s="112"/>
      <c r="V3" s="112"/>
      <c r="W3" s="112"/>
      <c r="X3" s="112"/>
      <c r="Y3" s="112"/>
      <c r="Z3" s="112"/>
    </row>
    <row r="4" spans="1:26" ht="18" customHeight="1" x14ac:dyDescent="0.15">
      <c r="A4" s="13" t="s">
        <v>70</v>
      </c>
      <c r="B4" s="112"/>
      <c r="C4" s="112"/>
      <c r="D4" s="112"/>
      <c r="E4" s="112"/>
      <c r="F4" s="112"/>
      <c r="G4" s="112"/>
      <c r="H4" s="14" t="s">
        <v>71</v>
      </c>
      <c r="I4" s="112"/>
      <c r="J4" s="112"/>
      <c r="K4" s="112"/>
      <c r="L4" s="112"/>
      <c r="M4" s="112"/>
      <c r="N4" s="112"/>
      <c r="O4" s="138" t="s">
        <v>207</v>
      </c>
      <c r="P4" s="140"/>
      <c r="Q4" s="140"/>
      <c r="R4" s="140"/>
      <c r="S4" s="140"/>
      <c r="T4" s="140"/>
      <c r="U4" s="140"/>
      <c r="V4" s="140"/>
      <c r="W4" s="140"/>
      <c r="X4" s="140"/>
      <c r="Y4" s="140"/>
      <c r="Z4" s="139"/>
    </row>
    <row r="5" spans="1:26" ht="6" customHeight="1" x14ac:dyDescent="0.15">
      <c r="B5" s="112"/>
      <c r="C5" s="112"/>
      <c r="D5" s="112"/>
      <c r="E5" s="112"/>
      <c r="F5" s="112"/>
      <c r="G5" s="112"/>
      <c r="H5" s="112"/>
      <c r="I5" s="112"/>
      <c r="J5" s="112"/>
      <c r="K5" s="112"/>
      <c r="L5" s="112"/>
      <c r="M5" s="112"/>
      <c r="N5" s="112"/>
      <c r="O5" s="15"/>
      <c r="P5" s="112"/>
      <c r="Q5" s="112"/>
      <c r="R5" s="112"/>
      <c r="S5" s="112"/>
      <c r="T5" s="112"/>
      <c r="U5" s="112"/>
      <c r="V5" s="112"/>
      <c r="W5" s="112"/>
      <c r="X5" s="112"/>
      <c r="Y5" s="112"/>
      <c r="Z5" s="112"/>
    </row>
    <row r="6" spans="1:26" ht="18" customHeight="1" x14ac:dyDescent="0.15">
      <c r="B6" s="199" t="s">
        <v>242</v>
      </c>
      <c r="C6" s="200"/>
      <c r="D6" s="200"/>
      <c r="E6" s="200"/>
      <c r="F6" s="200"/>
      <c r="G6" s="200"/>
      <c r="H6" s="200"/>
      <c r="I6" s="200"/>
      <c r="J6" s="200"/>
      <c r="K6" s="200"/>
      <c r="L6" s="200"/>
      <c r="M6" s="200"/>
      <c r="N6" s="200"/>
      <c r="O6" s="200"/>
      <c r="P6" s="200"/>
      <c r="Q6" s="200"/>
      <c r="R6" s="200"/>
      <c r="S6" s="200"/>
      <c r="T6" s="200"/>
      <c r="U6" s="200"/>
      <c r="V6" s="200"/>
      <c r="W6" s="200"/>
      <c r="X6" s="200"/>
      <c r="Y6" s="200"/>
      <c r="Z6" s="201"/>
    </row>
    <row r="7" spans="1:26" ht="18" customHeight="1" x14ac:dyDescent="0.15">
      <c r="B7" s="202"/>
      <c r="C7" s="203"/>
      <c r="D7" s="203"/>
      <c r="E7" s="203"/>
      <c r="F7" s="203"/>
      <c r="G7" s="203"/>
      <c r="H7" s="203"/>
      <c r="I7" s="203"/>
      <c r="J7" s="203"/>
      <c r="K7" s="203"/>
      <c r="L7" s="203"/>
      <c r="M7" s="203"/>
      <c r="N7" s="203"/>
      <c r="O7" s="203"/>
      <c r="P7" s="203"/>
      <c r="Q7" s="203"/>
      <c r="R7" s="203"/>
      <c r="S7" s="203"/>
      <c r="T7" s="203"/>
      <c r="U7" s="203"/>
      <c r="V7" s="203"/>
      <c r="W7" s="203"/>
      <c r="X7" s="203"/>
      <c r="Y7" s="203"/>
      <c r="Z7" s="204"/>
    </row>
    <row r="8" spans="1:26" ht="18" customHeight="1" x14ac:dyDescent="0.15">
      <c r="B8" s="202"/>
      <c r="C8" s="203"/>
      <c r="D8" s="203"/>
      <c r="E8" s="203"/>
      <c r="F8" s="203"/>
      <c r="G8" s="203"/>
      <c r="H8" s="203"/>
      <c r="I8" s="203"/>
      <c r="J8" s="203"/>
      <c r="K8" s="203"/>
      <c r="L8" s="203"/>
      <c r="M8" s="203"/>
      <c r="N8" s="203"/>
      <c r="O8" s="203"/>
      <c r="P8" s="203"/>
      <c r="Q8" s="203"/>
      <c r="R8" s="203"/>
      <c r="S8" s="203"/>
      <c r="T8" s="203"/>
      <c r="U8" s="203"/>
      <c r="V8" s="203"/>
      <c r="W8" s="203"/>
      <c r="X8" s="203"/>
      <c r="Y8" s="203"/>
      <c r="Z8" s="204"/>
    </row>
    <row r="9" spans="1:26" ht="18" customHeight="1" x14ac:dyDescent="0.15">
      <c r="B9" s="202"/>
      <c r="C9" s="203"/>
      <c r="D9" s="203"/>
      <c r="E9" s="203"/>
      <c r="F9" s="203"/>
      <c r="G9" s="203"/>
      <c r="H9" s="203"/>
      <c r="I9" s="203"/>
      <c r="J9" s="203"/>
      <c r="K9" s="203"/>
      <c r="L9" s="203"/>
      <c r="M9" s="203"/>
      <c r="N9" s="203"/>
      <c r="O9" s="203"/>
      <c r="P9" s="203"/>
      <c r="Q9" s="203"/>
      <c r="R9" s="203"/>
      <c r="S9" s="203"/>
      <c r="T9" s="203"/>
      <c r="U9" s="203"/>
      <c r="V9" s="203"/>
      <c r="W9" s="203"/>
      <c r="X9" s="203"/>
      <c r="Y9" s="203"/>
      <c r="Z9" s="204"/>
    </row>
    <row r="10" spans="1:26" ht="18" customHeight="1" x14ac:dyDescent="0.1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4"/>
    </row>
    <row r="11" spans="1:26" ht="18" customHeight="1" x14ac:dyDescent="0.15">
      <c r="B11" s="205"/>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7"/>
    </row>
    <row r="12" spans="1:26" ht="7.5" customHeight="1" x14ac:dyDescent="0.15">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row>
    <row r="13" spans="1:26" ht="18" customHeight="1" x14ac:dyDescent="0.15">
      <c r="A13" s="194" t="s">
        <v>72</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15">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15">
      <c r="A15" s="14"/>
      <c r="B15" s="138" t="s">
        <v>73</v>
      </c>
      <c r="C15" s="140"/>
      <c r="D15" s="140"/>
      <c r="E15" s="140"/>
      <c r="F15" s="139"/>
      <c r="G15" s="26" t="s">
        <v>74</v>
      </c>
      <c r="H15" s="101" t="s">
        <v>75</v>
      </c>
      <c r="I15" s="140" t="s">
        <v>76</v>
      </c>
      <c r="J15" s="140"/>
      <c r="K15" s="140"/>
      <c r="L15" s="67" t="s">
        <v>77</v>
      </c>
      <c r="M15" s="67" t="s">
        <v>78</v>
      </c>
      <c r="N15" s="138" t="s">
        <v>73</v>
      </c>
      <c r="O15" s="140"/>
      <c r="P15" s="140"/>
      <c r="Q15" s="140"/>
      <c r="R15" s="140"/>
      <c r="S15" s="139"/>
      <c r="T15" s="26" t="s">
        <v>74</v>
      </c>
      <c r="U15" s="101" t="s">
        <v>75</v>
      </c>
      <c r="V15" s="140" t="s">
        <v>76</v>
      </c>
      <c r="W15" s="140"/>
      <c r="X15" s="140"/>
      <c r="Y15" s="67" t="s">
        <v>77</v>
      </c>
      <c r="Z15" s="67" t="s">
        <v>78</v>
      </c>
    </row>
    <row r="16" spans="1:26" ht="18" customHeight="1" x14ac:dyDescent="0.15">
      <c r="A16" s="14"/>
      <c r="B16" s="188" t="s">
        <v>188</v>
      </c>
      <c r="C16" s="189"/>
      <c r="D16" s="189"/>
      <c r="E16" s="189"/>
      <c r="F16" s="190"/>
      <c r="G16" s="103">
        <v>2</v>
      </c>
      <c r="H16" s="103" t="s">
        <v>184</v>
      </c>
      <c r="I16" s="182" t="s">
        <v>185</v>
      </c>
      <c r="J16" s="183"/>
      <c r="K16" s="184"/>
      <c r="L16" s="103" t="s">
        <v>184</v>
      </c>
      <c r="M16" s="103" t="s">
        <v>184</v>
      </c>
      <c r="N16" s="145"/>
      <c r="O16" s="146"/>
      <c r="P16" s="146"/>
      <c r="Q16" s="146"/>
      <c r="R16" s="146"/>
      <c r="S16" s="147"/>
      <c r="T16" s="102"/>
      <c r="U16" s="102"/>
      <c r="V16" s="179"/>
      <c r="W16" s="180"/>
      <c r="X16" s="181"/>
      <c r="Y16" s="102"/>
      <c r="Z16" s="102"/>
    </row>
    <row r="17" spans="1:26" ht="18" customHeight="1" x14ac:dyDescent="0.15">
      <c r="A17" s="14"/>
      <c r="B17" s="188"/>
      <c r="C17" s="189"/>
      <c r="D17" s="189"/>
      <c r="E17" s="189"/>
      <c r="F17" s="190"/>
      <c r="G17" s="103"/>
      <c r="H17" s="103"/>
      <c r="I17" s="182"/>
      <c r="J17" s="183"/>
      <c r="K17" s="184"/>
      <c r="L17" s="103"/>
      <c r="M17" s="103"/>
      <c r="N17" s="154"/>
      <c r="O17" s="155"/>
      <c r="P17" s="155"/>
      <c r="Q17" s="155"/>
      <c r="R17" s="155"/>
      <c r="S17" s="156"/>
      <c r="T17" s="103"/>
      <c r="U17" s="103"/>
      <c r="V17" s="182"/>
      <c r="W17" s="183"/>
      <c r="X17" s="184"/>
      <c r="Y17" s="103"/>
      <c r="Z17" s="103"/>
    </row>
    <row r="18" spans="1:26" ht="18" customHeight="1" x14ac:dyDescent="0.15">
      <c r="A18" s="14"/>
      <c r="B18" s="188"/>
      <c r="C18" s="189"/>
      <c r="D18" s="189"/>
      <c r="E18" s="189"/>
      <c r="F18" s="190"/>
      <c r="G18" s="103"/>
      <c r="H18" s="103"/>
      <c r="I18" s="182"/>
      <c r="J18" s="183"/>
      <c r="K18" s="184"/>
      <c r="L18" s="103"/>
      <c r="M18" s="103"/>
      <c r="N18" s="154"/>
      <c r="O18" s="155"/>
      <c r="P18" s="155"/>
      <c r="Q18" s="155"/>
      <c r="R18" s="155"/>
      <c r="S18" s="156"/>
      <c r="T18" s="103"/>
      <c r="U18" s="103"/>
      <c r="V18" s="182"/>
      <c r="W18" s="183"/>
      <c r="X18" s="184"/>
      <c r="Y18" s="103"/>
      <c r="Z18" s="103"/>
    </row>
    <row r="19" spans="1:26" ht="18" customHeight="1" x14ac:dyDescent="0.15">
      <c r="A19" s="14"/>
      <c r="B19" s="188"/>
      <c r="C19" s="189"/>
      <c r="D19" s="189"/>
      <c r="E19" s="189"/>
      <c r="F19" s="190"/>
      <c r="G19" s="103"/>
      <c r="H19" s="103"/>
      <c r="I19" s="182"/>
      <c r="J19" s="183"/>
      <c r="K19" s="184"/>
      <c r="L19" s="103"/>
      <c r="M19" s="103"/>
      <c r="N19" s="154"/>
      <c r="O19" s="155"/>
      <c r="P19" s="155"/>
      <c r="Q19" s="155"/>
      <c r="R19" s="155"/>
      <c r="S19" s="156"/>
      <c r="T19" s="103"/>
      <c r="U19" s="103"/>
      <c r="V19" s="182"/>
      <c r="W19" s="183"/>
      <c r="X19" s="184"/>
      <c r="Y19" s="103"/>
      <c r="Z19" s="103"/>
    </row>
    <row r="20" spans="1:26" ht="18" customHeight="1" x14ac:dyDescent="0.15">
      <c r="A20" s="14"/>
      <c r="B20" s="188"/>
      <c r="C20" s="189"/>
      <c r="D20" s="189"/>
      <c r="E20" s="189"/>
      <c r="F20" s="190"/>
      <c r="G20" s="103"/>
      <c r="H20" s="103"/>
      <c r="I20" s="182"/>
      <c r="J20" s="183"/>
      <c r="K20" s="184"/>
      <c r="L20" s="103"/>
      <c r="M20" s="103"/>
      <c r="N20" s="154"/>
      <c r="O20" s="155"/>
      <c r="P20" s="155"/>
      <c r="Q20" s="155"/>
      <c r="R20" s="155"/>
      <c r="S20" s="156"/>
      <c r="T20" s="103"/>
      <c r="U20" s="103"/>
      <c r="V20" s="182"/>
      <c r="W20" s="183"/>
      <c r="X20" s="184"/>
      <c r="Y20" s="103"/>
      <c r="Z20" s="103"/>
    </row>
    <row r="21" spans="1:26" ht="18" customHeight="1" x14ac:dyDescent="0.15">
      <c r="A21" s="112"/>
      <c r="B21" s="188"/>
      <c r="C21" s="189"/>
      <c r="D21" s="189"/>
      <c r="E21" s="189"/>
      <c r="F21" s="190"/>
      <c r="G21" s="103"/>
      <c r="H21" s="103"/>
      <c r="I21" s="182"/>
      <c r="J21" s="183"/>
      <c r="K21" s="184"/>
      <c r="L21" s="103"/>
      <c r="M21" s="103"/>
      <c r="N21" s="154"/>
      <c r="O21" s="155"/>
      <c r="P21" s="155"/>
      <c r="Q21" s="155"/>
      <c r="R21" s="155"/>
      <c r="S21" s="156"/>
      <c r="T21" s="103"/>
      <c r="U21" s="103"/>
      <c r="V21" s="182"/>
      <c r="W21" s="183"/>
      <c r="X21" s="184"/>
      <c r="Y21" s="103"/>
      <c r="Z21" s="103"/>
    </row>
    <row r="22" spans="1:26" ht="18" customHeight="1" x14ac:dyDescent="0.15">
      <c r="A22" s="112"/>
      <c r="B22" s="195"/>
      <c r="C22" s="196"/>
      <c r="D22" s="196"/>
      <c r="E22" s="196"/>
      <c r="F22" s="197"/>
      <c r="G22" s="104"/>
      <c r="H22" s="104"/>
      <c r="I22" s="191"/>
      <c r="J22" s="192"/>
      <c r="K22" s="193"/>
      <c r="L22" s="109"/>
      <c r="M22" s="109"/>
      <c r="N22" s="220"/>
      <c r="O22" s="221"/>
      <c r="P22" s="221"/>
      <c r="Q22" s="221"/>
      <c r="R22" s="221"/>
      <c r="S22" s="222"/>
      <c r="T22" s="104"/>
      <c r="U22" s="104"/>
      <c r="V22" s="191"/>
      <c r="W22" s="192"/>
      <c r="X22" s="193"/>
      <c r="Y22" s="109"/>
      <c r="Z22" s="109"/>
    </row>
    <row r="23" spans="1:26" ht="7.5" customHeight="1" x14ac:dyDescent="0.15">
      <c r="A23" s="112"/>
      <c r="B23" s="113"/>
      <c r="C23" s="113"/>
      <c r="D23" s="112"/>
      <c r="E23" s="112"/>
      <c r="F23" s="112"/>
      <c r="G23" s="112"/>
      <c r="H23" s="112"/>
      <c r="I23" s="112"/>
      <c r="J23" s="112"/>
      <c r="K23" s="112"/>
      <c r="L23" s="113"/>
      <c r="M23" s="113"/>
      <c r="N23" s="113"/>
      <c r="O23" s="113"/>
      <c r="P23" s="113"/>
      <c r="Q23" s="113"/>
      <c r="R23" s="113"/>
      <c r="S23" s="113"/>
      <c r="T23" s="113"/>
      <c r="U23" s="113"/>
      <c r="V23" s="113"/>
      <c r="W23" s="113"/>
      <c r="X23" s="113"/>
      <c r="Y23" s="113"/>
      <c r="Z23" s="112"/>
    </row>
    <row r="24" spans="1:26" ht="18" customHeight="1" x14ac:dyDescent="0.15">
      <c r="A24" s="194" t="s">
        <v>79</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1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15">
      <c r="A26" s="14"/>
      <c r="B26" s="138" t="s">
        <v>73</v>
      </c>
      <c r="C26" s="140"/>
      <c r="D26" s="140"/>
      <c r="E26" s="140"/>
      <c r="F26" s="139"/>
      <c r="G26" s="26" t="s">
        <v>74</v>
      </c>
      <c r="H26" s="101" t="s">
        <v>75</v>
      </c>
      <c r="I26" s="140" t="s">
        <v>76</v>
      </c>
      <c r="J26" s="140"/>
      <c r="K26" s="140"/>
      <c r="L26" s="67" t="s">
        <v>80</v>
      </c>
      <c r="M26" s="67" t="s">
        <v>81</v>
      </c>
      <c r="N26" s="138" t="s">
        <v>73</v>
      </c>
      <c r="O26" s="140"/>
      <c r="P26" s="140"/>
      <c r="Q26" s="140"/>
      <c r="R26" s="140"/>
      <c r="S26" s="139"/>
      <c r="T26" s="26" t="s">
        <v>74</v>
      </c>
      <c r="U26" s="101" t="s">
        <v>75</v>
      </c>
      <c r="V26" s="140" t="s">
        <v>76</v>
      </c>
      <c r="W26" s="140"/>
      <c r="X26" s="140"/>
      <c r="Y26" s="67" t="s">
        <v>80</v>
      </c>
      <c r="Z26" s="67" t="s">
        <v>81</v>
      </c>
    </row>
    <row r="27" spans="1:26" ht="18" customHeight="1" x14ac:dyDescent="0.15">
      <c r="A27" s="14"/>
      <c r="B27" s="188" t="s">
        <v>192</v>
      </c>
      <c r="C27" s="189"/>
      <c r="D27" s="189"/>
      <c r="E27" s="189"/>
      <c r="F27" s="190"/>
      <c r="G27" s="103">
        <v>1</v>
      </c>
      <c r="H27" s="103" t="s">
        <v>184</v>
      </c>
      <c r="I27" s="182" t="s">
        <v>185</v>
      </c>
      <c r="J27" s="183"/>
      <c r="K27" s="184"/>
      <c r="L27" s="103" t="s">
        <v>184</v>
      </c>
      <c r="M27" s="103" t="s">
        <v>184</v>
      </c>
      <c r="N27" s="145"/>
      <c r="O27" s="146"/>
      <c r="P27" s="146"/>
      <c r="Q27" s="146"/>
      <c r="R27" s="146"/>
      <c r="S27" s="147"/>
      <c r="T27" s="102"/>
      <c r="U27" s="102"/>
      <c r="V27" s="179"/>
      <c r="W27" s="180"/>
      <c r="X27" s="181"/>
      <c r="Y27" s="102"/>
      <c r="Z27" s="102"/>
    </row>
    <row r="28" spans="1:26" ht="18" customHeight="1" x14ac:dyDescent="0.15">
      <c r="A28" s="14"/>
      <c r="B28" s="188"/>
      <c r="C28" s="189"/>
      <c r="D28" s="189"/>
      <c r="E28" s="189"/>
      <c r="F28" s="190"/>
      <c r="G28" s="103"/>
      <c r="H28" s="103"/>
      <c r="I28" s="182"/>
      <c r="J28" s="183"/>
      <c r="K28" s="184"/>
      <c r="L28" s="103"/>
      <c r="M28" s="103"/>
      <c r="N28" s="154"/>
      <c r="O28" s="155"/>
      <c r="P28" s="155"/>
      <c r="Q28" s="155"/>
      <c r="R28" s="155"/>
      <c r="S28" s="156"/>
      <c r="T28" s="103"/>
      <c r="U28" s="103"/>
      <c r="V28" s="182"/>
      <c r="W28" s="183"/>
      <c r="X28" s="184"/>
      <c r="Y28" s="103"/>
      <c r="Z28" s="103"/>
    </row>
    <row r="29" spans="1:26" ht="18" customHeight="1" x14ac:dyDescent="0.15">
      <c r="A29" s="14"/>
      <c r="B29" s="188"/>
      <c r="C29" s="189"/>
      <c r="D29" s="189"/>
      <c r="E29" s="189"/>
      <c r="F29" s="190"/>
      <c r="G29" s="103"/>
      <c r="H29" s="103"/>
      <c r="I29" s="182"/>
      <c r="J29" s="183"/>
      <c r="K29" s="184"/>
      <c r="L29" s="103"/>
      <c r="M29" s="103"/>
      <c r="N29" s="154"/>
      <c r="O29" s="155"/>
      <c r="P29" s="155"/>
      <c r="Q29" s="155"/>
      <c r="R29" s="155"/>
      <c r="S29" s="156"/>
      <c r="T29" s="103"/>
      <c r="U29" s="103"/>
      <c r="V29" s="182"/>
      <c r="W29" s="183"/>
      <c r="X29" s="184"/>
      <c r="Y29" s="103"/>
      <c r="Z29" s="103"/>
    </row>
    <row r="30" spans="1:26" ht="18" customHeight="1" x14ac:dyDescent="0.15">
      <c r="A30" s="14"/>
      <c r="B30" s="188"/>
      <c r="C30" s="189"/>
      <c r="D30" s="189"/>
      <c r="E30" s="189"/>
      <c r="F30" s="190"/>
      <c r="G30" s="103"/>
      <c r="H30" s="103"/>
      <c r="I30" s="182"/>
      <c r="J30" s="183"/>
      <c r="K30" s="184"/>
      <c r="L30" s="103"/>
      <c r="M30" s="103"/>
      <c r="N30" s="154"/>
      <c r="O30" s="155"/>
      <c r="P30" s="155"/>
      <c r="Q30" s="155"/>
      <c r="R30" s="155"/>
      <c r="S30" s="156"/>
      <c r="T30" s="103"/>
      <c r="U30" s="103"/>
      <c r="V30" s="182"/>
      <c r="W30" s="183"/>
      <c r="X30" s="184"/>
      <c r="Y30" s="103"/>
      <c r="Z30" s="103"/>
    </row>
    <row r="31" spans="1:26" ht="18" customHeight="1" x14ac:dyDescent="0.15">
      <c r="A31" s="14"/>
      <c r="B31" s="188"/>
      <c r="C31" s="189"/>
      <c r="D31" s="189"/>
      <c r="E31" s="189"/>
      <c r="F31" s="190"/>
      <c r="G31" s="103"/>
      <c r="H31" s="103"/>
      <c r="I31" s="182"/>
      <c r="J31" s="183"/>
      <c r="K31" s="184"/>
      <c r="L31" s="103"/>
      <c r="M31" s="103"/>
      <c r="N31" s="154"/>
      <c r="O31" s="155"/>
      <c r="P31" s="155"/>
      <c r="Q31" s="155"/>
      <c r="R31" s="155"/>
      <c r="S31" s="156"/>
      <c r="T31" s="103"/>
      <c r="U31" s="103"/>
      <c r="V31" s="182"/>
      <c r="W31" s="183"/>
      <c r="X31" s="184"/>
      <c r="Y31" s="103"/>
      <c r="Z31" s="103"/>
    </row>
    <row r="32" spans="1:26" ht="18" customHeight="1" x14ac:dyDescent="0.15">
      <c r="A32" s="14"/>
      <c r="B32" s="188"/>
      <c r="C32" s="189"/>
      <c r="D32" s="189"/>
      <c r="E32" s="189"/>
      <c r="F32" s="190"/>
      <c r="G32" s="103"/>
      <c r="H32" s="103"/>
      <c r="I32" s="182"/>
      <c r="J32" s="183"/>
      <c r="K32" s="184"/>
      <c r="L32" s="103"/>
      <c r="M32" s="103"/>
      <c r="N32" s="154"/>
      <c r="O32" s="155"/>
      <c r="P32" s="155"/>
      <c r="Q32" s="155"/>
      <c r="R32" s="155"/>
      <c r="S32" s="156"/>
      <c r="T32" s="103"/>
      <c r="U32" s="103"/>
      <c r="V32" s="182"/>
      <c r="W32" s="183"/>
      <c r="X32" s="184"/>
      <c r="Y32" s="103"/>
      <c r="Z32" s="103"/>
    </row>
    <row r="33" spans="1:26" ht="18" customHeight="1" x14ac:dyDescent="0.15">
      <c r="A33" s="14"/>
      <c r="B33" s="195"/>
      <c r="C33" s="196"/>
      <c r="D33" s="196"/>
      <c r="E33" s="196"/>
      <c r="F33" s="197"/>
      <c r="G33" s="104"/>
      <c r="H33" s="104"/>
      <c r="I33" s="191"/>
      <c r="J33" s="192"/>
      <c r="K33" s="193"/>
      <c r="L33" s="109"/>
      <c r="M33" s="109"/>
      <c r="N33" s="220"/>
      <c r="O33" s="221"/>
      <c r="P33" s="221"/>
      <c r="Q33" s="221"/>
      <c r="R33" s="221"/>
      <c r="S33" s="222"/>
      <c r="T33" s="104"/>
      <c r="U33" s="104"/>
      <c r="V33" s="191"/>
      <c r="W33" s="192"/>
      <c r="X33" s="193"/>
      <c r="Y33" s="109"/>
      <c r="Z33" s="109"/>
    </row>
    <row r="34" spans="1:26" ht="7.5" customHeight="1" x14ac:dyDescent="0.15">
      <c r="A34" s="112"/>
      <c r="B34" s="113"/>
      <c r="C34" s="113"/>
      <c r="D34" s="112"/>
      <c r="E34" s="112"/>
      <c r="F34" s="112"/>
      <c r="G34" s="112"/>
      <c r="H34" s="112"/>
      <c r="I34" s="112"/>
      <c r="J34" s="112"/>
      <c r="K34" s="112"/>
      <c r="L34" s="113"/>
      <c r="M34" s="113"/>
      <c r="N34" s="113"/>
      <c r="O34" s="113"/>
      <c r="P34" s="113"/>
      <c r="Q34" s="113"/>
      <c r="R34" s="113"/>
      <c r="S34" s="113"/>
      <c r="T34" s="113"/>
      <c r="U34" s="113"/>
      <c r="V34" s="113"/>
      <c r="W34" s="113"/>
      <c r="X34" s="113"/>
      <c r="Y34" s="113"/>
      <c r="Z34" s="112"/>
    </row>
    <row r="35" spans="1:26" ht="18" customHeight="1" x14ac:dyDescent="0.15">
      <c r="A35" s="194" t="s">
        <v>82</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15">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15">
      <c r="A37" s="14"/>
      <c r="B37" s="138" t="s">
        <v>73</v>
      </c>
      <c r="C37" s="140"/>
      <c r="D37" s="140"/>
      <c r="E37" s="140"/>
      <c r="F37" s="139"/>
      <c r="G37" s="26" t="s">
        <v>74</v>
      </c>
      <c r="H37" s="101" t="s">
        <v>75</v>
      </c>
      <c r="I37" s="138" t="s">
        <v>76</v>
      </c>
      <c r="J37" s="140"/>
      <c r="K37" s="139"/>
      <c r="L37" s="67" t="s">
        <v>83</v>
      </c>
      <c r="M37" s="67" t="s">
        <v>84</v>
      </c>
      <c r="N37" s="138" t="s">
        <v>73</v>
      </c>
      <c r="O37" s="140"/>
      <c r="P37" s="140"/>
      <c r="Q37" s="140"/>
      <c r="R37" s="140"/>
      <c r="S37" s="139"/>
      <c r="T37" s="26" t="s">
        <v>74</v>
      </c>
      <c r="U37" s="101" t="s">
        <v>75</v>
      </c>
      <c r="V37" s="138" t="s">
        <v>76</v>
      </c>
      <c r="W37" s="140"/>
      <c r="X37" s="139"/>
      <c r="Y37" s="67" t="s">
        <v>83</v>
      </c>
      <c r="Z37" s="67" t="s">
        <v>84</v>
      </c>
    </row>
    <row r="38" spans="1:26" ht="18" customHeight="1" x14ac:dyDescent="0.15">
      <c r="A38" s="112"/>
      <c r="B38" s="188" t="s">
        <v>192</v>
      </c>
      <c r="C38" s="189"/>
      <c r="D38" s="189"/>
      <c r="E38" s="189"/>
      <c r="F38" s="190"/>
      <c r="G38" s="103">
        <v>1</v>
      </c>
      <c r="H38" s="103" t="s">
        <v>184</v>
      </c>
      <c r="I38" s="182" t="s">
        <v>185</v>
      </c>
      <c r="J38" s="183"/>
      <c r="K38" s="184"/>
      <c r="L38" s="103" t="s">
        <v>184</v>
      </c>
      <c r="M38" s="103" t="s">
        <v>184</v>
      </c>
      <c r="N38" s="145"/>
      <c r="O38" s="146"/>
      <c r="P38" s="146"/>
      <c r="Q38" s="146"/>
      <c r="R38" s="146"/>
      <c r="S38" s="147"/>
      <c r="T38" s="102"/>
      <c r="U38" s="102"/>
      <c r="V38" s="179"/>
      <c r="W38" s="180"/>
      <c r="X38" s="181"/>
      <c r="Y38" s="102"/>
      <c r="Z38" s="102"/>
    </row>
    <row r="39" spans="1:26" ht="18" customHeight="1" x14ac:dyDescent="0.15">
      <c r="A39" s="112"/>
      <c r="B39" s="188"/>
      <c r="C39" s="189"/>
      <c r="D39" s="189"/>
      <c r="E39" s="189"/>
      <c r="F39" s="190"/>
      <c r="G39" s="103"/>
      <c r="H39" s="103"/>
      <c r="I39" s="182"/>
      <c r="J39" s="183"/>
      <c r="K39" s="184"/>
      <c r="L39" s="103"/>
      <c r="M39" s="103"/>
      <c r="N39" s="154"/>
      <c r="O39" s="155"/>
      <c r="P39" s="155"/>
      <c r="Q39" s="155"/>
      <c r="R39" s="155"/>
      <c r="S39" s="156"/>
      <c r="T39" s="103"/>
      <c r="U39" s="103"/>
      <c r="V39" s="182"/>
      <c r="W39" s="183"/>
      <c r="X39" s="184"/>
      <c r="Y39" s="103"/>
      <c r="Z39" s="103"/>
    </row>
    <row r="40" spans="1:26" ht="18" customHeight="1" x14ac:dyDescent="0.15">
      <c r="A40" s="112"/>
      <c r="B40" s="188"/>
      <c r="C40" s="189"/>
      <c r="D40" s="189"/>
      <c r="E40" s="189"/>
      <c r="F40" s="190"/>
      <c r="G40" s="103"/>
      <c r="H40" s="103"/>
      <c r="I40" s="182"/>
      <c r="J40" s="183"/>
      <c r="K40" s="184"/>
      <c r="L40" s="103"/>
      <c r="M40" s="103"/>
      <c r="N40" s="154"/>
      <c r="O40" s="155"/>
      <c r="P40" s="155"/>
      <c r="Q40" s="155"/>
      <c r="R40" s="155"/>
      <c r="S40" s="156"/>
      <c r="T40" s="103"/>
      <c r="U40" s="103"/>
      <c r="V40" s="182"/>
      <c r="W40" s="183"/>
      <c r="X40" s="184"/>
      <c r="Y40" s="103"/>
      <c r="Z40" s="103"/>
    </row>
    <row r="41" spans="1:26" ht="18" customHeight="1" x14ac:dyDescent="0.15">
      <c r="A41" s="112"/>
      <c r="B41" s="188"/>
      <c r="C41" s="189"/>
      <c r="D41" s="189"/>
      <c r="E41" s="189"/>
      <c r="F41" s="190"/>
      <c r="G41" s="103"/>
      <c r="H41" s="103"/>
      <c r="I41" s="182"/>
      <c r="J41" s="183"/>
      <c r="K41" s="184"/>
      <c r="L41" s="103"/>
      <c r="M41" s="103"/>
      <c r="N41" s="154"/>
      <c r="O41" s="155"/>
      <c r="P41" s="155"/>
      <c r="Q41" s="155"/>
      <c r="R41" s="155"/>
      <c r="S41" s="156"/>
      <c r="T41" s="103"/>
      <c r="U41" s="103"/>
      <c r="V41" s="182"/>
      <c r="W41" s="183"/>
      <c r="X41" s="184"/>
      <c r="Y41" s="103"/>
      <c r="Z41" s="103"/>
    </row>
    <row r="42" spans="1:26" ht="18" customHeight="1" x14ac:dyDescent="0.15">
      <c r="A42" s="112"/>
      <c r="B42" s="188"/>
      <c r="C42" s="189"/>
      <c r="D42" s="189"/>
      <c r="E42" s="189"/>
      <c r="F42" s="190"/>
      <c r="G42" s="103"/>
      <c r="H42" s="103"/>
      <c r="I42" s="182"/>
      <c r="J42" s="183"/>
      <c r="K42" s="184"/>
      <c r="L42" s="103"/>
      <c r="M42" s="103"/>
      <c r="N42" s="154"/>
      <c r="O42" s="155"/>
      <c r="P42" s="155"/>
      <c r="Q42" s="155"/>
      <c r="R42" s="155"/>
      <c r="S42" s="156"/>
      <c r="T42" s="103"/>
      <c r="U42" s="103"/>
      <c r="V42" s="182"/>
      <c r="W42" s="183"/>
      <c r="X42" s="184"/>
      <c r="Y42" s="103"/>
      <c r="Z42" s="103"/>
    </row>
    <row r="43" spans="1:26" ht="18" customHeight="1" x14ac:dyDescent="0.15">
      <c r="A43" s="112"/>
      <c r="B43" s="188"/>
      <c r="C43" s="189"/>
      <c r="D43" s="189"/>
      <c r="E43" s="189"/>
      <c r="F43" s="190"/>
      <c r="G43" s="103"/>
      <c r="H43" s="103"/>
      <c r="I43" s="182"/>
      <c r="J43" s="183"/>
      <c r="K43" s="184"/>
      <c r="L43" s="103"/>
      <c r="M43" s="103"/>
      <c r="N43" s="154"/>
      <c r="O43" s="155"/>
      <c r="P43" s="155"/>
      <c r="Q43" s="155"/>
      <c r="R43" s="155"/>
      <c r="S43" s="156"/>
      <c r="T43" s="103"/>
      <c r="U43" s="103"/>
      <c r="V43" s="182"/>
      <c r="W43" s="183"/>
      <c r="X43" s="184"/>
      <c r="Y43" s="103"/>
      <c r="Z43" s="103"/>
    </row>
    <row r="44" spans="1:26" ht="18" customHeight="1" x14ac:dyDescent="0.15">
      <c r="A44" s="112"/>
      <c r="B44" s="195"/>
      <c r="C44" s="196"/>
      <c r="D44" s="196"/>
      <c r="E44" s="196"/>
      <c r="F44" s="197"/>
      <c r="G44" s="104"/>
      <c r="H44" s="104"/>
      <c r="I44" s="191"/>
      <c r="J44" s="192"/>
      <c r="K44" s="193"/>
      <c r="L44" s="109"/>
      <c r="M44" s="109"/>
      <c r="N44" s="220"/>
      <c r="O44" s="221"/>
      <c r="P44" s="221"/>
      <c r="Q44" s="221"/>
      <c r="R44" s="221"/>
      <c r="S44" s="222"/>
      <c r="T44" s="104"/>
      <c r="U44" s="104"/>
      <c r="V44" s="191"/>
      <c r="W44" s="192"/>
      <c r="X44" s="193"/>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4" t="s">
        <v>85</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15">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15">
      <c r="A48" s="14"/>
      <c r="B48" s="138" t="s">
        <v>73</v>
      </c>
      <c r="C48" s="140"/>
      <c r="D48" s="140"/>
      <c r="E48" s="140"/>
      <c r="F48" s="139"/>
      <c r="G48" s="26" t="s">
        <v>74</v>
      </c>
      <c r="H48" s="101" t="s">
        <v>75</v>
      </c>
      <c r="I48" s="138" t="s">
        <v>76</v>
      </c>
      <c r="J48" s="140"/>
      <c r="K48" s="139"/>
      <c r="L48" s="67" t="s">
        <v>86</v>
      </c>
      <c r="M48" s="67" t="s">
        <v>87</v>
      </c>
      <c r="N48" s="138" t="s">
        <v>73</v>
      </c>
      <c r="O48" s="140"/>
      <c r="P48" s="140"/>
      <c r="Q48" s="140"/>
      <c r="R48" s="140"/>
      <c r="S48" s="139"/>
      <c r="T48" s="26" t="s">
        <v>74</v>
      </c>
      <c r="U48" s="101" t="s">
        <v>75</v>
      </c>
      <c r="V48" s="138" t="s">
        <v>76</v>
      </c>
      <c r="W48" s="140"/>
      <c r="X48" s="139"/>
      <c r="Y48" s="67" t="s">
        <v>86</v>
      </c>
      <c r="Z48" s="67" t="s">
        <v>87</v>
      </c>
    </row>
    <row r="49" spans="1:26" ht="18" customHeight="1" x14ac:dyDescent="0.15">
      <c r="A49" s="112"/>
      <c r="B49" s="188" t="s">
        <v>192</v>
      </c>
      <c r="C49" s="189"/>
      <c r="D49" s="189"/>
      <c r="E49" s="189"/>
      <c r="F49" s="190"/>
      <c r="G49" s="103">
        <v>1</v>
      </c>
      <c r="H49" s="103" t="s">
        <v>184</v>
      </c>
      <c r="I49" s="182" t="s">
        <v>185</v>
      </c>
      <c r="J49" s="183"/>
      <c r="K49" s="184"/>
      <c r="L49" s="103" t="s">
        <v>184</v>
      </c>
      <c r="M49" s="103" t="s">
        <v>184</v>
      </c>
      <c r="N49" s="145"/>
      <c r="O49" s="146"/>
      <c r="P49" s="146"/>
      <c r="Q49" s="146"/>
      <c r="R49" s="146"/>
      <c r="S49" s="147"/>
      <c r="T49" s="102"/>
      <c r="U49" s="102"/>
      <c r="V49" s="179"/>
      <c r="W49" s="180"/>
      <c r="X49" s="181"/>
      <c r="Y49" s="102"/>
      <c r="Z49" s="102"/>
    </row>
    <row r="50" spans="1:26" ht="18" customHeight="1" x14ac:dyDescent="0.15">
      <c r="A50" s="112"/>
      <c r="B50" s="188"/>
      <c r="C50" s="189"/>
      <c r="D50" s="189"/>
      <c r="E50" s="189"/>
      <c r="F50" s="190"/>
      <c r="G50" s="103"/>
      <c r="H50" s="103"/>
      <c r="I50" s="182"/>
      <c r="J50" s="183"/>
      <c r="K50" s="184"/>
      <c r="L50" s="103"/>
      <c r="M50" s="103"/>
      <c r="N50" s="154"/>
      <c r="O50" s="155"/>
      <c r="P50" s="155"/>
      <c r="Q50" s="155"/>
      <c r="R50" s="155"/>
      <c r="S50" s="156"/>
      <c r="T50" s="103"/>
      <c r="U50" s="103"/>
      <c r="V50" s="182"/>
      <c r="W50" s="183"/>
      <c r="X50" s="184"/>
      <c r="Y50" s="103"/>
      <c r="Z50" s="103"/>
    </row>
    <row r="51" spans="1:26" ht="18" customHeight="1" x14ac:dyDescent="0.15">
      <c r="A51" s="112"/>
      <c r="B51" s="188"/>
      <c r="C51" s="189"/>
      <c r="D51" s="189"/>
      <c r="E51" s="189"/>
      <c r="F51" s="190"/>
      <c r="G51" s="103"/>
      <c r="H51" s="103"/>
      <c r="I51" s="182"/>
      <c r="J51" s="183"/>
      <c r="K51" s="184"/>
      <c r="L51" s="103"/>
      <c r="M51" s="103"/>
      <c r="N51" s="154"/>
      <c r="O51" s="155"/>
      <c r="P51" s="155"/>
      <c r="Q51" s="155"/>
      <c r="R51" s="155"/>
      <c r="S51" s="156"/>
      <c r="T51" s="103"/>
      <c r="U51" s="103"/>
      <c r="V51" s="182"/>
      <c r="W51" s="183"/>
      <c r="X51" s="184"/>
      <c r="Y51" s="103"/>
      <c r="Z51" s="103"/>
    </row>
    <row r="52" spans="1:26" ht="18" customHeight="1" x14ac:dyDescent="0.15">
      <c r="A52" s="112"/>
      <c r="B52" s="188"/>
      <c r="C52" s="189"/>
      <c r="D52" s="189"/>
      <c r="E52" s="189"/>
      <c r="F52" s="190"/>
      <c r="G52" s="103"/>
      <c r="H52" s="103"/>
      <c r="I52" s="182"/>
      <c r="J52" s="183"/>
      <c r="K52" s="184"/>
      <c r="L52" s="103"/>
      <c r="M52" s="103"/>
      <c r="N52" s="154"/>
      <c r="O52" s="155"/>
      <c r="P52" s="155"/>
      <c r="Q52" s="155"/>
      <c r="R52" s="155"/>
      <c r="S52" s="156"/>
      <c r="T52" s="103"/>
      <c r="U52" s="103"/>
      <c r="V52" s="182"/>
      <c r="W52" s="183"/>
      <c r="X52" s="184"/>
      <c r="Y52" s="103"/>
      <c r="Z52" s="103"/>
    </row>
    <row r="53" spans="1:26" ht="18" customHeight="1" x14ac:dyDescent="0.15">
      <c r="A53" s="112"/>
      <c r="B53" s="188"/>
      <c r="C53" s="189"/>
      <c r="D53" s="189"/>
      <c r="E53" s="189"/>
      <c r="F53" s="190"/>
      <c r="G53" s="103"/>
      <c r="H53" s="103"/>
      <c r="I53" s="182"/>
      <c r="J53" s="183"/>
      <c r="K53" s="184"/>
      <c r="L53" s="103"/>
      <c r="M53" s="103"/>
      <c r="N53" s="154"/>
      <c r="O53" s="155"/>
      <c r="P53" s="155"/>
      <c r="Q53" s="155"/>
      <c r="R53" s="155"/>
      <c r="S53" s="156"/>
      <c r="T53" s="103"/>
      <c r="U53" s="103"/>
      <c r="V53" s="182"/>
      <c r="W53" s="183"/>
      <c r="X53" s="184"/>
      <c r="Y53" s="103"/>
      <c r="Z53" s="103"/>
    </row>
    <row r="54" spans="1:26" ht="18" customHeight="1" x14ac:dyDescent="0.15">
      <c r="A54" s="112"/>
      <c r="B54" s="188"/>
      <c r="C54" s="189"/>
      <c r="D54" s="189"/>
      <c r="E54" s="189"/>
      <c r="F54" s="190"/>
      <c r="G54" s="103"/>
      <c r="H54" s="103"/>
      <c r="I54" s="182"/>
      <c r="J54" s="183"/>
      <c r="K54" s="184"/>
      <c r="L54" s="103"/>
      <c r="M54" s="103"/>
      <c r="N54" s="154"/>
      <c r="O54" s="155"/>
      <c r="P54" s="155"/>
      <c r="Q54" s="155"/>
      <c r="R54" s="155"/>
      <c r="S54" s="156"/>
      <c r="T54" s="103"/>
      <c r="U54" s="103"/>
      <c r="V54" s="182"/>
      <c r="W54" s="183"/>
      <c r="X54" s="184"/>
      <c r="Y54" s="103"/>
      <c r="Z54" s="103"/>
    </row>
    <row r="55" spans="1:26" ht="18" customHeight="1" x14ac:dyDescent="0.15">
      <c r="A55" s="112"/>
      <c r="B55" s="195"/>
      <c r="C55" s="196"/>
      <c r="D55" s="196"/>
      <c r="E55" s="196"/>
      <c r="F55" s="197"/>
      <c r="G55" s="104"/>
      <c r="H55" s="104"/>
      <c r="I55" s="191"/>
      <c r="J55" s="192"/>
      <c r="K55" s="193"/>
      <c r="L55" s="109"/>
      <c r="M55" s="109"/>
      <c r="N55" s="220"/>
      <c r="O55" s="221"/>
      <c r="P55" s="221"/>
      <c r="Q55" s="221"/>
      <c r="R55" s="221"/>
      <c r="S55" s="222"/>
      <c r="T55" s="104"/>
      <c r="U55" s="104"/>
      <c r="V55" s="191"/>
      <c r="W55" s="192"/>
      <c r="X55" s="193"/>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4" t="s">
        <v>88</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1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15">
      <c r="A59" s="14"/>
      <c r="B59" s="138" t="s">
        <v>73</v>
      </c>
      <c r="C59" s="140"/>
      <c r="D59" s="140"/>
      <c r="E59" s="139"/>
      <c r="F59" s="26" t="s">
        <v>74</v>
      </c>
      <c r="G59" s="101" t="s">
        <v>75</v>
      </c>
      <c r="H59" s="22" t="s">
        <v>76</v>
      </c>
      <c r="I59" s="98"/>
      <c r="J59" s="23"/>
      <c r="K59" s="67" t="s">
        <v>89</v>
      </c>
      <c r="L59" s="67" t="s">
        <v>90</v>
      </c>
      <c r="M59" s="67" t="s">
        <v>91</v>
      </c>
      <c r="N59" s="138" t="s">
        <v>73</v>
      </c>
      <c r="O59" s="140"/>
      <c r="P59" s="140"/>
      <c r="Q59" s="140"/>
      <c r="R59" s="139"/>
      <c r="S59" s="26" t="s">
        <v>74</v>
      </c>
      <c r="T59" s="101" t="s">
        <v>75</v>
      </c>
      <c r="U59" s="22" t="s">
        <v>76</v>
      </c>
      <c r="V59" s="98"/>
      <c r="W59" s="23"/>
      <c r="X59" s="67" t="s">
        <v>89</v>
      </c>
      <c r="Y59" s="67" t="s">
        <v>90</v>
      </c>
      <c r="Z59" s="67" t="s">
        <v>91</v>
      </c>
    </row>
    <row r="60" spans="1:26" ht="18" customHeight="1" x14ac:dyDescent="0.15">
      <c r="A60" s="112"/>
      <c r="B60" s="154" t="s">
        <v>198</v>
      </c>
      <c r="C60" s="155"/>
      <c r="D60" s="155"/>
      <c r="E60" s="156"/>
      <c r="F60" s="103">
        <v>2</v>
      </c>
      <c r="G60" s="103" t="s">
        <v>184</v>
      </c>
      <c r="H60" s="182" t="s">
        <v>185</v>
      </c>
      <c r="I60" s="183"/>
      <c r="J60" s="184"/>
      <c r="K60" s="114" t="s">
        <v>195</v>
      </c>
      <c r="L60" s="103" t="s">
        <v>184</v>
      </c>
      <c r="M60" s="103" t="s">
        <v>184</v>
      </c>
      <c r="N60" s="145"/>
      <c r="O60" s="146"/>
      <c r="P60" s="146"/>
      <c r="Q60" s="146"/>
      <c r="R60" s="147"/>
      <c r="S60" s="102"/>
      <c r="T60" s="102"/>
      <c r="U60" s="179"/>
      <c r="V60" s="180"/>
      <c r="W60" s="181"/>
      <c r="X60" s="116"/>
      <c r="Y60" s="102"/>
      <c r="Z60" s="102"/>
    </row>
    <row r="61" spans="1:26" ht="18" customHeight="1" x14ac:dyDescent="0.15">
      <c r="A61" s="112"/>
      <c r="B61" s="154"/>
      <c r="C61" s="155"/>
      <c r="D61" s="155"/>
      <c r="E61" s="156"/>
      <c r="F61" s="103"/>
      <c r="G61" s="103"/>
      <c r="H61" s="182"/>
      <c r="I61" s="183"/>
      <c r="J61" s="184"/>
      <c r="K61" s="114"/>
      <c r="L61" s="103"/>
      <c r="M61" s="103"/>
      <c r="N61" s="154"/>
      <c r="O61" s="155"/>
      <c r="P61" s="155"/>
      <c r="Q61" s="155"/>
      <c r="R61" s="156"/>
      <c r="S61" s="103"/>
      <c r="T61" s="103"/>
      <c r="U61" s="182"/>
      <c r="V61" s="183"/>
      <c r="W61" s="184"/>
      <c r="X61" s="114"/>
      <c r="Y61" s="103"/>
      <c r="Z61" s="103"/>
    </row>
    <row r="62" spans="1:26" ht="18" customHeight="1" x14ac:dyDescent="0.15">
      <c r="A62" s="112"/>
      <c r="B62" s="154"/>
      <c r="C62" s="155"/>
      <c r="D62" s="155"/>
      <c r="E62" s="156"/>
      <c r="F62" s="103"/>
      <c r="G62" s="103"/>
      <c r="H62" s="182"/>
      <c r="I62" s="183"/>
      <c r="J62" s="184"/>
      <c r="K62" s="114"/>
      <c r="L62" s="103"/>
      <c r="M62" s="103"/>
      <c r="N62" s="154"/>
      <c r="O62" s="155"/>
      <c r="P62" s="155"/>
      <c r="Q62" s="155"/>
      <c r="R62" s="156"/>
      <c r="S62" s="103"/>
      <c r="T62" s="103"/>
      <c r="U62" s="182"/>
      <c r="V62" s="183"/>
      <c r="W62" s="184"/>
      <c r="X62" s="114"/>
      <c r="Y62" s="103"/>
      <c r="Z62" s="103"/>
    </row>
    <row r="63" spans="1:26" ht="18" customHeight="1" x14ac:dyDescent="0.15">
      <c r="A63" s="112"/>
      <c r="B63" s="154"/>
      <c r="C63" s="155"/>
      <c r="D63" s="155"/>
      <c r="E63" s="156"/>
      <c r="F63" s="103"/>
      <c r="G63" s="103"/>
      <c r="H63" s="182"/>
      <c r="I63" s="183"/>
      <c r="J63" s="184"/>
      <c r="K63" s="114"/>
      <c r="L63" s="103"/>
      <c r="M63" s="103"/>
      <c r="N63" s="154"/>
      <c r="O63" s="155"/>
      <c r="P63" s="155"/>
      <c r="Q63" s="155"/>
      <c r="R63" s="156"/>
      <c r="S63" s="103"/>
      <c r="T63" s="103"/>
      <c r="U63" s="182"/>
      <c r="V63" s="183"/>
      <c r="W63" s="184"/>
      <c r="X63" s="114"/>
      <c r="Y63" s="103"/>
      <c r="Z63" s="103"/>
    </row>
    <row r="64" spans="1:26" ht="18" customHeight="1" x14ac:dyDescent="0.15">
      <c r="A64" s="112"/>
      <c r="B64" s="154"/>
      <c r="C64" s="155"/>
      <c r="D64" s="155"/>
      <c r="E64" s="156"/>
      <c r="F64" s="103"/>
      <c r="G64" s="103"/>
      <c r="H64" s="182"/>
      <c r="I64" s="183"/>
      <c r="J64" s="184"/>
      <c r="K64" s="114"/>
      <c r="L64" s="103"/>
      <c r="M64" s="103"/>
      <c r="N64" s="154"/>
      <c r="O64" s="155"/>
      <c r="P64" s="155"/>
      <c r="Q64" s="155"/>
      <c r="R64" s="156"/>
      <c r="S64" s="103"/>
      <c r="T64" s="103"/>
      <c r="U64" s="182"/>
      <c r="V64" s="183"/>
      <c r="W64" s="184"/>
      <c r="X64" s="114"/>
      <c r="Y64" s="103"/>
      <c r="Z64" s="103"/>
    </row>
    <row r="65" spans="1:26" ht="18" customHeight="1" x14ac:dyDescent="0.15">
      <c r="A65" s="112"/>
      <c r="B65" s="154"/>
      <c r="C65" s="155"/>
      <c r="D65" s="155"/>
      <c r="E65" s="156"/>
      <c r="F65" s="103"/>
      <c r="G65" s="103"/>
      <c r="H65" s="182"/>
      <c r="I65" s="183"/>
      <c r="J65" s="184"/>
      <c r="K65" s="114"/>
      <c r="L65" s="103"/>
      <c r="M65" s="103"/>
      <c r="N65" s="154"/>
      <c r="O65" s="155"/>
      <c r="P65" s="155"/>
      <c r="Q65" s="155"/>
      <c r="R65" s="156"/>
      <c r="S65" s="103"/>
      <c r="T65" s="103"/>
      <c r="U65" s="182"/>
      <c r="V65" s="183"/>
      <c r="W65" s="184"/>
      <c r="X65" s="114"/>
      <c r="Y65" s="103"/>
      <c r="Z65" s="103"/>
    </row>
    <row r="66" spans="1:26" ht="18" customHeight="1" x14ac:dyDescent="0.15">
      <c r="A66" s="112"/>
      <c r="B66" s="220"/>
      <c r="C66" s="221"/>
      <c r="D66" s="221"/>
      <c r="E66" s="222"/>
      <c r="F66" s="104"/>
      <c r="G66" s="104"/>
      <c r="H66" s="191"/>
      <c r="I66" s="192"/>
      <c r="J66" s="193"/>
      <c r="K66" s="115"/>
      <c r="L66" s="109"/>
      <c r="M66" s="109"/>
      <c r="N66" s="220"/>
      <c r="O66" s="221"/>
      <c r="P66" s="221"/>
      <c r="Q66" s="221"/>
      <c r="R66" s="222"/>
      <c r="S66" s="104"/>
      <c r="T66" s="104"/>
      <c r="U66" s="191"/>
      <c r="V66" s="192"/>
      <c r="W66" s="193"/>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92</v>
      </c>
      <c r="B68" s="14"/>
      <c r="C68" s="14"/>
      <c r="D68" s="14"/>
      <c r="E68" s="14"/>
      <c r="F68" s="14"/>
      <c r="G68" s="14"/>
      <c r="H68" s="14"/>
      <c r="I68" s="14"/>
      <c r="J68" s="14"/>
      <c r="K68" s="14"/>
      <c r="L68" s="112"/>
      <c r="M68" s="112"/>
      <c r="N68" s="112"/>
      <c r="O68" s="112"/>
      <c r="P68" s="112"/>
      <c r="Q68" s="112"/>
      <c r="R68" s="112"/>
      <c r="S68" s="112"/>
      <c r="T68" s="112"/>
      <c r="U68" s="112"/>
      <c r="V68" s="112"/>
      <c r="W68" s="112"/>
      <c r="X68" s="112"/>
      <c r="Y68" s="112"/>
      <c r="Z68" s="112"/>
    </row>
    <row r="69" spans="1:26" ht="18" customHeight="1" x14ac:dyDescent="0.15">
      <c r="A69" s="14"/>
      <c r="B69" s="138" t="s">
        <v>73</v>
      </c>
      <c r="C69" s="140"/>
      <c r="D69" s="140"/>
      <c r="E69" s="140"/>
      <c r="F69" s="139"/>
      <c r="G69" s="138" t="s">
        <v>93</v>
      </c>
      <c r="H69" s="140"/>
      <c r="I69" s="140"/>
      <c r="J69" s="140"/>
      <c r="K69" s="140"/>
      <c r="L69" s="140"/>
      <c r="M69" s="139"/>
      <c r="N69" s="226" t="s">
        <v>73</v>
      </c>
      <c r="O69" s="227"/>
      <c r="P69" s="227"/>
      <c r="Q69" s="227"/>
      <c r="R69" s="227"/>
      <c r="S69" s="228"/>
      <c r="T69" s="138" t="s">
        <v>93</v>
      </c>
      <c r="U69" s="140"/>
      <c r="V69" s="140"/>
      <c r="W69" s="140"/>
      <c r="X69" s="140"/>
      <c r="Y69" s="140"/>
      <c r="Z69" s="139"/>
    </row>
    <row r="70" spans="1:26" ht="18" customHeight="1" x14ac:dyDescent="0.15">
      <c r="A70" s="112"/>
      <c r="B70" s="145" t="s">
        <v>200</v>
      </c>
      <c r="C70" s="146"/>
      <c r="D70" s="146"/>
      <c r="E70" s="146"/>
      <c r="F70" s="147"/>
      <c r="G70" s="148"/>
      <c r="H70" s="149"/>
      <c r="I70" s="149"/>
      <c r="J70" s="149"/>
      <c r="K70" s="149"/>
      <c r="L70" s="149"/>
      <c r="M70" s="150"/>
      <c r="N70" s="145"/>
      <c r="O70" s="146"/>
      <c r="P70" s="146"/>
      <c r="Q70" s="146"/>
      <c r="R70" s="146"/>
      <c r="S70" s="147"/>
      <c r="T70" s="148"/>
      <c r="U70" s="149"/>
      <c r="V70" s="149"/>
      <c r="W70" s="149"/>
      <c r="X70" s="149"/>
      <c r="Y70" s="149"/>
      <c r="Z70" s="150"/>
    </row>
    <row r="71" spans="1:26" ht="18" customHeight="1" x14ac:dyDescent="0.15">
      <c r="A71" s="112"/>
      <c r="B71" s="154" t="s">
        <v>201</v>
      </c>
      <c r="C71" s="155"/>
      <c r="D71" s="155"/>
      <c r="E71" s="155"/>
      <c r="F71" s="156"/>
      <c r="G71" s="157"/>
      <c r="H71" s="158"/>
      <c r="I71" s="158"/>
      <c r="J71" s="158"/>
      <c r="K71" s="158"/>
      <c r="L71" s="158"/>
      <c r="M71" s="159"/>
      <c r="N71" s="154"/>
      <c r="O71" s="155"/>
      <c r="P71" s="155"/>
      <c r="Q71" s="155"/>
      <c r="R71" s="155"/>
      <c r="S71" s="156"/>
      <c r="T71" s="157"/>
      <c r="U71" s="158"/>
      <c r="V71" s="158"/>
      <c r="W71" s="158"/>
      <c r="X71" s="158"/>
      <c r="Y71" s="158"/>
      <c r="Z71" s="159"/>
    </row>
    <row r="72" spans="1:26" ht="18" customHeight="1" x14ac:dyDescent="0.15">
      <c r="A72" s="112"/>
      <c r="B72" s="154" t="s">
        <v>202</v>
      </c>
      <c r="C72" s="155"/>
      <c r="D72" s="155"/>
      <c r="E72" s="155"/>
      <c r="F72" s="156"/>
      <c r="G72" s="157"/>
      <c r="H72" s="158"/>
      <c r="I72" s="158"/>
      <c r="J72" s="158"/>
      <c r="K72" s="158"/>
      <c r="L72" s="158"/>
      <c r="M72" s="159"/>
      <c r="N72" s="154"/>
      <c r="O72" s="155"/>
      <c r="P72" s="155"/>
      <c r="Q72" s="155"/>
      <c r="R72" s="155"/>
      <c r="S72" s="156"/>
      <c r="T72" s="157"/>
      <c r="U72" s="158"/>
      <c r="V72" s="158"/>
      <c r="W72" s="158"/>
      <c r="X72" s="158"/>
      <c r="Y72" s="158"/>
      <c r="Z72" s="159"/>
    </row>
    <row r="73" spans="1:26" ht="18" customHeight="1" x14ac:dyDescent="0.15">
      <c r="A73" s="112"/>
      <c r="B73" s="154"/>
      <c r="C73" s="155"/>
      <c r="D73" s="155"/>
      <c r="E73" s="155"/>
      <c r="F73" s="156"/>
      <c r="G73" s="157"/>
      <c r="H73" s="158"/>
      <c r="I73" s="158"/>
      <c r="J73" s="158"/>
      <c r="K73" s="158"/>
      <c r="L73" s="158"/>
      <c r="M73" s="159"/>
      <c r="N73" s="154"/>
      <c r="O73" s="155"/>
      <c r="P73" s="155"/>
      <c r="Q73" s="155"/>
      <c r="R73" s="155"/>
      <c r="S73" s="156"/>
      <c r="T73" s="157"/>
      <c r="U73" s="158"/>
      <c r="V73" s="158"/>
      <c r="W73" s="158"/>
      <c r="X73" s="158"/>
      <c r="Y73" s="158"/>
      <c r="Z73" s="159"/>
    </row>
    <row r="74" spans="1:26" ht="18" customHeight="1" x14ac:dyDescent="0.15">
      <c r="A74" s="112"/>
      <c r="B74" s="154"/>
      <c r="C74" s="155"/>
      <c r="D74" s="155"/>
      <c r="E74" s="155"/>
      <c r="F74" s="156"/>
      <c r="G74" s="157"/>
      <c r="H74" s="158"/>
      <c r="I74" s="158"/>
      <c r="J74" s="158"/>
      <c r="K74" s="158"/>
      <c r="L74" s="158"/>
      <c r="M74" s="159"/>
      <c r="N74" s="154"/>
      <c r="O74" s="155"/>
      <c r="P74" s="155"/>
      <c r="Q74" s="155"/>
      <c r="R74" s="155"/>
      <c r="S74" s="156"/>
      <c r="T74" s="157"/>
      <c r="U74" s="158"/>
      <c r="V74" s="158"/>
      <c r="W74" s="158"/>
      <c r="X74" s="158"/>
      <c r="Y74" s="158"/>
      <c r="Z74" s="159"/>
    </row>
    <row r="75" spans="1:26" ht="18" customHeight="1" x14ac:dyDescent="0.15">
      <c r="A75" s="112"/>
      <c r="B75" s="154"/>
      <c r="C75" s="155"/>
      <c r="D75" s="155"/>
      <c r="E75" s="155"/>
      <c r="F75" s="156"/>
      <c r="G75" s="157"/>
      <c r="H75" s="158"/>
      <c r="I75" s="158"/>
      <c r="J75" s="158"/>
      <c r="K75" s="158"/>
      <c r="L75" s="158"/>
      <c r="M75" s="159"/>
      <c r="N75" s="154"/>
      <c r="O75" s="155"/>
      <c r="P75" s="155"/>
      <c r="Q75" s="155"/>
      <c r="R75" s="155"/>
      <c r="S75" s="156"/>
      <c r="T75" s="157"/>
      <c r="U75" s="158"/>
      <c r="V75" s="158"/>
      <c r="W75" s="158"/>
      <c r="X75" s="158"/>
      <c r="Y75" s="158"/>
      <c r="Z75" s="159"/>
    </row>
    <row r="76" spans="1:26" ht="18" customHeight="1" x14ac:dyDescent="0.15">
      <c r="A76" s="112"/>
      <c r="B76" s="220"/>
      <c r="C76" s="221"/>
      <c r="D76" s="221"/>
      <c r="E76" s="221"/>
      <c r="F76" s="222"/>
      <c r="G76" s="223"/>
      <c r="H76" s="224"/>
      <c r="I76" s="224"/>
      <c r="J76" s="224"/>
      <c r="K76" s="224"/>
      <c r="L76" s="224"/>
      <c r="M76" s="225"/>
      <c r="N76" s="220"/>
      <c r="O76" s="221"/>
      <c r="P76" s="221"/>
      <c r="Q76" s="221"/>
      <c r="R76" s="221"/>
      <c r="S76" s="222"/>
      <c r="T76" s="223"/>
      <c r="U76" s="224"/>
      <c r="V76" s="224"/>
      <c r="W76" s="224"/>
      <c r="X76" s="224"/>
      <c r="Y76" s="224"/>
      <c r="Z76" s="225"/>
    </row>
    <row r="77" spans="1:26" ht="18" customHeight="1" x14ac:dyDescent="0.15">
      <c r="A77" s="112"/>
      <c r="B77" s="113"/>
      <c r="C77" s="113"/>
      <c r="D77" s="113"/>
      <c r="E77" s="113"/>
      <c r="F77" s="113"/>
      <c r="G77" s="12"/>
      <c r="H77" s="12"/>
      <c r="I77" s="12"/>
      <c r="J77" s="12"/>
      <c r="K77" s="12"/>
      <c r="L77" s="12"/>
      <c r="M77" s="12"/>
      <c r="N77" s="113"/>
      <c r="O77" s="113"/>
      <c r="P77" s="113"/>
      <c r="Q77" s="113"/>
      <c r="R77" s="113"/>
      <c r="S77" s="113"/>
      <c r="T77" s="12"/>
      <c r="U77" s="12"/>
      <c r="V77" s="12"/>
      <c r="W77" s="12"/>
      <c r="X77" s="12"/>
      <c r="Y77" s="12"/>
      <c r="Z77" s="12"/>
    </row>
    <row r="78" spans="1:26" ht="18.75" customHeight="1" x14ac:dyDescent="0.15">
      <c r="A78" s="13" t="s">
        <v>94</v>
      </c>
    </row>
    <row r="79" spans="1:26" ht="18.75" customHeight="1" x14ac:dyDescent="0.15">
      <c r="B79" s="69" t="s">
        <v>95</v>
      </c>
      <c r="C79" s="70"/>
      <c r="D79" s="177" t="s">
        <v>96</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x14ac:dyDescent="0.15">
      <c r="B80" s="162" t="s">
        <v>97</v>
      </c>
      <c r="C80" s="76" t="s">
        <v>77</v>
      </c>
      <c r="D80" s="171" t="s">
        <v>252</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78" customHeight="1" x14ac:dyDescent="0.15">
      <c r="B81" s="163"/>
      <c r="C81" s="99" t="s">
        <v>98</v>
      </c>
      <c r="D81" s="208" t="s">
        <v>252</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160" t="s">
        <v>99</v>
      </c>
      <c r="C82" s="71" t="s">
        <v>80</v>
      </c>
      <c r="D82" s="211" t="s">
        <v>253</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161"/>
      <c r="C83" s="100" t="s">
        <v>81</v>
      </c>
      <c r="D83" s="217" t="s">
        <v>254</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66" customHeight="1" x14ac:dyDescent="0.15">
      <c r="B84" s="160" t="s">
        <v>100</v>
      </c>
      <c r="C84" s="71" t="s">
        <v>83</v>
      </c>
      <c r="D84" s="211" t="s">
        <v>255</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161"/>
      <c r="C85" s="73" t="s">
        <v>84</v>
      </c>
      <c r="D85" s="214" t="s">
        <v>255</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2" t="s">
        <v>101</v>
      </c>
      <c r="C86" s="76" t="s">
        <v>86</v>
      </c>
      <c r="D86" s="171" t="s">
        <v>256</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6" customHeight="1" x14ac:dyDescent="0.15">
      <c r="B87" s="170"/>
      <c r="C87" s="72" t="s">
        <v>87</v>
      </c>
      <c r="D87" s="174" t="s">
        <v>257</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6" customHeight="1" x14ac:dyDescent="0.15">
      <c r="B88" s="162" t="s">
        <v>102</v>
      </c>
      <c r="C88" s="71" t="s">
        <v>89</v>
      </c>
      <c r="D88" s="164" t="s">
        <v>258</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63"/>
      <c r="C89" s="72" t="s">
        <v>90</v>
      </c>
      <c r="D89" s="151" t="s">
        <v>259</v>
      </c>
      <c r="E89" s="152"/>
      <c r="F89" s="152"/>
      <c r="G89" s="152"/>
      <c r="H89" s="152"/>
      <c r="I89" s="152"/>
      <c r="J89" s="152"/>
      <c r="K89" s="152"/>
      <c r="L89" s="152"/>
      <c r="M89" s="152"/>
      <c r="N89" s="152"/>
      <c r="O89" s="152"/>
      <c r="P89" s="152"/>
      <c r="Q89" s="152"/>
      <c r="R89" s="152"/>
      <c r="S89" s="152"/>
      <c r="T89" s="152"/>
      <c r="U89" s="152"/>
      <c r="V89" s="152"/>
      <c r="W89" s="152"/>
      <c r="X89" s="152"/>
      <c r="Y89" s="152"/>
      <c r="Z89" s="153"/>
    </row>
    <row r="90" spans="1:26" ht="66" customHeight="1" x14ac:dyDescent="0.15">
      <c r="B90" s="161"/>
      <c r="C90" s="73" t="s">
        <v>91</v>
      </c>
      <c r="D90" s="167" t="s">
        <v>260</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103</v>
      </c>
    </row>
    <row r="93" spans="1:26" ht="18.75" customHeight="1" x14ac:dyDescent="0.15">
      <c r="B93" s="229" t="s">
        <v>232</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3" t="s">
        <v>104</v>
      </c>
    </row>
    <row r="98" spans="1:26" ht="15" customHeight="1" x14ac:dyDescent="0.15">
      <c r="B98" s="238" t="s">
        <v>183</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40"/>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E38FC8D4-9BBB-4C88-8E37-EF3746A4069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3CB79AC-59C8-46B2-8E97-21B7F41AFDB2}">
      <formula1>"学部・学科によって、修了要件は相違する,学部・学科によって、修了要件は相違しない"</formula1>
    </dataValidation>
    <dataValidation type="list" allowBlank="1" showInputMessage="1" showErrorMessage="1" sqref="Z23 Z34 D34:K34 D23:K23 V16:V22 H60:H66 V27:V33 I16:I22 V38:V44 I38:I44 V49:V55 I49:I55 U60:U66 I27:I33" xr:uid="{B4AEE42C-2B8C-4AA6-B2A7-A92867CF3129}">
      <formula1>"全学開講,一部開講"</formula1>
    </dataValidation>
    <dataValidation type="list" allowBlank="1" showInputMessage="1" showErrorMessage="1" sqref="Y16:Z22 Y27:Z33 H27:H33 Y38:Z44 H38:H44 Y49:Z55 Y60:Z66 G60:G66 T60:T66 U16:U22 U27:U33 L38:M44 U38:U44 H49:H55 U49:U55 H16:H22 L16:M22 L60:M66 L49:M55 L27:M33" xr:uid="{36AB30D4-754C-4407-9CAD-C190A25A05A0}">
      <formula1>"○"</formula1>
    </dataValidation>
  </dataValidations>
  <hyperlinks>
    <hyperlink ref="B98" r:id="rId1" xr:uid="{A5745576-4731-4D76-A477-BF0A946E027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70" zoomScaleNormal="100" zoomScaleSheetLayoutView="70" workbookViewId="0">
      <selection activeCell="B63" sqref="B63:R64"/>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1" t="s">
        <v>263</v>
      </c>
      <c r="X1" s="241"/>
      <c r="Y1" s="241"/>
      <c r="Z1" s="241"/>
    </row>
    <row r="2" spans="1:26" ht="18" customHeight="1" x14ac:dyDescent="0.15">
      <c r="A2" s="198" t="s">
        <v>69</v>
      </c>
      <c r="B2" s="198"/>
      <c r="C2" s="198"/>
      <c r="D2" s="198"/>
      <c r="E2" s="198"/>
      <c r="F2" s="198"/>
      <c r="G2" s="198"/>
      <c r="H2" s="198"/>
      <c r="I2" s="198"/>
      <c r="J2" s="198"/>
      <c r="K2" s="198"/>
      <c r="L2" s="198"/>
      <c r="M2" s="198"/>
      <c r="N2" s="198"/>
      <c r="O2" s="198"/>
      <c r="P2" s="198"/>
      <c r="Q2" s="198"/>
      <c r="R2" s="198"/>
      <c r="S2" s="198"/>
      <c r="T2" s="198"/>
      <c r="U2" s="198"/>
      <c r="V2" s="198"/>
      <c r="W2" s="198"/>
      <c r="X2" s="198"/>
      <c r="Y2" s="198"/>
      <c r="Z2" s="198"/>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38" t="s">
        <v>207</v>
      </c>
      <c r="P4" s="140"/>
      <c r="Q4" s="140"/>
      <c r="R4" s="140"/>
      <c r="S4" s="140"/>
      <c r="T4" s="140"/>
      <c r="U4" s="140"/>
      <c r="V4" s="140"/>
      <c r="W4" s="140"/>
      <c r="X4" s="140"/>
      <c r="Y4" s="140"/>
      <c r="Z4" s="13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199" t="s">
        <v>242</v>
      </c>
      <c r="C6" s="200"/>
      <c r="D6" s="200"/>
      <c r="E6" s="200"/>
      <c r="F6" s="200"/>
      <c r="G6" s="200"/>
      <c r="H6" s="200"/>
      <c r="I6" s="200"/>
      <c r="J6" s="200"/>
      <c r="K6" s="200"/>
      <c r="L6" s="200"/>
      <c r="M6" s="200"/>
      <c r="N6" s="200"/>
      <c r="O6" s="200"/>
      <c r="P6" s="200"/>
      <c r="Q6" s="200"/>
      <c r="R6" s="200"/>
      <c r="S6" s="200"/>
      <c r="T6" s="200"/>
      <c r="U6" s="200"/>
      <c r="V6" s="200"/>
      <c r="W6" s="200"/>
      <c r="X6" s="200"/>
      <c r="Y6" s="200"/>
      <c r="Z6" s="201"/>
    </row>
    <row r="7" spans="1:26" ht="18" customHeight="1" x14ac:dyDescent="0.15">
      <c r="B7" s="202"/>
      <c r="C7" s="203"/>
      <c r="D7" s="203"/>
      <c r="E7" s="203"/>
      <c r="F7" s="203"/>
      <c r="G7" s="203"/>
      <c r="H7" s="203"/>
      <c r="I7" s="203"/>
      <c r="J7" s="203"/>
      <c r="K7" s="203"/>
      <c r="L7" s="203"/>
      <c r="M7" s="203"/>
      <c r="N7" s="203"/>
      <c r="O7" s="203"/>
      <c r="P7" s="203"/>
      <c r="Q7" s="203"/>
      <c r="R7" s="203"/>
      <c r="S7" s="203"/>
      <c r="T7" s="203"/>
      <c r="U7" s="203"/>
      <c r="V7" s="203"/>
      <c r="W7" s="203"/>
      <c r="X7" s="203"/>
      <c r="Y7" s="203"/>
      <c r="Z7" s="204"/>
    </row>
    <row r="8" spans="1:26" ht="18" customHeight="1" x14ac:dyDescent="0.15">
      <c r="B8" s="202"/>
      <c r="C8" s="203"/>
      <c r="D8" s="203"/>
      <c r="E8" s="203"/>
      <c r="F8" s="203"/>
      <c r="G8" s="203"/>
      <c r="H8" s="203"/>
      <c r="I8" s="203"/>
      <c r="J8" s="203"/>
      <c r="K8" s="203"/>
      <c r="L8" s="203"/>
      <c r="M8" s="203"/>
      <c r="N8" s="203"/>
      <c r="O8" s="203"/>
      <c r="P8" s="203"/>
      <c r="Q8" s="203"/>
      <c r="R8" s="203"/>
      <c r="S8" s="203"/>
      <c r="T8" s="203"/>
      <c r="U8" s="203"/>
      <c r="V8" s="203"/>
      <c r="W8" s="203"/>
      <c r="X8" s="203"/>
      <c r="Y8" s="203"/>
      <c r="Z8" s="204"/>
    </row>
    <row r="9" spans="1:26" ht="18" customHeight="1" x14ac:dyDescent="0.15">
      <c r="B9" s="202"/>
      <c r="C9" s="203"/>
      <c r="D9" s="203"/>
      <c r="E9" s="203"/>
      <c r="F9" s="203"/>
      <c r="G9" s="203"/>
      <c r="H9" s="203"/>
      <c r="I9" s="203"/>
      <c r="J9" s="203"/>
      <c r="K9" s="203"/>
      <c r="L9" s="203"/>
      <c r="M9" s="203"/>
      <c r="N9" s="203"/>
      <c r="O9" s="203"/>
      <c r="P9" s="203"/>
      <c r="Q9" s="203"/>
      <c r="R9" s="203"/>
      <c r="S9" s="203"/>
      <c r="T9" s="203"/>
      <c r="U9" s="203"/>
      <c r="V9" s="203"/>
      <c r="W9" s="203"/>
      <c r="X9" s="203"/>
      <c r="Y9" s="203"/>
      <c r="Z9" s="204"/>
    </row>
    <row r="10" spans="1:26" ht="18" customHeight="1" x14ac:dyDescent="0.15">
      <c r="B10" s="202"/>
      <c r="C10" s="203"/>
      <c r="D10" s="203"/>
      <c r="E10" s="203"/>
      <c r="F10" s="203"/>
      <c r="G10" s="203"/>
      <c r="H10" s="203"/>
      <c r="I10" s="203"/>
      <c r="J10" s="203"/>
      <c r="K10" s="203"/>
      <c r="L10" s="203"/>
      <c r="M10" s="203"/>
      <c r="N10" s="203"/>
      <c r="O10" s="203"/>
      <c r="P10" s="203"/>
      <c r="Q10" s="203"/>
      <c r="R10" s="203"/>
      <c r="S10" s="203"/>
      <c r="T10" s="203"/>
      <c r="U10" s="203"/>
      <c r="V10" s="203"/>
      <c r="W10" s="203"/>
      <c r="X10" s="203"/>
      <c r="Y10" s="203"/>
      <c r="Z10" s="204"/>
    </row>
    <row r="11" spans="1:26" ht="18" customHeight="1" x14ac:dyDescent="0.15">
      <c r="B11" s="205"/>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7"/>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4" t="s">
        <v>72</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15">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15">
      <c r="A15" s="14"/>
      <c r="B15" s="138" t="s">
        <v>73</v>
      </c>
      <c r="C15" s="140"/>
      <c r="D15" s="140"/>
      <c r="E15" s="140"/>
      <c r="F15" s="139"/>
      <c r="G15" s="26" t="s">
        <v>74</v>
      </c>
      <c r="H15" s="101" t="s">
        <v>75</v>
      </c>
      <c r="I15" s="140" t="s">
        <v>76</v>
      </c>
      <c r="J15" s="140"/>
      <c r="K15" s="140"/>
      <c r="L15" s="67" t="s">
        <v>77</v>
      </c>
      <c r="M15" s="67" t="s">
        <v>78</v>
      </c>
      <c r="N15" s="138" t="s">
        <v>73</v>
      </c>
      <c r="O15" s="140"/>
      <c r="P15" s="140"/>
      <c r="Q15" s="140"/>
      <c r="R15" s="140"/>
      <c r="S15" s="139"/>
      <c r="T15" s="26" t="s">
        <v>74</v>
      </c>
      <c r="U15" s="101" t="s">
        <v>75</v>
      </c>
      <c r="V15" s="140" t="s">
        <v>76</v>
      </c>
      <c r="W15" s="140"/>
      <c r="X15" s="140"/>
      <c r="Y15" s="67" t="s">
        <v>77</v>
      </c>
      <c r="Z15" s="67" t="s">
        <v>78</v>
      </c>
    </row>
    <row r="16" spans="1:26" ht="18" customHeight="1" x14ac:dyDescent="0.15">
      <c r="A16" s="14"/>
      <c r="B16" s="188" t="s">
        <v>189</v>
      </c>
      <c r="C16" s="189"/>
      <c r="D16" s="189"/>
      <c r="E16" s="189"/>
      <c r="F16" s="190"/>
      <c r="G16" s="103">
        <v>1</v>
      </c>
      <c r="H16" s="103" t="s">
        <v>184</v>
      </c>
      <c r="I16" s="182" t="s">
        <v>185</v>
      </c>
      <c r="J16" s="183"/>
      <c r="K16" s="184"/>
      <c r="L16" s="103" t="s">
        <v>184</v>
      </c>
      <c r="M16" s="103" t="s">
        <v>184</v>
      </c>
      <c r="N16" s="145"/>
      <c r="O16" s="146"/>
      <c r="P16" s="146"/>
      <c r="Q16" s="146"/>
      <c r="R16" s="146"/>
      <c r="S16" s="147"/>
      <c r="T16" s="102"/>
      <c r="U16" s="102"/>
      <c r="V16" s="179"/>
      <c r="W16" s="180"/>
      <c r="X16" s="181"/>
      <c r="Y16" s="102"/>
      <c r="Z16" s="102"/>
    </row>
    <row r="17" spans="1:26" ht="18" customHeight="1" x14ac:dyDescent="0.15">
      <c r="A17" s="14"/>
      <c r="B17" s="188"/>
      <c r="C17" s="189"/>
      <c r="D17" s="189"/>
      <c r="E17" s="189"/>
      <c r="F17" s="190"/>
      <c r="G17" s="103"/>
      <c r="H17" s="103"/>
      <c r="I17" s="182"/>
      <c r="J17" s="183"/>
      <c r="K17" s="184"/>
      <c r="L17" s="103"/>
      <c r="M17" s="103"/>
      <c r="N17" s="154"/>
      <c r="O17" s="155"/>
      <c r="P17" s="155"/>
      <c r="Q17" s="155"/>
      <c r="R17" s="155"/>
      <c r="S17" s="156"/>
      <c r="T17" s="103"/>
      <c r="U17" s="103"/>
      <c r="V17" s="182"/>
      <c r="W17" s="183"/>
      <c r="X17" s="184"/>
      <c r="Y17" s="103"/>
      <c r="Z17" s="103"/>
    </row>
    <row r="18" spans="1:26" ht="18" customHeight="1" x14ac:dyDescent="0.15">
      <c r="A18" s="14"/>
      <c r="B18" s="188"/>
      <c r="C18" s="189"/>
      <c r="D18" s="189"/>
      <c r="E18" s="189"/>
      <c r="F18" s="190"/>
      <c r="G18" s="103"/>
      <c r="H18" s="103"/>
      <c r="I18" s="182"/>
      <c r="J18" s="183"/>
      <c r="K18" s="184"/>
      <c r="L18" s="103"/>
      <c r="M18" s="103"/>
      <c r="N18" s="154"/>
      <c r="O18" s="155"/>
      <c r="P18" s="155"/>
      <c r="Q18" s="155"/>
      <c r="R18" s="155"/>
      <c r="S18" s="156"/>
      <c r="T18" s="103"/>
      <c r="U18" s="103"/>
      <c r="V18" s="182"/>
      <c r="W18" s="183"/>
      <c r="X18" s="184"/>
      <c r="Y18" s="103"/>
      <c r="Z18" s="103"/>
    </row>
    <row r="19" spans="1:26" ht="18" customHeight="1" x14ac:dyDescent="0.15">
      <c r="A19" s="14"/>
      <c r="B19" s="188"/>
      <c r="C19" s="189"/>
      <c r="D19" s="189"/>
      <c r="E19" s="189"/>
      <c r="F19" s="190"/>
      <c r="G19" s="103"/>
      <c r="H19" s="103"/>
      <c r="I19" s="182"/>
      <c r="J19" s="183"/>
      <c r="K19" s="184"/>
      <c r="L19" s="103"/>
      <c r="M19" s="103"/>
      <c r="N19" s="154"/>
      <c r="O19" s="155"/>
      <c r="P19" s="155"/>
      <c r="Q19" s="155"/>
      <c r="R19" s="155"/>
      <c r="S19" s="156"/>
      <c r="T19" s="103"/>
      <c r="U19" s="103"/>
      <c r="V19" s="182"/>
      <c r="W19" s="183"/>
      <c r="X19" s="184"/>
      <c r="Y19" s="103"/>
      <c r="Z19" s="103"/>
    </row>
    <row r="20" spans="1:26" ht="18" customHeight="1" x14ac:dyDescent="0.15">
      <c r="A20" s="14"/>
      <c r="B20" s="188"/>
      <c r="C20" s="189"/>
      <c r="D20" s="189"/>
      <c r="E20" s="189"/>
      <c r="F20" s="190"/>
      <c r="G20" s="103"/>
      <c r="H20" s="103"/>
      <c r="I20" s="182"/>
      <c r="J20" s="183"/>
      <c r="K20" s="184"/>
      <c r="L20" s="103"/>
      <c r="M20" s="103"/>
      <c r="N20" s="154"/>
      <c r="O20" s="155"/>
      <c r="P20" s="155"/>
      <c r="Q20" s="155"/>
      <c r="R20" s="155"/>
      <c r="S20" s="156"/>
      <c r="T20" s="103"/>
      <c r="U20" s="103"/>
      <c r="V20" s="182"/>
      <c r="W20" s="183"/>
      <c r="X20" s="184"/>
      <c r="Y20" s="103"/>
      <c r="Z20" s="103"/>
    </row>
    <row r="21" spans="1:26" ht="18" customHeight="1" x14ac:dyDescent="0.15">
      <c r="A21" s="25"/>
      <c r="B21" s="188"/>
      <c r="C21" s="189"/>
      <c r="D21" s="189"/>
      <c r="E21" s="189"/>
      <c r="F21" s="190"/>
      <c r="G21" s="103"/>
      <c r="H21" s="103"/>
      <c r="I21" s="182"/>
      <c r="J21" s="183"/>
      <c r="K21" s="184"/>
      <c r="L21" s="103"/>
      <c r="M21" s="103"/>
      <c r="N21" s="154"/>
      <c r="O21" s="155"/>
      <c r="P21" s="155"/>
      <c r="Q21" s="155"/>
      <c r="R21" s="155"/>
      <c r="S21" s="156"/>
      <c r="T21" s="103"/>
      <c r="U21" s="103"/>
      <c r="V21" s="182"/>
      <c r="W21" s="183"/>
      <c r="X21" s="184"/>
      <c r="Y21" s="103"/>
      <c r="Z21" s="103"/>
    </row>
    <row r="22" spans="1:26" ht="18" customHeight="1" x14ac:dyDescent="0.15">
      <c r="A22" s="25"/>
      <c r="B22" s="195"/>
      <c r="C22" s="196"/>
      <c r="D22" s="196"/>
      <c r="E22" s="196"/>
      <c r="F22" s="197"/>
      <c r="G22" s="104"/>
      <c r="H22" s="104"/>
      <c r="I22" s="191"/>
      <c r="J22" s="192"/>
      <c r="K22" s="193"/>
      <c r="L22" s="109"/>
      <c r="M22" s="109"/>
      <c r="N22" s="220"/>
      <c r="O22" s="221"/>
      <c r="P22" s="221"/>
      <c r="Q22" s="221"/>
      <c r="R22" s="221"/>
      <c r="S22" s="222"/>
      <c r="T22" s="104"/>
      <c r="U22" s="104"/>
      <c r="V22" s="191"/>
      <c r="W22" s="192"/>
      <c r="X22" s="193"/>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94" t="s">
        <v>79</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1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15">
      <c r="A26" s="14"/>
      <c r="B26" s="138" t="s">
        <v>73</v>
      </c>
      <c r="C26" s="140"/>
      <c r="D26" s="140"/>
      <c r="E26" s="140"/>
      <c r="F26" s="139"/>
      <c r="G26" s="26" t="s">
        <v>74</v>
      </c>
      <c r="H26" s="101" t="s">
        <v>75</v>
      </c>
      <c r="I26" s="140" t="s">
        <v>76</v>
      </c>
      <c r="J26" s="140"/>
      <c r="K26" s="140"/>
      <c r="L26" s="67" t="s">
        <v>80</v>
      </c>
      <c r="M26" s="67" t="s">
        <v>81</v>
      </c>
      <c r="N26" s="138" t="s">
        <v>73</v>
      </c>
      <c r="O26" s="140"/>
      <c r="P26" s="140"/>
      <c r="Q26" s="140"/>
      <c r="R26" s="140"/>
      <c r="S26" s="139"/>
      <c r="T26" s="26" t="s">
        <v>74</v>
      </c>
      <c r="U26" s="101" t="s">
        <v>75</v>
      </c>
      <c r="V26" s="140" t="s">
        <v>76</v>
      </c>
      <c r="W26" s="140"/>
      <c r="X26" s="140"/>
      <c r="Y26" s="67" t="s">
        <v>80</v>
      </c>
      <c r="Z26" s="67" t="s">
        <v>81</v>
      </c>
    </row>
    <row r="27" spans="1:26" ht="18" customHeight="1" x14ac:dyDescent="0.15">
      <c r="A27" s="14"/>
      <c r="B27" s="188" t="s">
        <v>193</v>
      </c>
      <c r="C27" s="189"/>
      <c r="D27" s="189"/>
      <c r="E27" s="189"/>
      <c r="F27" s="190"/>
      <c r="G27" s="103">
        <v>2</v>
      </c>
      <c r="H27" s="103" t="s">
        <v>184</v>
      </c>
      <c r="I27" s="182" t="s">
        <v>185</v>
      </c>
      <c r="J27" s="183"/>
      <c r="K27" s="184"/>
      <c r="L27" s="103" t="s">
        <v>184</v>
      </c>
      <c r="M27" s="103" t="s">
        <v>184</v>
      </c>
      <c r="N27" s="145"/>
      <c r="O27" s="146"/>
      <c r="P27" s="146"/>
      <c r="Q27" s="146"/>
      <c r="R27" s="146"/>
      <c r="S27" s="147"/>
      <c r="T27" s="102"/>
      <c r="U27" s="102"/>
      <c r="V27" s="179"/>
      <c r="W27" s="180"/>
      <c r="X27" s="181"/>
      <c r="Y27" s="102"/>
      <c r="Z27" s="102"/>
    </row>
    <row r="28" spans="1:26" ht="18" customHeight="1" x14ac:dyDescent="0.15">
      <c r="A28" s="14"/>
      <c r="B28" s="188"/>
      <c r="C28" s="189"/>
      <c r="D28" s="189"/>
      <c r="E28" s="189"/>
      <c r="F28" s="190"/>
      <c r="G28" s="103"/>
      <c r="H28" s="103"/>
      <c r="I28" s="182"/>
      <c r="J28" s="183"/>
      <c r="K28" s="184"/>
      <c r="L28" s="103"/>
      <c r="M28" s="103"/>
      <c r="N28" s="154"/>
      <c r="O28" s="155"/>
      <c r="P28" s="155"/>
      <c r="Q28" s="155"/>
      <c r="R28" s="155"/>
      <c r="S28" s="156"/>
      <c r="T28" s="103"/>
      <c r="U28" s="103"/>
      <c r="V28" s="182"/>
      <c r="W28" s="183"/>
      <c r="X28" s="184"/>
      <c r="Y28" s="103"/>
      <c r="Z28" s="103"/>
    </row>
    <row r="29" spans="1:26" ht="18" customHeight="1" x14ac:dyDescent="0.15">
      <c r="A29" s="14"/>
      <c r="B29" s="188"/>
      <c r="C29" s="189"/>
      <c r="D29" s="189"/>
      <c r="E29" s="189"/>
      <c r="F29" s="190"/>
      <c r="G29" s="103"/>
      <c r="H29" s="103"/>
      <c r="I29" s="182"/>
      <c r="J29" s="183"/>
      <c r="K29" s="184"/>
      <c r="L29" s="103"/>
      <c r="M29" s="103"/>
      <c r="N29" s="154"/>
      <c r="O29" s="155"/>
      <c r="P29" s="155"/>
      <c r="Q29" s="155"/>
      <c r="R29" s="155"/>
      <c r="S29" s="156"/>
      <c r="T29" s="103"/>
      <c r="U29" s="103"/>
      <c r="V29" s="182"/>
      <c r="W29" s="183"/>
      <c r="X29" s="184"/>
      <c r="Y29" s="103"/>
      <c r="Z29" s="103"/>
    </row>
    <row r="30" spans="1:26" ht="18" customHeight="1" x14ac:dyDescent="0.15">
      <c r="A30" s="14"/>
      <c r="B30" s="188"/>
      <c r="C30" s="189"/>
      <c r="D30" s="189"/>
      <c r="E30" s="189"/>
      <c r="F30" s="190"/>
      <c r="G30" s="103"/>
      <c r="H30" s="103"/>
      <c r="I30" s="182"/>
      <c r="J30" s="183"/>
      <c r="K30" s="184"/>
      <c r="L30" s="103"/>
      <c r="M30" s="103"/>
      <c r="N30" s="154"/>
      <c r="O30" s="155"/>
      <c r="P30" s="155"/>
      <c r="Q30" s="155"/>
      <c r="R30" s="155"/>
      <c r="S30" s="156"/>
      <c r="T30" s="103"/>
      <c r="U30" s="103"/>
      <c r="V30" s="182"/>
      <c r="W30" s="183"/>
      <c r="X30" s="184"/>
      <c r="Y30" s="103"/>
      <c r="Z30" s="103"/>
    </row>
    <row r="31" spans="1:26" ht="18" customHeight="1" x14ac:dyDescent="0.15">
      <c r="A31" s="14"/>
      <c r="B31" s="188"/>
      <c r="C31" s="189"/>
      <c r="D31" s="189"/>
      <c r="E31" s="189"/>
      <c r="F31" s="190"/>
      <c r="G31" s="103"/>
      <c r="H31" s="103"/>
      <c r="I31" s="182"/>
      <c r="J31" s="183"/>
      <c r="K31" s="184"/>
      <c r="L31" s="103"/>
      <c r="M31" s="103"/>
      <c r="N31" s="154"/>
      <c r="O31" s="155"/>
      <c r="P31" s="155"/>
      <c r="Q31" s="155"/>
      <c r="R31" s="155"/>
      <c r="S31" s="156"/>
      <c r="T31" s="103"/>
      <c r="U31" s="103"/>
      <c r="V31" s="182"/>
      <c r="W31" s="183"/>
      <c r="X31" s="184"/>
      <c r="Y31" s="103"/>
      <c r="Z31" s="103"/>
    </row>
    <row r="32" spans="1:26" ht="18" customHeight="1" x14ac:dyDescent="0.15">
      <c r="A32" s="14"/>
      <c r="B32" s="188"/>
      <c r="C32" s="189"/>
      <c r="D32" s="189"/>
      <c r="E32" s="189"/>
      <c r="F32" s="190"/>
      <c r="G32" s="103"/>
      <c r="H32" s="103"/>
      <c r="I32" s="182"/>
      <c r="J32" s="183"/>
      <c r="K32" s="184"/>
      <c r="L32" s="103"/>
      <c r="M32" s="103"/>
      <c r="N32" s="154"/>
      <c r="O32" s="155"/>
      <c r="P32" s="155"/>
      <c r="Q32" s="155"/>
      <c r="R32" s="155"/>
      <c r="S32" s="156"/>
      <c r="T32" s="103"/>
      <c r="U32" s="103"/>
      <c r="V32" s="182"/>
      <c r="W32" s="183"/>
      <c r="X32" s="184"/>
      <c r="Y32" s="103"/>
      <c r="Z32" s="103"/>
    </row>
    <row r="33" spans="1:26" ht="18" customHeight="1" x14ac:dyDescent="0.15">
      <c r="A33" s="14"/>
      <c r="B33" s="195"/>
      <c r="C33" s="196"/>
      <c r="D33" s="196"/>
      <c r="E33" s="196"/>
      <c r="F33" s="197"/>
      <c r="G33" s="104"/>
      <c r="H33" s="104"/>
      <c r="I33" s="191"/>
      <c r="J33" s="192"/>
      <c r="K33" s="193"/>
      <c r="L33" s="109"/>
      <c r="M33" s="109"/>
      <c r="N33" s="220"/>
      <c r="O33" s="221"/>
      <c r="P33" s="221"/>
      <c r="Q33" s="221"/>
      <c r="R33" s="221"/>
      <c r="S33" s="222"/>
      <c r="T33" s="104"/>
      <c r="U33" s="104"/>
      <c r="V33" s="191"/>
      <c r="W33" s="192"/>
      <c r="X33" s="193"/>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94" t="s">
        <v>82</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15">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15">
      <c r="A37" s="14"/>
      <c r="B37" s="138" t="s">
        <v>73</v>
      </c>
      <c r="C37" s="140"/>
      <c r="D37" s="140"/>
      <c r="E37" s="140"/>
      <c r="F37" s="139"/>
      <c r="G37" s="26" t="s">
        <v>74</v>
      </c>
      <c r="H37" s="101" t="s">
        <v>75</v>
      </c>
      <c r="I37" s="138" t="s">
        <v>76</v>
      </c>
      <c r="J37" s="140"/>
      <c r="K37" s="139"/>
      <c r="L37" s="67" t="s">
        <v>83</v>
      </c>
      <c r="M37" s="67" t="s">
        <v>84</v>
      </c>
      <c r="N37" s="138" t="s">
        <v>73</v>
      </c>
      <c r="O37" s="140"/>
      <c r="P37" s="140"/>
      <c r="Q37" s="140"/>
      <c r="R37" s="140"/>
      <c r="S37" s="139"/>
      <c r="T37" s="26" t="s">
        <v>74</v>
      </c>
      <c r="U37" s="101" t="s">
        <v>75</v>
      </c>
      <c r="V37" s="138" t="s">
        <v>76</v>
      </c>
      <c r="W37" s="140"/>
      <c r="X37" s="139"/>
      <c r="Y37" s="67" t="s">
        <v>83</v>
      </c>
      <c r="Z37" s="67" t="s">
        <v>84</v>
      </c>
    </row>
    <row r="38" spans="1:26" ht="18" customHeight="1" x14ac:dyDescent="0.15">
      <c r="A38" s="25"/>
      <c r="B38" s="188" t="s">
        <v>194</v>
      </c>
      <c r="C38" s="189"/>
      <c r="D38" s="189"/>
      <c r="E38" s="189"/>
      <c r="F38" s="190"/>
      <c r="G38" s="103">
        <v>2</v>
      </c>
      <c r="H38" s="103" t="s">
        <v>184</v>
      </c>
      <c r="I38" s="182" t="s">
        <v>185</v>
      </c>
      <c r="J38" s="183"/>
      <c r="K38" s="184"/>
      <c r="L38" s="103" t="s">
        <v>184</v>
      </c>
      <c r="M38" s="103" t="s">
        <v>184</v>
      </c>
      <c r="N38" s="145"/>
      <c r="O38" s="146"/>
      <c r="P38" s="146"/>
      <c r="Q38" s="146"/>
      <c r="R38" s="146"/>
      <c r="S38" s="147"/>
      <c r="T38" s="102"/>
      <c r="U38" s="102"/>
      <c r="V38" s="179"/>
      <c r="W38" s="180"/>
      <c r="X38" s="181"/>
      <c r="Y38" s="102"/>
      <c r="Z38" s="102"/>
    </row>
    <row r="39" spans="1:26" ht="18" customHeight="1" x14ac:dyDescent="0.15">
      <c r="A39" s="25"/>
      <c r="B39" s="188"/>
      <c r="C39" s="189"/>
      <c r="D39" s="189"/>
      <c r="E39" s="189"/>
      <c r="F39" s="190"/>
      <c r="G39" s="103"/>
      <c r="H39" s="103"/>
      <c r="I39" s="182"/>
      <c r="J39" s="183"/>
      <c r="K39" s="184"/>
      <c r="L39" s="103"/>
      <c r="M39" s="103"/>
      <c r="N39" s="154"/>
      <c r="O39" s="155"/>
      <c r="P39" s="155"/>
      <c r="Q39" s="155"/>
      <c r="R39" s="155"/>
      <c r="S39" s="156"/>
      <c r="T39" s="103"/>
      <c r="U39" s="103"/>
      <c r="V39" s="182"/>
      <c r="W39" s="183"/>
      <c r="X39" s="184"/>
      <c r="Y39" s="103"/>
      <c r="Z39" s="103"/>
    </row>
    <row r="40" spans="1:26" ht="18" customHeight="1" x14ac:dyDescent="0.15">
      <c r="A40" s="25"/>
      <c r="B40" s="188"/>
      <c r="C40" s="189"/>
      <c r="D40" s="189"/>
      <c r="E40" s="189"/>
      <c r="F40" s="190"/>
      <c r="G40" s="103"/>
      <c r="H40" s="103"/>
      <c r="I40" s="182"/>
      <c r="J40" s="183"/>
      <c r="K40" s="184"/>
      <c r="L40" s="103"/>
      <c r="M40" s="103"/>
      <c r="N40" s="154"/>
      <c r="O40" s="155"/>
      <c r="P40" s="155"/>
      <c r="Q40" s="155"/>
      <c r="R40" s="155"/>
      <c r="S40" s="156"/>
      <c r="T40" s="103"/>
      <c r="U40" s="103"/>
      <c r="V40" s="182"/>
      <c r="W40" s="183"/>
      <c r="X40" s="184"/>
      <c r="Y40" s="103"/>
      <c r="Z40" s="103"/>
    </row>
    <row r="41" spans="1:26" ht="18" customHeight="1" x14ac:dyDescent="0.15">
      <c r="A41" s="25"/>
      <c r="B41" s="188"/>
      <c r="C41" s="189"/>
      <c r="D41" s="189"/>
      <c r="E41" s="189"/>
      <c r="F41" s="190"/>
      <c r="G41" s="103"/>
      <c r="H41" s="103"/>
      <c r="I41" s="182"/>
      <c r="J41" s="183"/>
      <c r="K41" s="184"/>
      <c r="L41" s="103"/>
      <c r="M41" s="103"/>
      <c r="N41" s="154"/>
      <c r="O41" s="155"/>
      <c r="P41" s="155"/>
      <c r="Q41" s="155"/>
      <c r="R41" s="155"/>
      <c r="S41" s="156"/>
      <c r="T41" s="103"/>
      <c r="U41" s="103"/>
      <c r="V41" s="182"/>
      <c r="W41" s="183"/>
      <c r="X41" s="184"/>
      <c r="Y41" s="103"/>
      <c r="Z41" s="103"/>
    </row>
    <row r="42" spans="1:26" ht="18" customHeight="1" x14ac:dyDescent="0.15">
      <c r="A42" s="25"/>
      <c r="B42" s="188"/>
      <c r="C42" s="189"/>
      <c r="D42" s="189"/>
      <c r="E42" s="189"/>
      <c r="F42" s="190"/>
      <c r="G42" s="103"/>
      <c r="H42" s="103"/>
      <c r="I42" s="182"/>
      <c r="J42" s="183"/>
      <c r="K42" s="184"/>
      <c r="L42" s="103"/>
      <c r="M42" s="103"/>
      <c r="N42" s="154"/>
      <c r="O42" s="155"/>
      <c r="P42" s="155"/>
      <c r="Q42" s="155"/>
      <c r="R42" s="155"/>
      <c r="S42" s="156"/>
      <c r="T42" s="103"/>
      <c r="U42" s="103"/>
      <c r="V42" s="182"/>
      <c r="W42" s="183"/>
      <c r="X42" s="184"/>
      <c r="Y42" s="103"/>
      <c r="Z42" s="103"/>
    </row>
    <row r="43" spans="1:26" ht="18" customHeight="1" x14ac:dyDescent="0.15">
      <c r="A43" s="25"/>
      <c r="B43" s="188"/>
      <c r="C43" s="189"/>
      <c r="D43" s="189"/>
      <c r="E43" s="189"/>
      <c r="F43" s="190"/>
      <c r="G43" s="103"/>
      <c r="H43" s="103"/>
      <c r="I43" s="182"/>
      <c r="J43" s="183"/>
      <c r="K43" s="184"/>
      <c r="L43" s="103"/>
      <c r="M43" s="103"/>
      <c r="N43" s="154"/>
      <c r="O43" s="155"/>
      <c r="P43" s="155"/>
      <c r="Q43" s="155"/>
      <c r="R43" s="155"/>
      <c r="S43" s="156"/>
      <c r="T43" s="103"/>
      <c r="U43" s="103"/>
      <c r="V43" s="182"/>
      <c r="W43" s="183"/>
      <c r="X43" s="184"/>
      <c r="Y43" s="103"/>
      <c r="Z43" s="103"/>
    </row>
    <row r="44" spans="1:26" ht="18" customHeight="1" x14ac:dyDescent="0.15">
      <c r="A44" s="25"/>
      <c r="B44" s="195"/>
      <c r="C44" s="196"/>
      <c r="D44" s="196"/>
      <c r="E44" s="196"/>
      <c r="F44" s="197"/>
      <c r="G44" s="104"/>
      <c r="H44" s="104"/>
      <c r="I44" s="191"/>
      <c r="J44" s="192"/>
      <c r="K44" s="193"/>
      <c r="L44" s="109"/>
      <c r="M44" s="109"/>
      <c r="N44" s="220"/>
      <c r="O44" s="221"/>
      <c r="P44" s="221"/>
      <c r="Q44" s="221"/>
      <c r="R44" s="221"/>
      <c r="S44" s="222"/>
      <c r="T44" s="104"/>
      <c r="U44" s="104"/>
      <c r="V44" s="191"/>
      <c r="W44" s="192"/>
      <c r="X44" s="193"/>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4" t="s">
        <v>85</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15">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15">
      <c r="A48" s="14"/>
      <c r="B48" s="138" t="s">
        <v>73</v>
      </c>
      <c r="C48" s="140"/>
      <c r="D48" s="140"/>
      <c r="E48" s="140"/>
      <c r="F48" s="139"/>
      <c r="G48" s="26" t="s">
        <v>74</v>
      </c>
      <c r="H48" s="101" t="s">
        <v>75</v>
      </c>
      <c r="I48" s="138" t="s">
        <v>76</v>
      </c>
      <c r="J48" s="140"/>
      <c r="K48" s="139"/>
      <c r="L48" s="67" t="s">
        <v>86</v>
      </c>
      <c r="M48" s="67" t="s">
        <v>87</v>
      </c>
      <c r="N48" s="138" t="s">
        <v>73</v>
      </c>
      <c r="O48" s="140"/>
      <c r="P48" s="140"/>
      <c r="Q48" s="140"/>
      <c r="R48" s="140"/>
      <c r="S48" s="139"/>
      <c r="T48" s="26" t="s">
        <v>74</v>
      </c>
      <c r="U48" s="101" t="s">
        <v>75</v>
      </c>
      <c r="V48" s="138" t="s">
        <v>76</v>
      </c>
      <c r="W48" s="140"/>
      <c r="X48" s="139"/>
      <c r="Y48" s="67" t="s">
        <v>86</v>
      </c>
      <c r="Z48" s="67" t="s">
        <v>87</v>
      </c>
    </row>
    <row r="49" spans="1:26" ht="18" customHeight="1" x14ac:dyDescent="0.15">
      <c r="A49" s="25"/>
      <c r="B49" s="188" t="s">
        <v>194</v>
      </c>
      <c r="C49" s="189"/>
      <c r="D49" s="189"/>
      <c r="E49" s="189"/>
      <c r="F49" s="190"/>
      <c r="G49" s="103">
        <v>2</v>
      </c>
      <c r="H49" s="103" t="s">
        <v>184</v>
      </c>
      <c r="I49" s="182" t="s">
        <v>185</v>
      </c>
      <c r="J49" s="183"/>
      <c r="K49" s="184"/>
      <c r="L49" s="103" t="s">
        <v>184</v>
      </c>
      <c r="M49" s="103" t="s">
        <v>184</v>
      </c>
      <c r="N49" s="145"/>
      <c r="O49" s="146"/>
      <c r="P49" s="146"/>
      <c r="Q49" s="146"/>
      <c r="R49" s="146"/>
      <c r="S49" s="147"/>
      <c r="T49" s="102"/>
      <c r="U49" s="102"/>
      <c r="V49" s="179"/>
      <c r="W49" s="180"/>
      <c r="X49" s="181"/>
      <c r="Y49" s="102"/>
      <c r="Z49" s="102"/>
    </row>
    <row r="50" spans="1:26" ht="18" customHeight="1" x14ac:dyDescent="0.15">
      <c r="A50" s="25"/>
      <c r="B50" s="188"/>
      <c r="C50" s="189"/>
      <c r="D50" s="189"/>
      <c r="E50" s="189"/>
      <c r="F50" s="190"/>
      <c r="G50" s="103"/>
      <c r="H50" s="103"/>
      <c r="I50" s="182"/>
      <c r="J50" s="183"/>
      <c r="K50" s="184"/>
      <c r="L50" s="103"/>
      <c r="M50" s="103"/>
      <c r="N50" s="154"/>
      <c r="O50" s="155"/>
      <c r="P50" s="155"/>
      <c r="Q50" s="155"/>
      <c r="R50" s="155"/>
      <c r="S50" s="156"/>
      <c r="T50" s="103"/>
      <c r="U50" s="103"/>
      <c r="V50" s="182"/>
      <c r="W50" s="183"/>
      <c r="X50" s="184"/>
      <c r="Y50" s="103"/>
      <c r="Z50" s="103"/>
    </row>
    <row r="51" spans="1:26" ht="18" customHeight="1" x14ac:dyDescent="0.15">
      <c r="A51" s="25"/>
      <c r="B51" s="188"/>
      <c r="C51" s="189"/>
      <c r="D51" s="189"/>
      <c r="E51" s="189"/>
      <c r="F51" s="190"/>
      <c r="G51" s="103"/>
      <c r="H51" s="103"/>
      <c r="I51" s="182"/>
      <c r="J51" s="183"/>
      <c r="K51" s="184"/>
      <c r="L51" s="103"/>
      <c r="M51" s="103"/>
      <c r="N51" s="154"/>
      <c r="O51" s="155"/>
      <c r="P51" s="155"/>
      <c r="Q51" s="155"/>
      <c r="R51" s="155"/>
      <c r="S51" s="156"/>
      <c r="T51" s="103"/>
      <c r="U51" s="103"/>
      <c r="V51" s="182"/>
      <c r="W51" s="183"/>
      <c r="X51" s="184"/>
      <c r="Y51" s="103"/>
      <c r="Z51" s="103"/>
    </row>
    <row r="52" spans="1:26" ht="18" customHeight="1" x14ac:dyDescent="0.15">
      <c r="A52" s="25"/>
      <c r="B52" s="188"/>
      <c r="C52" s="189"/>
      <c r="D52" s="189"/>
      <c r="E52" s="189"/>
      <c r="F52" s="190"/>
      <c r="G52" s="103"/>
      <c r="H52" s="103"/>
      <c r="I52" s="182"/>
      <c r="J52" s="183"/>
      <c r="K52" s="184"/>
      <c r="L52" s="103"/>
      <c r="M52" s="103"/>
      <c r="N52" s="154"/>
      <c r="O52" s="155"/>
      <c r="P52" s="155"/>
      <c r="Q52" s="155"/>
      <c r="R52" s="155"/>
      <c r="S52" s="156"/>
      <c r="T52" s="103"/>
      <c r="U52" s="103"/>
      <c r="V52" s="182"/>
      <c r="W52" s="183"/>
      <c r="X52" s="184"/>
      <c r="Y52" s="103"/>
      <c r="Z52" s="103"/>
    </row>
    <row r="53" spans="1:26" ht="18" customHeight="1" x14ac:dyDescent="0.15">
      <c r="A53" s="25"/>
      <c r="B53" s="188"/>
      <c r="C53" s="189"/>
      <c r="D53" s="189"/>
      <c r="E53" s="189"/>
      <c r="F53" s="190"/>
      <c r="G53" s="103"/>
      <c r="H53" s="103"/>
      <c r="I53" s="182"/>
      <c r="J53" s="183"/>
      <c r="K53" s="184"/>
      <c r="L53" s="103"/>
      <c r="M53" s="103"/>
      <c r="N53" s="154"/>
      <c r="O53" s="155"/>
      <c r="P53" s="155"/>
      <c r="Q53" s="155"/>
      <c r="R53" s="155"/>
      <c r="S53" s="156"/>
      <c r="T53" s="103"/>
      <c r="U53" s="103"/>
      <c r="V53" s="182"/>
      <c r="W53" s="183"/>
      <c r="X53" s="184"/>
      <c r="Y53" s="103"/>
      <c r="Z53" s="103"/>
    </row>
    <row r="54" spans="1:26" ht="18" customHeight="1" x14ac:dyDescent="0.15">
      <c r="A54" s="25"/>
      <c r="B54" s="188"/>
      <c r="C54" s="189"/>
      <c r="D54" s="189"/>
      <c r="E54" s="189"/>
      <c r="F54" s="190"/>
      <c r="G54" s="103"/>
      <c r="H54" s="103"/>
      <c r="I54" s="182"/>
      <c r="J54" s="183"/>
      <c r="K54" s="184"/>
      <c r="L54" s="103"/>
      <c r="M54" s="103"/>
      <c r="N54" s="154"/>
      <c r="O54" s="155"/>
      <c r="P54" s="155"/>
      <c r="Q54" s="155"/>
      <c r="R54" s="155"/>
      <c r="S54" s="156"/>
      <c r="T54" s="103"/>
      <c r="U54" s="103"/>
      <c r="V54" s="182"/>
      <c r="W54" s="183"/>
      <c r="X54" s="184"/>
      <c r="Y54" s="103"/>
      <c r="Z54" s="103"/>
    </row>
    <row r="55" spans="1:26" ht="18" customHeight="1" x14ac:dyDescent="0.15">
      <c r="A55" s="25"/>
      <c r="B55" s="195"/>
      <c r="C55" s="196"/>
      <c r="D55" s="196"/>
      <c r="E55" s="196"/>
      <c r="F55" s="197"/>
      <c r="G55" s="104"/>
      <c r="H55" s="104"/>
      <c r="I55" s="191"/>
      <c r="J55" s="192"/>
      <c r="K55" s="193"/>
      <c r="L55" s="109"/>
      <c r="M55" s="109"/>
      <c r="N55" s="220"/>
      <c r="O55" s="221"/>
      <c r="P55" s="221"/>
      <c r="Q55" s="221"/>
      <c r="R55" s="221"/>
      <c r="S55" s="222"/>
      <c r="T55" s="104"/>
      <c r="U55" s="104"/>
      <c r="V55" s="191"/>
      <c r="W55" s="192"/>
      <c r="X55" s="193"/>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4" t="s">
        <v>88</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15">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15">
      <c r="A59" s="14"/>
      <c r="B59" s="138" t="s">
        <v>73</v>
      </c>
      <c r="C59" s="140"/>
      <c r="D59" s="140"/>
      <c r="E59" s="139"/>
      <c r="F59" s="26" t="s">
        <v>74</v>
      </c>
      <c r="G59" s="101" t="s">
        <v>75</v>
      </c>
      <c r="H59" s="22" t="s">
        <v>76</v>
      </c>
      <c r="I59" s="98"/>
      <c r="J59" s="23"/>
      <c r="K59" s="67" t="s">
        <v>89</v>
      </c>
      <c r="L59" s="67" t="s">
        <v>90</v>
      </c>
      <c r="M59" s="67" t="s">
        <v>91</v>
      </c>
      <c r="N59" s="138" t="s">
        <v>73</v>
      </c>
      <c r="O59" s="140"/>
      <c r="P59" s="140"/>
      <c r="Q59" s="140"/>
      <c r="R59" s="139"/>
      <c r="S59" s="26" t="s">
        <v>74</v>
      </c>
      <c r="T59" s="101" t="s">
        <v>75</v>
      </c>
      <c r="U59" s="22" t="s">
        <v>76</v>
      </c>
      <c r="V59" s="98"/>
      <c r="W59" s="23"/>
      <c r="X59" s="67" t="s">
        <v>89</v>
      </c>
      <c r="Y59" s="67" t="s">
        <v>90</v>
      </c>
      <c r="Z59" s="67" t="s">
        <v>91</v>
      </c>
    </row>
    <row r="60" spans="1:26" ht="18" customHeight="1" x14ac:dyDescent="0.15">
      <c r="A60" s="25"/>
      <c r="B60" s="154" t="s">
        <v>199</v>
      </c>
      <c r="C60" s="155"/>
      <c r="D60" s="155"/>
      <c r="E60" s="156"/>
      <c r="F60" s="103">
        <v>2</v>
      </c>
      <c r="G60" s="103" t="s">
        <v>184</v>
      </c>
      <c r="H60" s="182" t="s">
        <v>185</v>
      </c>
      <c r="I60" s="183"/>
      <c r="J60" s="184"/>
      <c r="K60" s="114" t="s">
        <v>195</v>
      </c>
      <c r="L60" s="103" t="s">
        <v>184</v>
      </c>
      <c r="M60" s="103" t="s">
        <v>184</v>
      </c>
      <c r="N60" s="145"/>
      <c r="O60" s="146"/>
      <c r="P60" s="146"/>
      <c r="Q60" s="146"/>
      <c r="R60" s="147"/>
      <c r="S60" s="102"/>
      <c r="T60" s="102"/>
      <c r="U60" s="179"/>
      <c r="V60" s="180"/>
      <c r="W60" s="181"/>
      <c r="X60" s="108"/>
      <c r="Y60" s="102"/>
      <c r="Z60" s="102"/>
    </row>
    <row r="61" spans="1:26" ht="18" customHeight="1" x14ac:dyDescent="0.15">
      <c r="A61" s="25"/>
      <c r="B61" s="154"/>
      <c r="C61" s="155"/>
      <c r="D61" s="155"/>
      <c r="E61" s="156"/>
      <c r="F61" s="103"/>
      <c r="G61" s="103"/>
      <c r="H61" s="182"/>
      <c r="I61" s="183"/>
      <c r="J61" s="184"/>
      <c r="K61" s="110"/>
      <c r="L61" s="103"/>
      <c r="M61" s="103"/>
      <c r="N61" s="154"/>
      <c r="O61" s="155"/>
      <c r="P61" s="155"/>
      <c r="Q61" s="155"/>
      <c r="R61" s="156"/>
      <c r="S61" s="103"/>
      <c r="T61" s="103"/>
      <c r="U61" s="182"/>
      <c r="V61" s="183"/>
      <c r="W61" s="184"/>
      <c r="X61" s="106"/>
      <c r="Y61" s="103"/>
      <c r="Z61" s="103"/>
    </row>
    <row r="62" spans="1:26" ht="18" customHeight="1" x14ac:dyDescent="0.15">
      <c r="A62" s="25"/>
      <c r="B62" s="154"/>
      <c r="C62" s="155"/>
      <c r="D62" s="155"/>
      <c r="E62" s="156"/>
      <c r="F62" s="103"/>
      <c r="G62" s="103"/>
      <c r="H62" s="182"/>
      <c r="I62" s="183"/>
      <c r="J62" s="184"/>
      <c r="K62" s="110"/>
      <c r="L62" s="103"/>
      <c r="M62" s="103"/>
      <c r="N62" s="154"/>
      <c r="O62" s="155"/>
      <c r="P62" s="155"/>
      <c r="Q62" s="155"/>
      <c r="R62" s="156"/>
      <c r="S62" s="103"/>
      <c r="T62" s="103"/>
      <c r="U62" s="182"/>
      <c r="V62" s="183"/>
      <c r="W62" s="184"/>
      <c r="X62" s="106"/>
      <c r="Y62" s="103"/>
      <c r="Z62" s="103"/>
    </row>
    <row r="63" spans="1:26" ht="18" customHeight="1" x14ac:dyDescent="0.15">
      <c r="A63" s="25"/>
      <c r="B63" s="154"/>
      <c r="C63" s="155"/>
      <c r="D63" s="155"/>
      <c r="E63" s="156"/>
      <c r="F63" s="103"/>
      <c r="G63" s="103"/>
      <c r="H63" s="182"/>
      <c r="I63" s="183"/>
      <c r="J63" s="184"/>
      <c r="K63" s="110"/>
      <c r="L63" s="103"/>
      <c r="M63" s="103"/>
      <c r="N63" s="154"/>
      <c r="O63" s="155"/>
      <c r="P63" s="155"/>
      <c r="Q63" s="155"/>
      <c r="R63" s="156"/>
      <c r="S63" s="103"/>
      <c r="T63" s="103"/>
      <c r="U63" s="182"/>
      <c r="V63" s="183"/>
      <c r="W63" s="184"/>
      <c r="X63" s="106"/>
      <c r="Y63" s="103"/>
      <c r="Z63" s="103"/>
    </row>
    <row r="64" spans="1:26" ht="18" customHeight="1" x14ac:dyDescent="0.15">
      <c r="A64" s="25"/>
      <c r="B64" s="154"/>
      <c r="C64" s="155"/>
      <c r="D64" s="155"/>
      <c r="E64" s="156"/>
      <c r="F64" s="103"/>
      <c r="G64" s="103"/>
      <c r="H64" s="182"/>
      <c r="I64" s="183"/>
      <c r="J64" s="184"/>
      <c r="K64" s="110"/>
      <c r="L64" s="103"/>
      <c r="M64" s="103"/>
      <c r="N64" s="154"/>
      <c r="O64" s="155"/>
      <c r="P64" s="155"/>
      <c r="Q64" s="155"/>
      <c r="R64" s="156"/>
      <c r="S64" s="103"/>
      <c r="T64" s="103"/>
      <c r="U64" s="182"/>
      <c r="V64" s="183"/>
      <c r="W64" s="184"/>
      <c r="X64" s="106"/>
      <c r="Y64" s="103"/>
      <c r="Z64" s="103"/>
    </row>
    <row r="65" spans="1:26" ht="18" customHeight="1" x14ac:dyDescent="0.15">
      <c r="A65" s="25"/>
      <c r="B65" s="154"/>
      <c r="C65" s="155"/>
      <c r="D65" s="155"/>
      <c r="E65" s="156"/>
      <c r="F65" s="103"/>
      <c r="G65" s="103"/>
      <c r="H65" s="182"/>
      <c r="I65" s="183"/>
      <c r="J65" s="184"/>
      <c r="K65" s="110"/>
      <c r="L65" s="103"/>
      <c r="M65" s="103"/>
      <c r="N65" s="154"/>
      <c r="O65" s="155"/>
      <c r="P65" s="155"/>
      <c r="Q65" s="155"/>
      <c r="R65" s="156"/>
      <c r="S65" s="103"/>
      <c r="T65" s="103"/>
      <c r="U65" s="182"/>
      <c r="V65" s="183"/>
      <c r="W65" s="184"/>
      <c r="X65" s="106"/>
      <c r="Y65" s="103"/>
      <c r="Z65" s="103"/>
    </row>
    <row r="66" spans="1:26" ht="18" customHeight="1" x14ac:dyDescent="0.15">
      <c r="A66" s="25"/>
      <c r="B66" s="220"/>
      <c r="C66" s="221"/>
      <c r="D66" s="221"/>
      <c r="E66" s="222"/>
      <c r="F66" s="104"/>
      <c r="G66" s="104"/>
      <c r="H66" s="191"/>
      <c r="I66" s="192"/>
      <c r="J66" s="193"/>
      <c r="K66" s="111"/>
      <c r="L66" s="109"/>
      <c r="M66" s="109"/>
      <c r="N66" s="220"/>
      <c r="O66" s="221"/>
      <c r="P66" s="221"/>
      <c r="Q66" s="221"/>
      <c r="R66" s="222"/>
      <c r="S66" s="104"/>
      <c r="T66" s="104"/>
      <c r="U66" s="191"/>
      <c r="V66" s="192"/>
      <c r="W66" s="193"/>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92</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38" t="s">
        <v>73</v>
      </c>
      <c r="C69" s="140"/>
      <c r="D69" s="140"/>
      <c r="E69" s="140"/>
      <c r="F69" s="139"/>
      <c r="G69" s="138" t="s">
        <v>93</v>
      </c>
      <c r="H69" s="140"/>
      <c r="I69" s="140"/>
      <c r="J69" s="140"/>
      <c r="K69" s="140"/>
      <c r="L69" s="140"/>
      <c r="M69" s="139"/>
      <c r="N69" s="226" t="s">
        <v>73</v>
      </c>
      <c r="O69" s="227"/>
      <c r="P69" s="227"/>
      <c r="Q69" s="227"/>
      <c r="R69" s="227"/>
      <c r="S69" s="228"/>
      <c r="T69" s="138" t="s">
        <v>93</v>
      </c>
      <c r="U69" s="140"/>
      <c r="V69" s="140"/>
      <c r="W69" s="140"/>
      <c r="X69" s="140"/>
      <c r="Y69" s="140"/>
      <c r="Z69" s="139"/>
    </row>
    <row r="70" spans="1:26" ht="18" customHeight="1" x14ac:dyDescent="0.15">
      <c r="A70" s="25"/>
      <c r="B70" s="145" t="s">
        <v>200</v>
      </c>
      <c r="C70" s="146"/>
      <c r="D70" s="146"/>
      <c r="E70" s="146"/>
      <c r="F70" s="147"/>
      <c r="G70" s="148"/>
      <c r="H70" s="149"/>
      <c r="I70" s="149"/>
      <c r="J70" s="149"/>
      <c r="K70" s="149"/>
      <c r="L70" s="149"/>
      <c r="M70" s="150"/>
      <c r="N70" s="145"/>
      <c r="O70" s="146"/>
      <c r="P70" s="146"/>
      <c r="Q70" s="146"/>
      <c r="R70" s="146"/>
      <c r="S70" s="147"/>
      <c r="T70" s="148"/>
      <c r="U70" s="149"/>
      <c r="V70" s="149"/>
      <c r="W70" s="149"/>
      <c r="X70" s="149"/>
      <c r="Y70" s="149"/>
      <c r="Z70" s="150"/>
    </row>
    <row r="71" spans="1:26" ht="18" customHeight="1" x14ac:dyDescent="0.15">
      <c r="A71" s="25"/>
      <c r="B71" s="154" t="s">
        <v>201</v>
      </c>
      <c r="C71" s="155"/>
      <c r="D71" s="155"/>
      <c r="E71" s="155"/>
      <c r="F71" s="156"/>
      <c r="G71" s="157"/>
      <c r="H71" s="158"/>
      <c r="I71" s="158"/>
      <c r="J71" s="158"/>
      <c r="K71" s="158"/>
      <c r="L71" s="158"/>
      <c r="M71" s="159"/>
      <c r="N71" s="154"/>
      <c r="O71" s="155"/>
      <c r="P71" s="155"/>
      <c r="Q71" s="155"/>
      <c r="R71" s="155"/>
      <c r="S71" s="156"/>
      <c r="T71" s="157"/>
      <c r="U71" s="158"/>
      <c r="V71" s="158"/>
      <c r="W71" s="158"/>
      <c r="X71" s="158"/>
      <c r="Y71" s="158"/>
      <c r="Z71" s="159"/>
    </row>
    <row r="72" spans="1:26" ht="18" customHeight="1" x14ac:dyDescent="0.15">
      <c r="A72" s="25"/>
      <c r="B72" s="154" t="s">
        <v>202</v>
      </c>
      <c r="C72" s="155"/>
      <c r="D72" s="155"/>
      <c r="E72" s="155"/>
      <c r="F72" s="156"/>
      <c r="G72" s="157"/>
      <c r="H72" s="158"/>
      <c r="I72" s="158"/>
      <c r="J72" s="158"/>
      <c r="K72" s="158"/>
      <c r="L72" s="158"/>
      <c r="M72" s="159"/>
      <c r="N72" s="154"/>
      <c r="O72" s="155"/>
      <c r="P72" s="155"/>
      <c r="Q72" s="155"/>
      <c r="R72" s="155"/>
      <c r="S72" s="156"/>
      <c r="T72" s="157"/>
      <c r="U72" s="158"/>
      <c r="V72" s="158"/>
      <c r="W72" s="158"/>
      <c r="X72" s="158"/>
      <c r="Y72" s="158"/>
      <c r="Z72" s="159"/>
    </row>
    <row r="73" spans="1:26" ht="18" customHeight="1" x14ac:dyDescent="0.15">
      <c r="A73" s="25"/>
      <c r="B73" s="154"/>
      <c r="C73" s="155"/>
      <c r="D73" s="155"/>
      <c r="E73" s="155"/>
      <c r="F73" s="156"/>
      <c r="G73" s="157"/>
      <c r="H73" s="158"/>
      <c r="I73" s="158"/>
      <c r="J73" s="158"/>
      <c r="K73" s="158"/>
      <c r="L73" s="158"/>
      <c r="M73" s="159"/>
      <c r="N73" s="154"/>
      <c r="O73" s="155"/>
      <c r="P73" s="155"/>
      <c r="Q73" s="155"/>
      <c r="R73" s="155"/>
      <c r="S73" s="156"/>
      <c r="T73" s="157"/>
      <c r="U73" s="158"/>
      <c r="V73" s="158"/>
      <c r="W73" s="158"/>
      <c r="X73" s="158"/>
      <c r="Y73" s="158"/>
      <c r="Z73" s="159"/>
    </row>
    <row r="74" spans="1:26" ht="18" customHeight="1" x14ac:dyDescent="0.15">
      <c r="A74" s="25"/>
      <c r="B74" s="154"/>
      <c r="C74" s="155"/>
      <c r="D74" s="155"/>
      <c r="E74" s="155"/>
      <c r="F74" s="156"/>
      <c r="G74" s="157"/>
      <c r="H74" s="158"/>
      <c r="I74" s="158"/>
      <c r="J74" s="158"/>
      <c r="K74" s="158"/>
      <c r="L74" s="158"/>
      <c r="M74" s="159"/>
      <c r="N74" s="154"/>
      <c r="O74" s="155"/>
      <c r="P74" s="155"/>
      <c r="Q74" s="155"/>
      <c r="R74" s="155"/>
      <c r="S74" s="156"/>
      <c r="T74" s="157"/>
      <c r="U74" s="158"/>
      <c r="V74" s="158"/>
      <c r="W74" s="158"/>
      <c r="X74" s="158"/>
      <c r="Y74" s="158"/>
      <c r="Z74" s="159"/>
    </row>
    <row r="75" spans="1:26" ht="18" customHeight="1" x14ac:dyDescent="0.15">
      <c r="A75" s="25"/>
      <c r="B75" s="154"/>
      <c r="C75" s="155"/>
      <c r="D75" s="155"/>
      <c r="E75" s="155"/>
      <c r="F75" s="156"/>
      <c r="G75" s="157"/>
      <c r="H75" s="158"/>
      <c r="I75" s="158"/>
      <c r="J75" s="158"/>
      <c r="K75" s="158"/>
      <c r="L75" s="158"/>
      <c r="M75" s="159"/>
      <c r="N75" s="154"/>
      <c r="O75" s="155"/>
      <c r="P75" s="155"/>
      <c r="Q75" s="155"/>
      <c r="R75" s="155"/>
      <c r="S75" s="156"/>
      <c r="T75" s="157"/>
      <c r="U75" s="158"/>
      <c r="V75" s="158"/>
      <c r="W75" s="158"/>
      <c r="X75" s="158"/>
      <c r="Y75" s="158"/>
      <c r="Z75" s="159"/>
    </row>
    <row r="76" spans="1:26" ht="18" customHeight="1" x14ac:dyDescent="0.15">
      <c r="A76" s="25"/>
      <c r="B76" s="220"/>
      <c r="C76" s="221"/>
      <c r="D76" s="221"/>
      <c r="E76" s="221"/>
      <c r="F76" s="222"/>
      <c r="G76" s="223"/>
      <c r="H76" s="224"/>
      <c r="I76" s="224"/>
      <c r="J76" s="224"/>
      <c r="K76" s="224"/>
      <c r="L76" s="224"/>
      <c r="M76" s="225"/>
      <c r="N76" s="220"/>
      <c r="O76" s="221"/>
      <c r="P76" s="221"/>
      <c r="Q76" s="221"/>
      <c r="R76" s="221"/>
      <c r="S76" s="222"/>
      <c r="T76" s="223"/>
      <c r="U76" s="224"/>
      <c r="V76" s="224"/>
      <c r="W76" s="224"/>
      <c r="X76" s="224"/>
      <c r="Y76" s="224"/>
      <c r="Z76" s="225"/>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94</v>
      </c>
    </row>
    <row r="79" spans="1:26" ht="18.75" customHeight="1" x14ac:dyDescent="0.15">
      <c r="B79" s="69" t="s">
        <v>95</v>
      </c>
      <c r="C79" s="70"/>
      <c r="D79" s="177" t="s">
        <v>96</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x14ac:dyDescent="0.15">
      <c r="B80" s="162" t="s">
        <v>97</v>
      </c>
      <c r="C80" s="76" t="s">
        <v>77</v>
      </c>
      <c r="D80" s="171" t="s">
        <v>264</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78" customHeight="1" x14ac:dyDescent="0.15">
      <c r="B81" s="163"/>
      <c r="C81" s="99" t="s">
        <v>98</v>
      </c>
      <c r="D81" s="208" t="s">
        <v>265</v>
      </c>
      <c r="E81" s="209"/>
      <c r="F81" s="209"/>
      <c r="G81" s="209"/>
      <c r="H81" s="209"/>
      <c r="I81" s="209"/>
      <c r="J81" s="209"/>
      <c r="K81" s="209"/>
      <c r="L81" s="209"/>
      <c r="M81" s="209"/>
      <c r="N81" s="209"/>
      <c r="O81" s="209"/>
      <c r="P81" s="209"/>
      <c r="Q81" s="209"/>
      <c r="R81" s="209"/>
      <c r="S81" s="209"/>
      <c r="T81" s="209"/>
      <c r="U81" s="209"/>
      <c r="V81" s="209"/>
      <c r="W81" s="209"/>
      <c r="X81" s="209"/>
      <c r="Y81" s="209"/>
      <c r="Z81" s="210"/>
    </row>
    <row r="82" spans="1:26" ht="78" customHeight="1" x14ac:dyDescent="0.15">
      <c r="B82" s="160" t="s">
        <v>99</v>
      </c>
      <c r="C82" s="71" t="s">
        <v>80</v>
      </c>
      <c r="D82" s="211" t="s">
        <v>266</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161"/>
      <c r="C83" s="100" t="s">
        <v>81</v>
      </c>
      <c r="D83" s="217" t="s">
        <v>267</v>
      </c>
      <c r="E83" s="218"/>
      <c r="F83" s="218"/>
      <c r="G83" s="218"/>
      <c r="H83" s="218"/>
      <c r="I83" s="218"/>
      <c r="J83" s="218"/>
      <c r="K83" s="218"/>
      <c r="L83" s="218"/>
      <c r="M83" s="218"/>
      <c r="N83" s="218"/>
      <c r="O83" s="218"/>
      <c r="P83" s="218"/>
      <c r="Q83" s="218"/>
      <c r="R83" s="218"/>
      <c r="S83" s="218"/>
      <c r="T83" s="218"/>
      <c r="U83" s="218"/>
      <c r="V83" s="218"/>
      <c r="W83" s="218"/>
      <c r="X83" s="218"/>
      <c r="Y83" s="218"/>
      <c r="Z83" s="219"/>
    </row>
    <row r="84" spans="1:26" ht="66" customHeight="1" x14ac:dyDescent="0.15">
      <c r="B84" s="160" t="s">
        <v>100</v>
      </c>
      <c r="C84" s="71" t="s">
        <v>83</v>
      </c>
      <c r="D84" s="211" t="s">
        <v>268</v>
      </c>
      <c r="E84" s="212"/>
      <c r="F84" s="212"/>
      <c r="G84" s="212"/>
      <c r="H84" s="212"/>
      <c r="I84" s="212"/>
      <c r="J84" s="212"/>
      <c r="K84" s="212"/>
      <c r="L84" s="212"/>
      <c r="M84" s="212"/>
      <c r="N84" s="212"/>
      <c r="O84" s="212"/>
      <c r="P84" s="212"/>
      <c r="Q84" s="212"/>
      <c r="R84" s="212"/>
      <c r="S84" s="212"/>
      <c r="T84" s="212"/>
      <c r="U84" s="212"/>
      <c r="V84" s="212"/>
      <c r="W84" s="212"/>
      <c r="X84" s="212"/>
      <c r="Y84" s="212"/>
      <c r="Z84" s="213"/>
    </row>
    <row r="85" spans="1:26" ht="66" customHeight="1" x14ac:dyDescent="0.15">
      <c r="B85" s="161"/>
      <c r="C85" s="73" t="s">
        <v>84</v>
      </c>
      <c r="D85" s="214" t="s">
        <v>268</v>
      </c>
      <c r="E85" s="215"/>
      <c r="F85" s="215"/>
      <c r="G85" s="215"/>
      <c r="H85" s="215"/>
      <c r="I85" s="215"/>
      <c r="J85" s="215"/>
      <c r="K85" s="215"/>
      <c r="L85" s="215"/>
      <c r="M85" s="215"/>
      <c r="N85" s="215"/>
      <c r="O85" s="215"/>
      <c r="P85" s="215"/>
      <c r="Q85" s="215"/>
      <c r="R85" s="215"/>
      <c r="S85" s="215"/>
      <c r="T85" s="215"/>
      <c r="U85" s="215"/>
      <c r="V85" s="215"/>
      <c r="W85" s="215"/>
      <c r="X85" s="215"/>
      <c r="Y85" s="215"/>
      <c r="Z85" s="216"/>
    </row>
    <row r="86" spans="1:26" ht="66" customHeight="1" x14ac:dyDescent="0.15">
      <c r="B86" s="162" t="s">
        <v>101</v>
      </c>
      <c r="C86" s="76" t="s">
        <v>86</v>
      </c>
      <c r="D86" s="171" t="s">
        <v>269</v>
      </c>
      <c r="E86" s="172"/>
      <c r="F86" s="172"/>
      <c r="G86" s="172"/>
      <c r="H86" s="172"/>
      <c r="I86" s="172"/>
      <c r="J86" s="172"/>
      <c r="K86" s="172"/>
      <c r="L86" s="172"/>
      <c r="M86" s="172"/>
      <c r="N86" s="172"/>
      <c r="O86" s="172"/>
      <c r="P86" s="172"/>
      <c r="Q86" s="172"/>
      <c r="R86" s="172"/>
      <c r="S86" s="172"/>
      <c r="T86" s="172"/>
      <c r="U86" s="172"/>
      <c r="V86" s="172"/>
      <c r="W86" s="172"/>
      <c r="X86" s="172"/>
      <c r="Y86" s="172"/>
      <c r="Z86" s="173"/>
    </row>
    <row r="87" spans="1:26" ht="66" customHeight="1" x14ac:dyDescent="0.15">
      <c r="B87" s="170"/>
      <c r="C87" s="72" t="s">
        <v>87</v>
      </c>
      <c r="D87" s="174" t="s">
        <v>269</v>
      </c>
      <c r="E87" s="175"/>
      <c r="F87" s="175"/>
      <c r="G87" s="175"/>
      <c r="H87" s="175"/>
      <c r="I87" s="175"/>
      <c r="J87" s="175"/>
      <c r="K87" s="175"/>
      <c r="L87" s="175"/>
      <c r="M87" s="175"/>
      <c r="N87" s="175"/>
      <c r="O87" s="175"/>
      <c r="P87" s="175"/>
      <c r="Q87" s="175"/>
      <c r="R87" s="175"/>
      <c r="S87" s="175"/>
      <c r="T87" s="175"/>
      <c r="U87" s="175"/>
      <c r="V87" s="175"/>
      <c r="W87" s="175"/>
      <c r="X87" s="175"/>
      <c r="Y87" s="175"/>
      <c r="Z87" s="176"/>
    </row>
    <row r="88" spans="1:26" ht="66" customHeight="1" x14ac:dyDescent="0.15">
      <c r="B88" s="162" t="s">
        <v>102</v>
      </c>
      <c r="C88" s="71" t="s">
        <v>89</v>
      </c>
      <c r="D88" s="164" t="s">
        <v>270</v>
      </c>
      <c r="E88" s="165"/>
      <c r="F88" s="165"/>
      <c r="G88" s="165"/>
      <c r="H88" s="165"/>
      <c r="I88" s="165"/>
      <c r="J88" s="165"/>
      <c r="K88" s="165"/>
      <c r="L88" s="165"/>
      <c r="M88" s="165"/>
      <c r="N88" s="165"/>
      <c r="O88" s="165"/>
      <c r="P88" s="165"/>
      <c r="Q88" s="165"/>
      <c r="R88" s="165"/>
      <c r="S88" s="165"/>
      <c r="T88" s="165"/>
      <c r="U88" s="165"/>
      <c r="V88" s="165"/>
      <c r="W88" s="165"/>
      <c r="X88" s="165"/>
      <c r="Y88" s="165"/>
      <c r="Z88" s="166"/>
    </row>
    <row r="89" spans="1:26" ht="66" customHeight="1" x14ac:dyDescent="0.15">
      <c r="B89" s="163"/>
      <c r="C89" s="72" t="s">
        <v>90</v>
      </c>
      <c r="D89" s="151" t="s">
        <v>271</v>
      </c>
      <c r="E89" s="152"/>
      <c r="F89" s="152"/>
      <c r="G89" s="152"/>
      <c r="H89" s="152"/>
      <c r="I89" s="152"/>
      <c r="J89" s="152"/>
      <c r="K89" s="152"/>
      <c r="L89" s="152"/>
      <c r="M89" s="152"/>
      <c r="N89" s="152"/>
      <c r="O89" s="152"/>
      <c r="P89" s="152"/>
      <c r="Q89" s="152"/>
      <c r="R89" s="152"/>
      <c r="S89" s="152"/>
      <c r="T89" s="152"/>
      <c r="U89" s="152"/>
      <c r="V89" s="152"/>
      <c r="W89" s="152"/>
      <c r="X89" s="152"/>
      <c r="Y89" s="152"/>
      <c r="Z89" s="153"/>
    </row>
    <row r="90" spans="1:26" ht="66" customHeight="1" x14ac:dyDescent="0.15">
      <c r="B90" s="161"/>
      <c r="C90" s="73" t="s">
        <v>91</v>
      </c>
      <c r="D90" s="167" t="s">
        <v>272</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103</v>
      </c>
    </row>
    <row r="93" spans="1:26" ht="18.75" customHeight="1" x14ac:dyDescent="0.15">
      <c r="B93" s="229" t="s">
        <v>232</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3" t="s">
        <v>104</v>
      </c>
    </row>
    <row r="98" spans="1:26" ht="15" customHeight="1" x14ac:dyDescent="0.15">
      <c r="B98" s="238" t="s">
        <v>183</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40"/>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H49:H55 Y27:Z33 H16:H22 H27:H33 Y38:Z44 H38:H44 Y49:Z55 Y60:Z66 L38:M44 T60:T66 U16:U22 G60:G66 U27:U33 L16:M22 U38:U44 L27:M33 U49:U55 L49:M55 L60:M66" xr:uid="{4C0986EB-3601-4249-85F7-B678A400A117}">
      <formula1>"○"</formula1>
    </dataValidation>
    <dataValidation type="list" allowBlank="1" showInputMessage="1" showErrorMessage="1" sqref="Z23 Z34 D34:K34 D23:K23 V16:V22 I38:I44 V27:V33 I49:I55 V38:V44 I16:I22 V49:V55 I27:I33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A9C6EC8D-9397-43FA-8D50-C9E7C5266166}"/>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2" t="s">
        <v>105</v>
      </c>
      <c r="G1" s="242"/>
      <c r="H1" s="242"/>
      <c r="I1" s="242"/>
      <c r="J1" s="242"/>
      <c r="K1" s="242"/>
      <c r="L1" s="242"/>
      <c r="M1" s="242"/>
      <c r="N1" s="242"/>
      <c r="O1" s="242"/>
      <c r="P1" s="242"/>
      <c r="Q1" s="242"/>
      <c r="R1" s="242"/>
    </row>
    <row r="2" spans="1:20" ht="18" customHeight="1" x14ac:dyDescent="0.15">
      <c r="A2" s="243" t="s">
        <v>106</v>
      </c>
      <c r="B2" s="243"/>
      <c r="C2" s="243"/>
      <c r="D2" s="243"/>
      <c r="E2" s="243"/>
      <c r="F2" s="243"/>
      <c r="G2" s="243"/>
      <c r="H2" s="243"/>
      <c r="I2" s="243"/>
      <c r="J2" s="243"/>
      <c r="K2" s="243"/>
      <c r="L2" s="243"/>
      <c r="M2" s="243"/>
      <c r="N2" s="243"/>
      <c r="O2" s="243"/>
      <c r="P2" s="243"/>
      <c r="Q2" s="243"/>
      <c r="R2" s="243"/>
      <c r="S2" s="4"/>
    </row>
    <row r="3" spans="1:20" ht="7.5" customHeight="1" x14ac:dyDescent="0.15">
      <c r="A3" s="32"/>
      <c r="B3" s="32"/>
      <c r="C3" s="32"/>
      <c r="D3" s="32"/>
      <c r="E3" s="32"/>
      <c r="F3" s="32"/>
      <c r="G3" s="32"/>
      <c r="H3" s="32"/>
      <c r="I3" s="32"/>
      <c r="J3" s="32"/>
      <c r="K3" s="32"/>
      <c r="L3" s="32"/>
      <c r="M3" s="32"/>
      <c r="N3" s="32"/>
      <c r="O3" s="32"/>
      <c r="P3" s="32"/>
      <c r="Q3" s="32"/>
      <c r="R3" s="32"/>
    </row>
    <row r="4" spans="1:20" ht="18" customHeight="1" x14ac:dyDescent="0.15">
      <c r="A4" s="4" t="s">
        <v>107</v>
      </c>
      <c r="B4" s="4"/>
      <c r="C4" s="244" t="str">
        <f>'様式１　大学等概要'!E12</f>
        <v>令和3</v>
      </c>
      <c r="D4" s="245"/>
      <c r="E4" s="32" t="s">
        <v>20</v>
      </c>
      <c r="F4" s="32"/>
      <c r="G4" s="32"/>
      <c r="H4" s="32"/>
      <c r="I4" s="32"/>
      <c r="J4" s="77"/>
      <c r="K4" s="32"/>
      <c r="L4" s="32"/>
      <c r="M4" s="41"/>
      <c r="N4" s="41"/>
      <c r="O4" s="41"/>
      <c r="P4" s="41"/>
      <c r="Q4" s="41"/>
      <c r="R4" s="41"/>
    </row>
    <row r="5" spans="1:20" ht="6" customHeight="1" x14ac:dyDescent="0.15">
      <c r="A5" s="32"/>
      <c r="B5" s="32"/>
      <c r="C5" s="32"/>
      <c r="D5" s="32"/>
      <c r="E5" s="32"/>
      <c r="F5" s="32"/>
      <c r="G5" s="32"/>
      <c r="H5" s="32"/>
      <c r="I5" s="32"/>
      <c r="J5" s="32"/>
      <c r="K5" s="32"/>
      <c r="L5" s="32"/>
      <c r="M5" s="32"/>
      <c r="N5" s="32"/>
      <c r="O5" s="32"/>
      <c r="P5" s="32"/>
      <c r="Q5" s="32"/>
      <c r="R5" s="32"/>
    </row>
    <row r="6" spans="1:20" ht="18" customHeight="1" x14ac:dyDescent="0.15">
      <c r="A6" s="4" t="s">
        <v>108</v>
      </c>
      <c r="B6" s="32"/>
      <c r="C6" s="32"/>
      <c r="D6" s="32"/>
      <c r="E6" s="32"/>
      <c r="F6" s="32"/>
      <c r="G6" s="32"/>
      <c r="H6" s="32"/>
      <c r="I6" s="32"/>
      <c r="J6" s="32"/>
      <c r="K6" s="32"/>
      <c r="L6" s="32"/>
      <c r="M6" s="32"/>
      <c r="N6" s="32"/>
      <c r="O6" s="32"/>
      <c r="P6" s="32"/>
      <c r="Q6" s="32"/>
      <c r="R6" s="32"/>
    </row>
    <row r="7" spans="1:20" ht="6" customHeight="1" x14ac:dyDescent="0.15">
      <c r="A7" s="4"/>
      <c r="B7" s="32"/>
      <c r="C7" s="32"/>
      <c r="D7" s="32"/>
      <c r="E7" s="32"/>
      <c r="F7" s="32"/>
      <c r="G7" s="32"/>
      <c r="H7" s="32"/>
      <c r="I7" s="32"/>
      <c r="J7" s="32"/>
      <c r="K7" s="32"/>
      <c r="L7" s="32"/>
      <c r="M7" s="32"/>
      <c r="N7" s="32"/>
      <c r="O7" s="32"/>
      <c r="P7" s="32"/>
      <c r="Q7" s="32"/>
      <c r="R7" s="32"/>
    </row>
    <row r="8" spans="1:20" ht="18" customHeight="1" x14ac:dyDescent="0.15">
      <c r="B8" s="246" t="s">
        <v>109</v>
      </c>
      <c r="C8" s="248" t="s">
        <v>110</v>
      </c>
      <c r="D8" s="250" t="s">
        <v>111</v>
      </c>
      <c r="E8" s="252" t="s">
        <v>112</v>
      </c>
      <c r="F8" s="252"/>
      <c r="G8" s="252" t="s">
        <v>113</v>
      </c>
      <c r="H8" s="252"/>
      <c r="I8" s="252" t="s">
        <v>114</v>
      </c>
      <c r="J8" s="252"/>
      <c r="K8" s="253" t="s">
        <v>115</v>
      </c>
      <c r="L8" s="254"/>
      <c r="M8" s="253" t="s">
        <v>116</v>
      </c>
      <c r="N8" s="254"/>
      <c r="O8" s="253" t="s">
        <v>117</v>
      </c>
      <c r="P8" s="254"/>
      <c r="Q8" s="255" t="s">
        <v>118</v>
      </c>
      <c r="R8" s="257" t="s">
        <v>119</v>
      </c>
      <c r="T8" s="30"/>
    </row>
    <row r="9" spans="1:20" ht="18" customHeight="1" x14ac:dyDescent="0.15">
      <c r="A9" s="4"/>
      <c r="B9" s="247"/>
      <c r="C9" s="249"/>
      <c r="D9" s="251"/>
      <c r="E9" s="37" t="s">
        <v>120</v>
      </c>
      <c r="F9" s="38" t="s">
        <v>121</v>
      </c>
      <c r="G9" s="39" t="s">
        <v>120</v>
      </c>
      <c r="H9" s="40" t="s">
        <v>121</v>
      </c>
      <c r="I9" s="37" t="s">
        <v>120</v>
      </c>
      <c r="J9" s="38" t="s">
        <v>121</v>
      </c>
      <c r="K9" s="39" t="s">
        <v>120</v>
      </c>
      <c r="L9" s="40" t="s">
        <v>121</v>
      </c>
      <c r="M9" s="37" t="s">
        <v>120</v>
      </c>
      <c r="N9" s="38" t="s">
        <v>121</v>
      </c>
      <c r="O9" s="39" t="s">
        <v>120</v>
      </c>
      <c r="P9" s="40" t="s">
        <v>121</v>
      </c>
      <c r="Q9" s="256"/>
      <c r="R9" s="258"/>
      <c r="T9" s="30"/>
    </row>
    <row r="10" spans="1:20" ht="18" customHeight="1" x14ac:dyDescent="0.15">
      <c r="A10" s="41"/>
      <c r="B10" s="78" t="s">
        <v>122</v>
      </c>
      <c r="C10" s="41">
        <v>100</v>
      </c>
      <c r="D10" s="42">
        <v>400</v>
      </c>
      <c r="E10" s="43">
        <v>131</v>
      </c>
      <c r="F10" s="44">
        <v>118</v>
      </c>
      <c r="G10" s="45"/>
      <c r="H10" s="46"/>
      <c r="I10" s="43"/>
      <c r="J10" s="44"/>
      <c r="K10" s="45"/>
      <c r="L10" s="46"/>
      <c r="M10" s="43"/>
      <c r="N10" s="44"/>
      <c r="O10" s="45"/>
      <c r="P10" s="46"/>
      <c r="Q10" s="47">
        <f>E10+G10+I10+K10+M10+O10</f>
        <v>131</v>
      </c>
      <c r="R10" s="48">
        <f>Q10/D10</f>
        <v>0.32750000000000001</v>
      </c>
    </row>
    <row r="11" spans="1:20" ht="18" customHeight="1" x14ac:dyDescent="0.15">
      <c r="A11" s="41"/>
      <c r="B11" s="79" t="s">
        <v>123</v>
      </c>
      <c r="C11" s="57">
        <v>100</v>
      </c>
      <c r="D11" s="50">
        <v>400</v>
      </c>
      <c r="E11" s="51">
        <v>58</v>
      </c>
      <c r="F11" s="52">
        <v>58</v>
      </c>
      <c r="G11" s="53"/>
      <c r="H11" s="54"/>
      <c r="I11" s="51"/>
      <c r="J11" s="52"/>
      <c r="K11" s="53"/>
      <c r="L11" s="54"/>
      <c r="M11" s="51"/>
      <c r="N11" s="52"/>
      <c r="O11" s="53"/>
      <c r="P11" s="54"/>
      <c r="Q11" s="55">
        <f t="shared" ref="Q11:Q29" si="0">E11+G11+I11+K11+M11+O11</f>
        <v>58</v>
      </c>
      <c r="R11" s="56">
        <f t="shared" ref="R11:R29" si="1">Q11/D11</f>
        <v>0.14499999999999999</v>
      </c>
    </row>
    <row r="12" spans="1:20" ht="18" customHeight="1" x14ac:dyDescent="0.15">
      <c r="A12" s="41"/>
      <c r="B12" s="79" t="s">
        <v>124</v>
      </c>
      <c r="C12" s="57">
        <v>80</v>
      </c>
      <c r="D12" s="50">
        <v>320</v>
      </c>
      <c r="E12" s="51">
        <v>98</v>
      </c>
      <c r="F12" s="52">
        <v>98</v>
      </c>
      <c r="G12" s="53"/>
      <c r="H12" s="54"/>
      <c r="I12" s="51"/>
      <c r="J12" s="52"/>
      <c r="K12" s="53"/>
      <c r="L12" s="54"/>
      <c r="M12" s="51"/>
      <c r="N12" s="52"/>
      <c r="O12" s="53"/>
      <c r="P12" s="54"/>
      <c r="Q12" s="55">
        <f t="shared" si="0"/>
        <v>98</v>
      </c>
      <c r="R12" s="56">
        <f t="shared" si="1"/>
        <v>0.30625000000000002</v>
      </c>
    </row>
    <row r="13" spans="1:20" ht="18" customHeight="1" x14ac:dyDescent="0.15">
      <c r="A13" s="41"/>
      <c r="B13" s="79" t="s">
        <v>125</v>
      </c>
      <c r="C13" s="57">
        <v>100</v>
      </c>
      <c r="D13" s="50">
        <v>400</v>
      </c>
      <c r="E13" s="51">
        <v>110</v>
      </c>
      <c r="F13" s="52">
        <v>110</v>
      </c>
      <c r="G13" s="53"/>
      <c r="H13" s="54"/>
      <c r="I13" s="51"/>
      <c r="J13" s="52"/>
      <c r="K13" s="53"/>
      <c r="L13" s="54"/>
      <c r="M13" s="51"/>
      <c r="N13" s="52"/>
      <c r="O13" s="53"/>
      <c r="P13" s="54"/>
      <c r="Q13" s="55">
        <f t="shared" si="0"/>
        <v>110</v>
      </c>
      <c r="R13" s="56">
        <f t="shared" si="1"/>
        <v>0.27500000000000002</v>
      </c>
    </row>
    <row r="14" spans="1:20" ht="18" customHeight="1" x14ac:dyDescent="0.15">
      <c r="A14" s="41"/>
      <c r="B14" s="79" t="s">
        <v>126</v>
      </c>
      <c r="C14" s="57">
        <v>100</v>
      </c>
      <c r="D14" s="50">
        <v>400</v>
      </c>
      <c r="E14" s="51">
        <v>114</v>
      </c>
      <c r="F14" s="52">
        <v>114</v>
      </c>
      <c r="G14" s="53"/>
      <c r="H14" s="54"/>
      <c r="I14" s="51"/>
      <c r="J14" s="52"/>
      <c r="K14" s="53"/>
      <c r="L14" s="54"/>
      <c r="M14" s="51"/>
      <c r="N14" s="52"/>
      <c r="O14" s="53"/>
      <c r="P14" s="54"/>
      <c r="Q14" s="55">
        <f t="shared" si="0"/>
        <v>114</v>
      </c>
      <c r="R14" s="56">
        <f t="shared" si="1"/>
        <v>0.28499999999999998</v>
      </c>
    </row>
    <row r="15" spans="1:20" ht="18" customHeight="1" x14ac:dyDescent="0.15">
      <c r="A15" s="41"/>
      <c r="B15" s="79" t="s">
        <v>127</v>
      </c>
      <c r="C15" s="57">
        <v>100</v>
      </c>
      <c r="D15" s="50">
        <v>400</v>
      </c>
      <c r="E15" s="51">
        <v>53</v>
      </c>
      <c r="F15" s="52">
        <v>53</v>
      </c>
      <c r="G15" s="53"/>
      <c r="H15" s="54"/>
      <c r="I15" s="51"/>
      <c r="J15" s="52"/>
      <c r="K15" s="53"/>
      <c r="L15" s="54"/>
      <c r="M15" s="51"/>
      <c r="N15" s="52"/>
      <c r="O15" s="53"/>
      <c r="P15" s="54"/>
      <c r="Q15" s="55">
        <f t="shared" si="0"/>
        <v>53</v>
      </c>
      <c r="R15" s="56">
        <f t="shared" si="1"/>
        <v>0.13250000000000001</v>
      </c>
    </row>
    <row r="16" spans="1:20" ht="18" customHeight="1" x14ac:dyDescent="0.15">
      <c r="A16" s="41"/>
      <c r="B16" s="79" t="s">
        <v>128</v>
      </c>
      <c r="C16" s="57">
        <v>90</v>
      </c>
      <c r="D16" s="50">
        <v>360</v>
      </c>
      <c r="E16" s="51">
        <v>105</v>
      </c>
      <c r="F16" s="52">
        <v>105</v>
      </c>
      <c r="G16" s="53"/>
      <c r="H16" s="54"/>
      <c r="I16" s="51"/>
      <c r="J16" s="52"/>
      <c r="K16" s="53"/>
      <c r="L16" s="54"/>
      <c r="M16" s="51"/>
      <c r="N16" s="52"/>
      <c r="O16" s="53"/>
      <c r="P16" s="54"/>
      <c r="Q16" s="55">
        <f t="shared" si="0"/>
        <v>105</v>
      </c>
      <c r="R16" s="56">
        <f t="shared" si="1"/>
        <v>0.29166666666666669</v>
      </c>
    </row>
    <row r="17" spans="1:18" ht="18" customHeight="1" x14ac:dyDescent="0.15">
      <c r="A17" s="41"/>
      <c r="B17" s="79"/>
      <c r="C17" s="57"/>
      <c r="D17" s="50"/>
      <c r="E17" s="51"/>
      <c r="F17" s="52"/>
      <c r="G17" s="53"/>
      <c r="H17" s="54"/>
      <c r="I17" s="51"/>
      <c r="J17" s="52"/>
      <c r="K17" s="53"/>
      <c r="L17" s="54"/>
      <c r="M17" s="51"/>
      <c r="N17" s="52"/>
      <c r="O17" s="53"/>
      <c r="P17" s="54"/>
      <c r="Q17" s="55">
        <f t="shared" si="0"/>
        <v>0</v>
      </c>
      <c r="R17" s="56" t="e">
        <f t="shared" si="1"/>
        <v>#DIV/0!</v>
      </c>
    </row>
    <row r="18" spans="1:18" ht="18" customHeight="1" x14ac:dyDescent="0.15">
      <c r="A18" s="41"/>
      <c r="B18" s="79"/>
      <c r="C18" s="57"/>
      <c r="D18" s="50"/>
      <c r="E18" s="51"/>
      <c r="F18" s="52"/>
      <c r="G18" s="53"/>
      <c r="H18" s="54"/>
      <c r="I18" s="51"/>
      <c r="J18" s="52"/>
      <c r="K18" s="53"/>
      <c r="L18" s="54"/>
      <c r="M18" s="51"/>
      <c r="N18" s="52"/>
      <c r="O18" s="53"/>
      <c r="P18" s="54"/>
      <c r="Q18" s="55">
        <f>E18+G18+I18+K18+M18+O18</f>
        <v>0</v>
      </c>
      <c r="R18" s="56" t="e">
        <f t="shared" si="1"/>
        <v>#DIV/0!</v>
      </c>
    </row>
    <row r="19" spans="1:18" ht="18" customHeight="1" x14ac:dyDescent="0.15">
      <c r="A19" s="41"/>
      <c r="B19" s="79"/>
      <c r="C19" s="57"/>
      <c r="D19" s="50"/>
      <c r="E19" s="51"/>
      <c r="F19" s="52"/>
      <c r="G19" s="53"/>
      <c r="H19" s="54"/>
      <c r="I19" s="51"/>
      <c r="J19" s="52"/>
      <c r="K19" s="53"/>
      <c r="L19" s="54"/>
      <c r="M19" s="51"/>
      <c r="N19" s="52"/>
      <c r="O19" s="53"/>
      <c r="P19" s="54"/>
      <c r="Q19" s="55">
        <f t="shared" si="0"/>
        <v>0</v>
      </c>
      <c r="R19" s="56" t="e">
        <f t="shared" si="1"/>
        <v>#DIV/0!</v>
      </c>
    </row>
    <row r="20" spans="1:18" ht="18" customHeight="1" x14ac:dyDescent="0.15">
      <c r="A20" s="41"/>
      <c r="B20" s="79"/>
      <c r="C20" s="57"/>
      <c r="D20" s="50"/>
      <c r="E20" s="51"/>
      <c r="F20" s="52"/>
      <c r="G20" s="53"/>
      <c r="H20" s="54"/>
      <c r="I20" s="51"/>
      <c r="J20" s="52"/>
      <c r="K20" s="53"/>
      <c r="L20" s="54"/>
      <c r="M20" s="51"/>
      <c r="N20" s="52"/>
      <c r="O20" s="53"/>
      <c r="P20" s="54"/>
      <c r="Q20" s="55">
        <f t="shared" si="0"/>
        <v>0</v>
      </c>
      <c r="R20" s="56" t="e">
        <f t="shared" si="1"/>
        <v>#DIV/0!</v>
      </c>
    </row>
    <row r="21" spans="1:18" ht="18" customHeight="1" x14ac:dyDescent="0.15">
      <c r="A21" s="41"/>
      <c r="B21" s="79"/>
      <c r="C21" s="57"/>
      <c r="D21" s="50"/>
      <c r="E21" s="51"/>
      <c r="F21" s="52"/>
      <c r="G21" s="53"/>
      <c r="H21" s="54"/>
      <c r="I21" s="51"/>
      <c r="J21" s="52"/>
      <c r="K21" s="53"/>
      <c r="L21" s="54"/>
      <c r="M21" s="51"/>
      <c r="N21" s="52"/>
      <c r="O21" s="53"/>
      <c r="P21" s="54"/>
      <c r="Q21" s="55">
        <f t="shared" si="0"/>
        <v>0</v>
      </c>
      <c r="R21" s="56" t="e">
        <f t="shared" si="1"/>
        <v>#DIV/0!</v>
      </c>
    </row>
    <row r="22" spans="1:18" ht="18" customHeight="1" x14ac:dyDescent="0.15">
      <c r="A22" s="41"/>
      <c r="B22" s="79"/>
      <c r="C22" s="57"/>
      <c r="D22" s="50"/>
      <c r="E22" s="51"/>
      <c r="F22" s="52"/>
      <c r="G22" s="53"/>
      <c r="H22" s="54"/>
      <c r="I22" s="51"/>
      <c r="J22" s="52"/>
      <c r="K22" s="53"/>
      <c r="L22" s="54"/>
      <c r="M22" s="51"/>
      <c r="N22" s="52"/>
      <c r="O22" s="53"/>
      <c r="P22" s="54"/>
      <c r="Q22" s="55">
        <f t="shared" si="0"/>
        <v>0</v>
      </c>
      <c r="R22" s="56" t="e">
        <f t="shared" si="1"/>
        <v>#DIV/0!</v>
      </c>
    </row>
    <row r="23" spans="1:18" ht="18" customHeight="1" x14ac:dyDescent="0.15">
      <c r="A23" s="41"/>
      <c r="B23" s="79"/>
      <c r="C23" s="57"/>
      <c r="D23" s="50"/>
      <c r="E23" s="51"/>
      <c r="F23" s="52"/>
      <c r="G23" s="53"/>
      <c r="H23" s="54"/>
      <c r="I23" s="51"/>
      <c r="J23" s="52"/>
      <c r="K23" s="53"/>
      <c r="L23" s="54"/>
      <c r="M23" s="51"/>
      <c r="N23" s="52"/>
      <c r="O23" s="53"/>
      <c r="P23" s="54"/>
      <c r="Q23" s="55">
        <f t="shared" si="0"/>
        <v>0</v>
      </c>
      <c r="R23" s="56" t="e">
        <f t="shared" si="1"/>
        <v>#DIV/0!</v>
      </c>
    </row>
    <row r="24" spans="1:18" ht="18" customHeight="1" x14ac:dyDescent="0.15">
      <c r="A24" s="41"/>
      <c r="B24" s="79"/>
      <c r="C24" s="57"/>
      <c r="D24" s="50"/>
      <c r="E24" s="51"/>
      <c r="F24" s="52"/>
      <c r="G24" s="53"/>
      <c r="H24" s="54"/>
      <c r="I24" s="51"/>
      <c r="J24" s="52"/>
      <c r="K24" s="53"/>
      <c r="L24" s="54"/>
      <c r="M24" s="51"/>
      <c r="N24" s="52"/>
      <c r="O24" s="53"/>
      <c r="P24" s="54"/>
      <c r="Q24" s="55">
        <f t="shared" si="0"/>
        <v>0</v>
      </c>
      <c r="R24" s="56" t="e">
        <f t="shared" si="1"/>
        <v>#DIV/0!</v>
      </c>
    </row>
    <row r="25" spans="1:18" ht="18" customHeight="1" x14ac:dyDescent="0.15">
      <c r="A25" s="41"/>
      <c r="B25" s="79"/>
      <c r="C25" s="57"/>
      <c r="D25" s="50"/>
      <c r="E25" s="51"/>
      <c r="F25" s="52"/>
      <c r="G25" s="53"/>
      <c r="H25" s="54"/>
      <c r="I25" s="51"/>
      <c r="J25" s="52"/>
      <c r="K25" s="53"/>
      <c r="L25" s="54"/>
      <c r="M25" s="51"/>
      <c r="N25" s="52"/>
      <c r="O25" s="53"/>
      <c r="P25" s="54"/>
      <c r="Q25" s="55">
        <f t="shared" si="0"/>
        <v>0</v>
      </c>
      <c r="R25" s="56" t="e">
        <f t="shared" si="1"/>
        <v>#DIV/0!</v>
      </c>
    </row>
    <row r="26" spans="1:18" ht="18" customHeight="1" x14ac:dyDescent="0.15">
      <c r="A26" s="41"/>
      <c r="B26" s="79"/>
      <c r="C26" s="57"/>
      <c r="D26" s="50"/>
      <c r="E26" s="51"/>
      <c r="F26" s="52"/>
      <c r="G26" s="53"/>
      <c r="H26" s="54"/>
      <c r="I26" s="51"/>
      <c r="J26" s="52"/>
      <c r="K26" s="53"/>
      <c r="L26" s="54"/>
      <c r="M26" s="51"/>
      <c r="N26" s="52"/>
      <c r="O26" s="53"/>
      <c r="P26" s="54"/>
      <c r="Q26" s="55">
        <f t="shared" si="0"/>
        <v>0</v>
      </c>
      <c r="R26" s="56" t="e">
        <f t="shared" si="1"/>
        <v>#DIV/0!</v>
      </c>
    </row>
    <row r="27" spans="1:18" ht="18" customHeight="1" x14ac:dyDescent="0.15">
      <c r="A27" s="41"/>
      <c r="B27" s="79"/>
      <c r="C27" s="49"/>
      <c r="D27" s="50"/>
      <c r="E27" s="51"/>
      <c r="F27" s="52"/>
      <c r="G27" s="53"/>
      <c r="H27" s="54"/>
      <c r="I27" s="51"/>
      <c r="J27" s="52"/>
      <c r="K27" s="53"/>
      <c r="L27" s="54"/>
      <c r="M27" s="51"/>
      <c r="N27" s="52"/>
      <c r="O27" s="53"/>
      <c r="P27" s="54"/>
      <c r="Q27" s="55">
        <f t="shared" si="0"/>
        <v>0</v>
      </c>
      <c r="R27" s="56" t="e">
        <f t="shared" si="1"/>
        <v>#DIV/0!</v>
      </c>
    </row>
    <row r="28" spans="1:18" ht="18" customHeight="1" x14ac:dyDescent="0.15">
      <c r="A28" s="41"/>
      <c r="B28" s="79"/>
      <c r="C28" s="49"/>
      <c r="D28" s="50"/>
      <c r="E28" s="51"/>
      <c r="F28" s="52"/>
      <c r="G28" s="53"/>
      <c r="H28" s="54"/>
      <c r="I28" s="51"/>
      <c r="J28" s="52"/>
      <c r="K28" s="53"/>
      <c r="L28" s="54"/>
      <c r="M28" s="51"/>
      <c r="N28" s="52"/>
      <c r="O28" s="53"/>
      <c r="P28" s="54"/>
      <c r="Q28" s="55">
        <f t="shared" si="0"/>
        <v>0</v>
      </c>
      <c r="R28" s="56" t="e">
        <f t="shared" si="1"/>
        <v>#DIV/0!</v>
      </c>
    </row>
    <row r="29" spans="1:18" ht="18" customHeight="1" thickBot="1" x14ac:dyDescent="0.2">
      <c r="A29" s="41"/>
      <c r="B29" s="80"/>
      <c r="C29" s="81"/>
      <c r="D29" s="42"/>
      <c r="E29" s="43"/>
      <c r="F29" s="44"/>
      <c r="G29" s="45"/>
      <c r="H29" s="46"/>
      <c r="I29" s="43"/>
      <c r="J29" s="44"/>
      <c r="K29" s="45"/>
      <c r="L29" s="46"/>
      <c r="M29" s="43"/>
      <c r="N29" s="44"/>
      <c r="O29" s="45"/>
      <c r="P29" s="46"/>
      <c r="Q29" s="58">
        <f t="shared" si="0"/>
        <v>0</v>
      </c>
      <c r="R29" s="48" t="e">
        <f t="shared" si="1"/>
        <v>#DIV/0!</v>
      </c>
    </row>
    <row r="30" spans="1:18" ht="18" customHeight="1" thickTop="1" x14ac:dyDescent="0.15">
      <c r="B30" s="82" t="s">
        <v>129</v>
      </c>
      <c r="C30" s="83">
        <f t="shared" ref="C30:Q30" si="2">SUM(C10:C29)</f>
        <v>670</v>
      </c>
      <c r="D30" s="59">
        <f t="shared" si="2"/>
        <v>2680</v>
      </c>
      <c r="E30" s="60">
        <f t="shared" si="2"/>
        <v>669</v>
      </c>
      <c r="F30" s="61">
        <f t="shared" si="2"/>
        <v>656</v>
      </c>
      <c r="G30" s="62">
        <f t="shared" si="2"/>
        <v>0</v>
      </c>
      <c r="H30" s="63">
        <f t="shared" si="2"/>
        <v>0</v>
      </c>
      <c r="I30" s="60">
        <f t="shared" si="2"/>
        <v>0</v>
      </c>
      <c r="J30" s="61">
        <f t="shared" si="2"/>
        <v>0</v>
      </c>
      <c r="K30" s="62">
        <f t="shared" si="2"/>
        <v>0</v>
      </c>
      <c r="L30" s="63">
        <f t="shared" si="2"/>
        <v>0</v>
      </c>
      <c r="M30" s="60">
        <f t="shared" si="2"/>
        <v>0</v>
      </c>
      <c r="N30" s="61">
        <f t="shared" si="2"/>
        <v>0</v>
      </c>
      <c r="O30" s="62">
        <f t="shared" si="2"/>
        <v>0</v>
      </c>
      <c r="P30" s="63">
        <f t="shared" si="2"/>
        <v>0</v>
      </c>
      <c r="Q30" s="64">
        <f t="shared" si="2"/>
        <v>669</v>
      </c>
      <c r="R30" s="65">
        <f>Q30/D30</f>
        <v>0.2496268656716418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5"/>
  <sheetViews>
    <sheetView showZeros="0" view="pageBreakPreview" zoomScaleNormal="100" zoomScaleSheetLayoutView="100" workbookViewId="0">
      <selection activeCell="B8" sqref="B8:J13"/>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130</v>
      </c>
      <c r="J1" s="35" t="s">
        <v>131</v>
      </c>
    </row>
    <row r="2" spans="1:11" ht="18.75" customHeight="1" x14ac:dyDescent="0.15">
      <c r="A2" s="243" t="s">
        <v>132</v>
      </c>
      <c r="B2" s="243"/>
      <c r="C2" s="243"/>
      <c r="D2" s="243"/>
      <c r="E2" s="243"/>
      <c r="F2" s="243"/>
      <c r="G2" s="243"/>
      <c r="H2" s="243"/>
      <c r="I2" s="243"/>
      <c r="J2" s="243"/>
    </row>
    <row r="3" spans="1:11" ht="7.5" customHeight="1" x14ac:dyDescent="0.15">
      <c r="B3" s="32"/>
      <c r="C3" s="32"/>
      <c r="D3" s="32"/>
      <c r="E3" s="32"/>
      <c r="F3" s="32"/>
      <c r="G3" s="32"/>
      <c r="H3" s="32"/>
      <c r="I3" s="32"/>
      <c r="J3" s="32"/>
    </row>
    <row r="4" spans="1:11" ht="18.75" customHeight="1" x14ac:dyDescent="0.15">
      <c r="A4" s="1" t="s">
        <v>2</v>
      </c>
      <c r="B4" s="4" t="s">
        <v>133</v>
      </c>
      <c r="C4" s="4"/>
      <c r="D4" s="4"/>
      <c r="E4" s="4"/>
      <c r="F4" s="4"/>
      <c r="G4" s="4"/>
      <c r="H4" s="4"/>
      <c r="I4" s="32"/>
      <c r="J4" s="32"/>
    </row>
    <row r="5" spans="1:11" ht="18.75" customHeight="1" x14ac:dyDescent="0.15">
      <c r="A5" s="1"/>
      <c r="B5" s="129" t="s">
        <v>204</v>
      </c>
      <c r="C5" s="130"/>
      <c r="D5" s="130"/>
      <c r="E5" s="130"/>
      <c r="F5" s="130"/>
      <c r="G5" s="130"/>
      <c r="H5" s="130"/>
      <c r="I5" s="130"/>
      <c r="J5" s="268"/>
      <c r="K5" s="27" t="str">
        <f>IF(B5="","入力してください","")</f>
        <v/>
      </c>
    </row>
    <row r="6" spans="1:11" ht="7.5" customHeight="1" x14ac:dyDescent="0.15">
      <c r="B6" s="32"/>
      <c r="C6" s="32"/>
      <c r="D6" s="32"/>
      <c r="E6" s="32"/>
      <c r="F6" s="32"/>
      <c r="G6" s="32"/>
      <c r="H6" s="32"/>
      <c r="I6" s="32"/>
      <c r="J6" s="32"/>
    </row>
    <row r="7" spans="1:11" s="4" customFormat="1" ht="18.75" customHeight="1" x14ac:dyDescent="0.15">
      <c r="A7" s="1" t="s">
        <v>5</v>
      </c>
      <c r="B7" s="1" t="s">
        <v>134</v>
      </c>
      <c r="C7" s="1"/>
      <c r="D7" s="1"/>
      <c r="E7" s="1"/>
      <c r="F7" s="1"/>
      <c r="G7" s="1"/>
      <c r="H7" s="1"/>
      <c r="I7" s="1"/>
      <c r="J7" s="1"/>
      <c r="K7" s="27"/>
    </row>
    <row r="8" spans="1:11" s="4" customFormat="1" ht="18.75" customHeight="1" x14ac:dyDescent="0.15">
      <c r="A8" s="84"/>
      <c r="B8" s="269" t="s">
        <v>135</v>
      </c>
      <c r="C8" s="270"/>
      <c r="D8" s="270"/>
      <c r="E8" s="270"/>
      <c r="F8" s="270"/>
      <c r="G8" s="270"/>
      <c r="H8" s="270"/>
      <c r="I8" s="271"/>
      <c r="J8" s="272"/>
      <c r="K8" s="27" t="str">
        <f>IF(B8="","入力してください","")</f>
        <v/>
      </c>
    </row>
    <row r="9" spans="1:11" s="4" customFormat="1" ht="18.75" customHeight="1" x14ac:dyDescent="0.15">
      <c r="A9" s="84"/>
      <c r="B9" s="273"/>
      <c r="C9" s="274"/>
      <c r="D9" s="274"/>
      <c r="E9" s="274"/>
      <c r="F9" s="274"/>
      <c r="G9" s="274"/>
      <c r="H9" s="274"/>
      <c r="I9" s="274"/>
      <c r="J9" s="275"/>
      <c r="K9" s="27"/>
    </row>
    <row r="10" spans="1:11" s="4" customFormat="1" ht="18.75" customHeight="1" x14ac:dyDescent="0.15">
      <c r="A10" s="84"/>
      <c r="B10" s="273"/>
      <c r="C10" s="274"/>
      <c r="D10" s="274"/>
      <c r="E10" s="274"/>
      <c r="F10" s="274"/>
      <c r="G10" s="274"/>
      <c r="H10" s="274"/>
      <c r="I10" s="274"/>
      <c r="J10" s="275"/>
      <c r="K10" s="27"/>
    </row>
    <row r="11" spans="1:11" s="4" customFormat="1" ht="18.75" customHeight="1" x14ac:dyDescent="0.15">
      <c r="A11" s="84"/>
      <c r="B11" s="273"/>
      <c r="C11" s="274"/>
      <c r="D11" s="274"/>
      <c r="E11" s="274"/>
      <c r="F11" s="274"/>
      <c r="G11" s="274"/>
      <c r="H11" s="274"/>
      <c r="I11" s="274"/>
      <c r="J11" s="275"/>
      <c r="K11" s="27"/>
    </row>
    <row r="12" spans="1:11" s="4" customFormat="1" ht="18.75" customHeight="1" x14ac:dyDescent="0.15">
      <c r="A12" s="84"/>
      <c r="B12" s="273"/>
      <c r="C12" s="274"/>
      <c r="D12" s="274"/>
      <c r="E12" s="274"/>
      <c r="F12" s="274"/>
      <c r="G12" s="274"/>
      <c r="H12" s="274"/>
      <c r="I12" s="274"/>
      <c r="J12" s="275"/>
      <c r="K12" s="27"/>
    </row>
    <row r="13" spans="1:11" s="4" customFormat="1" ht="18.75" customHeight="1" x14ac:dyDescent="0.15">
      <c r="A13" s="84"/>
      <c r="B13" s="276"/>
      <c r="C13" s="277"/>
      <c r="D13" s="277"/>
      <c r="E13" s="277"/>
      <c r="F13" s="277"/>
      <c r="G13" s="277"/>
      <c r="H13" s="277"/>
      <c r="I13" s="277"/>
      <c r="J13" s="278"/>
      <c r="K13" s="27"/>
    </row>
    <row r="14" spans="1:11" s="4" customFormat="1" ht="7.5" customHeight="1" x14ac:dyDescent="0.15">
      <c r="A14" s="84"/>
      <c r="B14" s="84"/>
      <c r="C14" s="84"/>
      <c r="D14" s="84"/>
      <c r="E14" s="84"/>
      <c r="F14" s="84"/>
      <c r="G14" s="84"/>
      <c r="H14" s="84"/>
      <c r="I14" s="84"/>
      <c r="J14" s="84"/>
      <c r="K14" s="27"/>
    </row>
    <row r="15" spans="1:11" s="4" customFormat="1" ht="18.75" customHeight="1" x14ac:dyDescent="0.15">
      <c r="A15" s="85" t="s">
        <v>136</v>
      </c>
      <c r="B15" s="85" t="s">
        <v>137</v>
      </c>
      <c r="C15" s="85"/>
      <c r="D15" s="85"/>
      <c r="E15" s="85"/>
      <c r="F15" s="85"/>
      <c r="G15" s="85"/>
      <c r="H15" s="85"/>
      <c r="I15" s="85"/>
      <c r="J15" s="85"/>
      <c r="K15" s="27"/>
    </row>
    <row r="16" spans="1:11" s="4" customFormat="1" ht="18.75" customHeight="1" x14ac:dyDescent="0.15">
      <c r="A16" s="84"/>
      <c r="B16" s="269" t="s">
        <v>138</v>
      </c>
      <c r="C16" s="270"/>
      <c r="D16" s="270"/>
      <c r="E16" s="270"/>
      <c r="F16" s="270"/>
      <c r="G16" s="270"/>
      <c r="H16" s="270"/>
      <c r="I16" s="271"/>
      <c r="J16" s="272"/>
      <c r="K16" s="27" t="str">
        <f>IF(B16="","入力してください","")</f>
        <v/>
      </c>
    </row>
    <row r="17" spans="1:11" s="4" customFormat="1" ht="18.75" customHeight="1" x14ac:dyDescent="0.15">
      <c r="A17" s="84"/>
      <c r="B17" s="273"/>
      <c r="C17" s="274"/>
      <c r="D17" s="274"/>
      <c r="E17" s="274"/>
      <c r="F17" s="274"/>
      <c r="G17" s="274"/>
      <c r="H17" s="274"/>
      <c r="I17" s="274"/>
      <c r="J17" s="275"/>
      <c r="K17" s="27"/>
    </row>
    <row r="18" spans="1:11" s="4" customFormat="1" ht="18.75" customHeight="1" x14ac:dyDescent="0.15">
      <c r="A18" s="84"/>
      <c r="B18" s="273"/>
      <c r="C18" s="274"/>
      <c r="D18" s="274"/>
      <c r="E18" s="274"/>
      <c r="F18" s="274"/>
      <c r="G18" s="274"/>
      <c r="H18" s="274"/>
      <c r="I18" s="274"/>
      <c r="J18" s="275"/>
      <c r="K18" s="27"/>
    </row>
    <row r="19" spans="1:11" s="4" customFormat="1" ht="18.75" customHeight="1" x14ac:dyDescent="0.15">
      <c r="A19" s="84"/>
      <c r="B19" s="273"/>
      <c r="C19" s="274"/>
      <c r="D19" s="274"/>
      <c r="E19" s="274"/>
      <c r="F19" s="274"/>
      <c r="G19" s="274"/>
      <c r="H19" s="274"/>
      <c r="I19" s="274"/>
      <c r="J19" s="275"/>
      <c r="K19" s="27"/>
    </row>
    <row r="20" spans="1:11" s="4" customFormat="1" ht="18.75" customHeight="1" x14ac:dyDescent="0.15">
      <c r="A20" s="84"/>
      <c r="B20" s="273"/>
      <c r="C20" s="274"/>
      <c r="D20" s="274"/>
      <c r="E20" s="274"/>
      <c r="F20" s="274"/>
      <c r="G20" s="274"/>
      <c r="H20" s="274"/>
      <c r="I20" s="274"/>
      <c r="J20" s="275"/>
      <c r="K20" s="27"/>
    </row>
    <row r="21" spans="1:11" s="4" customFormat="1" ht="18.75" customHeight="1" x14ac:dyDescent="0.15">
      <c r="A21" s="84"/>
      <c r="B21" s="273"/>
      <c r="C21" s="274"/>
      <c r="D21" s="274"/>
      <c r="E21" s="274"/>
      <c r="F21" s="274"/>
      <c r="G21" s="274"/>
      <c r="H21" s="274"/>
      <c r="I21" s="274"/>
      <c r="J21" s="275"/>
      <c r="K21" s="27"/>
    </row>
    <row r="22" spans="1:11" s="4" customFormat="1" ht="18.75" customHeight="1" x14ac:dyDescent="0.15">
      <c r="A22" s="84"/>
      <c r="B22" s="273"/>
      <c r="C22" s="274"/>
      <c r="D22" s="274"/>
      <c r="E22" s="274"/>
      <c r="F22" s="274"/>
      <c r="G22" s="274"/>
      <c r="H22" s="274"/>
      <c r="I22" s="274"/>
      <c r="J22" s="275"/>
      <c r="K22" s="27"/>
    </row>
    <row r="23" spans="1:11" s="4" customFormat="1" ht="18.75" customHeight="1" x14ac:dyDescent="0.15">
      <c r="A23" s="84"/>
      <c r="B23" s="273"/>
      <c r="C23" s="274"/>
      <c r="D23" s="274"/>
      <c r="E23" s="274"/>
      <c r="F23" s="274"/>
      <c r="G23" s="274"/>
      <c r="H23" s="274"/>
      <c r="I23" s="274"/>
      <c r="J23" s="275"/>
      <c r="K23" s="27"/>
    </row>
    <row r="24" spans="1:11" s="4" customFormat="1" ht="18.75" customHeight="1" x14ac:dyDescent="0.15">
      <c r="A24" s="84"/>
      <c r="B24" s="273"/>
      <c r="C24" s="274"/>
      <c r="D24" s="274"/>
      <c r="E24" s="274"/>
      <c r="F24" s="274"/>
      <c r="G24" s="274"/>
      <c r="H24" s="274"/>
      <c r="I24" s="274"/>
      <c r="J24" s="275"/>
      <c r="K24" s="27"/>
    </row>
    <row r="25" spans="1:11" s="4" customFormat="1" ht="18.75" customHeight="1" x14ac:dyDescent="0.15">
      <c r="A25" s="84"/>
      <c r="B25" s="273"/>
      <c r="C25" s="274"/>
      <c r="D25" s="274"/>
      <c r="E25" s="274"/>
      <c r="F25" s="274"/>
      <c r="G25" s="274"/>
      <c r="H25" s="274"/>
      <c r="I25" s="274"/>
      <c r="J25" s="275"/>
      <c r="K25" s="27"/>
    </row>
    <row r="26" spans="1:11" s="4" customFormat="1" ht="18.75" customHeight="1" x14ac:dyDescent="0.15">
      <c r="A26" s="84"/>
      <c r="B26" s="276"/>
      <c r="C26" s="277"/>
      <c r="D26" s="277"/>
      <c r="E26" s="277"/>
      <c r="F26" s="277"/>
      <c r="G26" s="277"/>
      <c r="H26" s="277"/>
      <c r="I26" s="277"/>
      <c r="J26" s="278"/>
      <c r="K26" s="27"/>
    </row>
    <row r="27" spans="1:11" ht="7.5" customHeight="1" x14ac:dyDescent="0.15">
      <c r="A27" s="33"/>
      <c r="B27" s="33"/>
      <c r="C27" s="33"/>
      <c r="D27" s="33"/>
      <c r="E27" s="33"/>
      <c r="F27" s="33"/>
      <c r="G27" s="33"/>
      <c r="H27" s="33"/>
      <c r="I27" s="33"/>
      <c r="J27" s="33"/>
    </row>
    <row r="28" spans="1:11" s="4" customFormat="1" ht="18.75" customHeight="1" x14ac:dyDescent="0.15">
      <c r="A28" s="1" t="s">
        <v>11</v>
      </c>
      <c r="B28" s="1" t="s">
        <v>139</v>
      </c>
      <c r="C28" s="1"/>
      <c r="D28" s="1"/>
      <c r="E28" s="1"/>
      <c r="F28" s="1"/>
      <c r="G28" s="1"/>
      <c r="H28" s="1"/>
      <c r="I28" s="1"/>
      <c r="J28" s="1"/>
      <c r="K28" s="27"/>
    </row>
    <row r="29" spans="1:11" s="25" customFormat="1" ht="18.75" customHeight="1" x14ac:dyDescent="0.15">
      <c r="B29" s="86" t="s">
        <v>140</v>
      </c>
      <c r="C29" s="87">
        <f>'様式３　履修者等数の実績'!R30</f>
        <v>0.2496268656716418</v>
      </c>
      <c r="D29" s="88"/>
      <c r="E29" s="88" t="s">
        <v>141</v>
      </c>
      <c r="F29" s="87">
        <v>0.4</v>
      </c>
      <c r="G29" s="88"/>
      <c r="H29" s="88" t="s">
        <v>142</v>
      </c>
      <c r="I29" s="89">
        <v>0.7</v>
      </c>
      <c r="J29" s="90"/>
      <c r="K29" s="27"/>
    </row>
    <row r="30" spans="1:11" s="25" customFormat="1" ht="18.75" customHeight="1" x14ac:dyDescent="0.15">
      <c r="B30" s="74" t="s">
        <v>143</v>
      </c>
      <c r="C30" s="91">
        <v>0.85</v>
      </c>
      <c r="D30" s="75"/>
      <c r="E30" s="75" t="s">
        <v>144</v>
      </c>
      <c r="F30" s="91">
        <v>1</v>
      </c>
      <c r="G30" s="75"/>
      <c r="H30" s="75" t="s">
        <v>145</v>
      </c>
      <c r="I30" s="92">
        <f>'様式３　履修者等数の実績'!D30</f>
        <v>2680</v>
      </c>
      <c r="J30" s="93"/>
      <c r="K30" s="27"/>
    </row>
    <row r="31" spans="1:11" s="4" customFormat="1" ht="18.75" customHeight="1" x14ac:dyDescent="0.15">
      <c r="A31" s="1"/>
      <c r="B31" s="157" t="s">
        <v>146</v>
      </c>
      <c r="C31" s="158"/>
      <c r="D31" s="158"/>
      <c r="E31" s="158"/>
      <c r="F31" s="158"/>
      <c r="G31" s="158"/>
      <c r="H31" s="158"/>
      <c r="I31" s="158"/>
      <c r="J31" s="159"/>
      <c r="K31" s="27"/>
    </row>
    <row r="32" spans="1:11" s="4" customFormat="1" ht="18.75" customHeight="1" x14ac:dyDescent="0.15">
      <c r="A32" s="1"/>
      <c r="B32" s="259" t="s">
        <v>147</v>
      </c>
      <c r="C32" s="260"/>
      <c r="D32" s="260"/>
      <c r="E32" s="260"/>
      <c r="F32" s="260"/>
      <c r="G32" s="260"/>
      <c r="H32" s="260"/>
      <c r="I32" s="260"/>
      <c r="J32" s="261"/>
      <c r="K32" s="27" t="str">
        <f>IF(B32="","入力してください","")</f>
        <v/>
      </c>
    </row>
    <row r="33" spans="1:11" s="4" customFormat="1" ht="18.75" customHeight="1" x14ac:dyDescent="0.15">
      <c r="A33" s="1"/>
      <c r="B33" s="262"/>
      <c r="C33" s="263"/>
      <c r="D33" s="263"/>
      <c r="E33" s="263"/>
      <c r="F33" s="263"/>
      <c r="G33" s="263"/>
      <c r="H33" s="263"/>
      <c r="I33" s="263"/>
      <c r="J33" s="264"/>
      <c r="K33" s="27"/>
    </row>
    <row r="34" spans="1:11" s="4" customFormat="1" ht="18.75" customHeight="1" x14ac:dyDescent="0.15">
      <c r="A34" s="1"/>
      <c r="B34" s="262"/>
      <c r="C34" s="263"/>
      <c r="D34" s="263"/>
      <c r="E34" s="263"/>
      <c r="F34" s="263"/>
      <c r="G34" s="263"/>
      <c r="H34" s="263"/>
      <c r="I34" s="263"/>
      <c r="J34" s="264"/>
      <c r="K34" s="27"/>
    </row>
    <row r="35" spans="1:11" s="4" customFormat="1" ht="18.75" customHeight="1" x14ac:dyDescent="0.15">
      <c r="A35" s="1"/>
      <c r="B35" s="262"/>
      <c r="C35" s="263"/>
      <c r="D35" s="263"/>
      <c r="E35" s="263"/>
      <c r="F35" s="263"/>
      <c r="G35" s="263"/>
      <c r="H35" s="263"/>
      <c r="I35" s="263"/>
      <c r="J35" s="264"/>
      <c r="K35" s="27"/>
    </row>
    <row r="36" spans="1:11" s="4" customFormat="1" ht="18.75" customHeight="1" x14ac:dyDescent="0.15">
      <c r="A36" s="1"/>
      <c r="B36" s="262"/>
      <c r="C36" s="263"/>
      <c r="D36" s="263"/>
      <c r="E36" s="263"/>
      <c r="F36" s="263"/>
      <c r="G36" s="263"/>
      <c r="H36" s="263"/>
      <c r="I36" s="263"/>
      <c r="J36" s="264"/>
      <c r="K36" s="27"/>
    </row>
    <row r="37" spans="1:11" s="4" customFormat="1" ht="18.75" customHeight="1" x14ac:dyDescent="0.15">
      <c r="A37" s="1"/>
      <c r="B37" s="262"/>
      <c r="C37" s="263"/>
      <c r="D37" s="263"/>
      <c r="E37" s="263"/>
      <c r="F37" s="263"/>
      <c r="G37" s="263"/>
      <c r="H37" s="263"/>
      <c r="I37" s="263"/>
      <c r="J37" s="264"/>
      <c r="K37" s="27"/>
    </row>
    <row r="38" spans="1:11" s="4" customFormat="1" ht="18.75" customHeight="1" x14ac:dyDescent="0.15">
      <c r="A38" s="1"/>
      <c r="B38" s="262"/>
      <c r="C38" s="263"/>
      <c r="D38" s="263"/>
      <c r="E38" s="263"/>
      <c r="F38" s="263"/>
      <c r="G38" s="263"/>
      <c r="H38" s="263"/>
      <c r="I38" s="263"/>
      <c r="J38" s="264"/>
      <c r="K38" s="27"/>
    </row>
    <row r="39" spans="1:11" s="4" customFormat="1" ht="18.75" customHeight="1" x14ac:dyDescent="0.15">
      <c r="A39" s="1"/>
      <c r="B39" s="262"/>
      <c r="C39" s="263"/>
      <c r="D39" s="263"/>
      <c r="E39" s="263"/>
      <c r="F39" s="263"/>
      <c r="G39" s="263"/>
      <c r="H39" s="263"/>
      <c r="I39" s="263"/>
      <c r="J39" s="264"/>
      <c r="K39" s="27"/>
    </row>
    <row r="40" spans="1:11" s="4" customFormat="1" ht="18.75" customHeight="1" x14ac:dyDescent="0.15">
      <c r="A40" s="1"/>
      <c r="B40" s="262"/>
      <c r="C40" s="263"/>
      <c r="D40" s="263"/>
      <c r="E40" s="263"/>
      <c r="F40" s="263"/>
      <c r="G40" s="263"/>
      <c r="H40" s="263"/>
      <c r="I40" s="263"/>
      <c r="J40" s="264"/>
      <c r="K40" s="27"/>
    </row>
    <row r="41" spans="1:11" s="4" customFormat="1" ht="18.75" customHeight="1" x14ac:dyDescent="0.15">
      <c r="A41" s="1"/>
      <c r="B41" s="262"/>
      <c r="C41" s="263"/>
      <c r="D41" s="263"/>
      <c r="E41" s="263"/>
      <c r="F41" s="263"/>
      <c r="G41" s="263"/>
      <c r="H41" s="263"/>
      <c r="I41" s="263"/>
      <c r="J41" s="264"/>
      <c r="K41" s="27"/>
    </row>
    <row r="42" spans="1:11" s="4" customFormat="1" ht="18.75" customHeight="1" x14ac:dyDescent="0.15">
      <c r="A42" s="1"/>
      <c r="B42" s="262"/>
      <c r="C42" s="263"/>
      <c r="D42" s="263"/>
      <c r="E42" s="263"/>
      <c r="F42" s="263"/>
      <c r="G42" s="263"/>
      <c r="H42" s="263"/>
      <c r="I42" s="263"/>
      <c r="J42" s="264"/>
      <c r="K42" s="27"/>
    </row>
    <row r="43" spans="1:11" s="4" customFormat="1" ht="18.75" customHeight="1" x14ac:dyDescent="0.15">
      <c r="A43" s="1"/>
      <c r="B43" s="262"/>
      <c r="C43" s="263"/>
      <c r="D43" s="263"/>
      <c r="E43" s="263"/>
      <c r="F43" s="263"/>
      <c r="G43" s="263"/>
      <c r="H43" s="263"/>
      <c r="I43" s="263"/>
      <c r="J43" s="264"/>
      <c r="K43" s="27"/>
    </row>
    <row r="44" spans="1:11" ht="18.75" customHeight="1" x14ac:dyDescent="0.15">
      <c r="A44" s="33"/>
      <c r="B44" s="262"/>
      <c r="C44" s="263"/>
      <c r="D44" s="263"/>
      <c r="E44" s="263"/>
      <c r="F44" s="263"/>
      <c r="G44" s="263"/>
      <c r="H44" s="263"/>
      <c r="I44" s="263"/>
      <c r="J44" s="264"/>
    </row>
    <row r="45" spans="1:11" ht="18.75" customHeight="1" x14ac:dyDescent="0.15">
      <c r="A45" s="33"/>
      <c r="B45" s="265"/>
      <c r="C45" s="266"/>
      <c r="D45" s="266"/>
      <c r="E45" s="266"/>
      <c r="F45" s="266"/>
      <c r="G45" s="266"/>
      <c r="H45" s="266"/>
      <c r="I45" s="266"/>
      <c r="J45" s="267"/>
    </row>
    <row r="46" spans="1:11" s="4" customFormat="1" ht="18.75" customHeight="1" x14ac:dyDescent="0.15">
      <c r="A46" s="94" t="s">
        <v>14</v>
      </c>
      <c r="B46" s="1" t="s">
        <v>148</v>
      </c>
      <c r="C46" s="1"/>
      <c r="D46" s="1"/>
      <c r="E46" s="1"/>
      <c r="F46" s="1"/>
      <c r="G46" s="1"/>
      <c r="H46" s="1"/>
      <c r="I46" s="94"/>
      <c r="J46" s="94"/>
      <c r="K46" s="27"/>
    </row>
    <row r="47" spans="1:11" ht="18.75" customHeight="1" x14ac:dyDescent="0.15">
      <c r="A47" s="33"/>
      <c r="B47" s="269" t="s">
        <v>149</v>
      </c>
      <c r="C47" s="270"/>
      <c r="D47" s="270"/>
      <c r="E47" s="270"/>
      <c r="F47" s="270"/>
      <c r="G47" s="270"/>
      <c r="H47" s="270"/>
      <c r="I47" s="270"/>
      <c r="J47" s="279"/>
      <c r="K47" s="27" t="str">
        <f>IF(B47="","入力してください","")</f>
        <v/>
      </c>
    </row>
    <row r="48" spans="1:11" ht="18.75" customHeight="1" x14ac:dyDescent="0.15">
      <c r="A48" s="33"/>
      <c r="B48" s="262"/>
      <c r="C48" s="263"/>
      <c r="D48" s="263"/>
      <c r="E48" s="263"/>
      <c r="F48" s="263"/>
      <c r="G48" s="263"/>
      <c r="H48" s="263"/>
      <c r="I48" s="263"/>
      <c r="J48" s="264"/>
    </row>
    <row r="49" spans="1:10" ht="18.75" customHeight="1" x14ac:dyDescent="0.15">
      <c r="A49" s="33"/>
      <c r="B49" s="262"/>
      <c r="C49" s="263"/>
      <c r="D49" s="263"/>
      <c r="E49" s="263"/>
      <c r="F49" s="263"/>
      <c r="G49" s="263"/>
      <c r="H49" s="263"/>
      <c r="I49" s="263"/>
      <c r="J49" s="264"/>
    </row>
    <row r="50" spans="1:10" ht="18.75" customHeight="1" x14ac:dyDescent="0.15">
      <c r="A50" s="33"/>
      <c r="B50" s="262"/>
      <c r="C50" s="263"/>
      <c r="D50" s="263"/>
      <c r="E50" s="263"/>
      <c r="F50" s="263"/>
      <c r="G50" s="263"/>
      <c r="H50" s="263"/>
      <c r="I50" s="263"/>
      <c r="J50" s="264"/>
    </row>
    <row r="51" spans="1:10" ht="18.75" customHeight="1" x14ac:dyDescent="0.15">
      <c r="A51" s="33"/>
      <c r="B51" s="262"/>
      <c r="C51" s="263"/>
      <c r="D51" s="263"/>
      <c r="E51" s="263"/>
      <c r="F51" s="263"/>
      <c r="G51" s="263"/>
      <c r="H51" s="263"/>
      <c r="I51" s="263"/>
      <c r="J51" s="264"/>
    </row>
    <row r="52" spans="1:10" ht="18.75" customHeight="1" x14ac:dyDescent="0.15">
      <c r="A52" s="33"/>
      <c r="B52" s="262"/>
      <c r="C52" s="263"/>
      <c r="D52" s="263"/>
      <c r="E52" s="263"/>
      <c r="F52" s="263"/>
      <c r="G52" s="263"/>
      <c r="H52" s="263"/>
      <c r="I52" s="263"/>
      <c r="J52" s="264"/>
    </row>
    <row r="53" spans="1:10" ht="18.75" customHeight="1" x14ac:dyDescent="0.15">
      <c r="A53" s="33"/>
      <c r="B53" s="262"/>
      <c r="C53" s="263"/>
      <c r="D53" s="263"/>
      <c r="E53" s="263"/>
      <c r="F53" s="263"/>
      <c r="G53" s="263"/>
      <c r="H53" s="263"/>
      <c r="I53" s="263"/>
      <c r="J53" s="264"/>
    </row>
    <row r="54" spans="1:10" ht="18.75" customHeight="1" x14ac:dyDescent="0.15">
      <c r="A54" s="33"/>
      <c r="B54" s="262"/>
      <c r="C54" s="263"/>
      <c r="D54" s="263"/>
      <c r="E54" s="263"/>
      <c r="F54" s="263"/>
      <c r="G54" s="263"/>
      <c r="H54" s="263"/>
      <c r="I54" s="263"/>
      <c r="J54" s="264"/>
    </row>
    <row r="55" spans="1:10" ht="18.75" customHeight="1" x14ac:dyDescent="0.15">
      <c r="A55" s="33"/>
      <c r="B55" s="262"/>
      <c r="C55" s="263"/>
      <c r="D55" s="263"/>
      <c r="E55" s="263"/>
      <c r="F55" s="263"/>
      <c r="G55" s="263"/>
      <c r="H55" s="263"/>
      <c r="I55" s="263"/>
      <c r="J55" s="264"/>
    </row>
    <row r="56" spans="1:10" ht="18.75" customHeight="1" x14ac:dyDescent="0.15">
      <c r="A56" s="33"/>
      <c r="B56" s="262"/>
      <c r="C56" s="263"/>
      <c r="D56" s="263"/>
      <c r="E56" s="263"/>
      <c r="F56" s="263"/>
      <c r="G56" s="263"/>
      <c r="H56" s="263"/>
      <c r="I56" s="263"/>
      <c r="J56" s="264"/>
    </row>
    <row r="57" spans="1:10" ht="18.75" customHeight="1" x14ac:dyDescent="0.15">
      <c r="A57" s="33"/>
      <c r="B57" s="262"/>
      <c r="C57" s="263"/>
      <c r="D57" s="263"/>
      <c r="E57" s="263"/>
      <c r="F57" s="263"/>
      <c r="G57" s="263"/>
      <c r="H57" s="263"/>
      <c r="I57" s="263"/>
      <c r="J57" s="264"/>
    </row>
    <row r="58" spans="1:10" ht="18.75" customHeight="1" x14ac:dyDescent="0.15">
      <c r="A58" s="33"/>
      <c r="B58" s="262"/>
      <c r="C58" s="263"/>
      <c r="D58" s="263"/>
      <c r="E58" s="263"/>
      <c r="F58" s="263"/>
      <c r="G58" s="263"/>
      <c r="H58" s="263"/>
      <c r="I58" s="263"/>
      <c r="J58" s="264"/>
    </row>
    <row r="59" spans="1:10" ht="18.75" customHeight="1" x14ac:dyDescent="0.15">
      <c r="A59" s="33"/>
      <c r="B59" s="262"/>
      <c r="C59" s="263"/>
      <c r="D59" s="263"/>
      <c r="E59" s="263"/>
      <c r="F59" s="263"/>
      <c r="G59" s="263"/>
      <c r="H59" s="263"/>
      <c r="I59" s="263"/>
      <c r="J59" s="264"/>
    </row>
    <row r="60" spans="1:10" ht="18.75" customHeight="1" x14ac:dyDescent="0.15">
      <c r="A60" s="33"/>
      <c r="B60" s="262"/>
      <c r="C60" s="263"/>
      <c r="D60" s="263"/>
      <c r="E60" s="263"/>
      <c r="F60" s="263"/>
      <c r="G60" s="263"/>
      <c r="H60" s="263"/>
      <c r="I60" s="263"/>
      <c r="J60" s="264"/>
    </row>
    <row r="61" spans="1:10" ht="18.75" customHeight="1" x14ac:dyDescent="0.15">
      <c r="A61" s="33"/>
      <c r="B61" s="262"/>
      <c r="C61" s="263"/>
      <c r="D61" s="263"/>
      <c r="E61" s="263"/>
      <c r="F61" s="263"/>
      <c r="G61" s="263"/>
      <c r="H61" s="263"/>
      <c r="I61" s="263"/>
      <c r="J61" s="264"/>
    </row>
    <row r="62" spans="1:10" ht="18.75" customHeight="1" x14ac:dyDescent="0.15">
      <c r="A62" s="33"/>
      <c r="B62" s="262"/>
      <c r="C62" s="263"/>
      <c r="D62" s="263"/>
      <c r="E62" s="263"/>
      <c r="F62" s="263"/>
      <c r="G62" s="263"/>
      <c r="H62" s="263"/>
      <c r="I62" s="263"/>
      <c r="J62" s="264"/>
    </row>
    <row r="63" spans="1:10" ht="18.75" customHeight="1" x14ac:dyDescent="0.15">
      <c r="A63" s="33"/>
      <c r="B63" s="262"/>
      <c r="C63" s="263"/>
      <c r="D63" s="263"/>
      <c r="E63" s="263"/>
      <c r="F63" s="263"/>
      <c r="G63" s="263"/>
      <c r="H63" s="263"/>
      <c r="I63" s="263"/>
      <c r="J63" s="264"/>
    </row>
    <row r="64" spans="1:10" ht="18.75" customHeight="1" x14ac:dyDescent="0.15">
      <c r="A64" s="33"/>
      <c r="B64" s="262"/>
      <c r="C64" s="263"/>
      <c r="D64" s="263"/>
      <c r="E64" s="263"/>
      <c r="F64" s="263"/>
      <c r="G64" s="263"/>
      <c r="H64" s="263"/>
      <c r="I64" s="263"/>
      <c r="J64" s="264"/>
    </row>
    <row r="65" spans="1:11" ht="18.75" customHeight="1" x14ac:dyDescent="0.15">
      <c r="A65" s="33"/>
      <c r="B65" s="262"/>
      <c r="C65" s="263"/>
      <c r="D65" s="263"/>
      <c r="E65" s="263"/>
      <c r="F65" s="263"/>
      <c r="G65" s="263"/>
      <c r="H65" s="263"/>
      <c r="I65" s="263"/>
      <c r="J65" s="264"/>
    </row>
    <row r="66" spans="1:11" ht="18.75" customHeight="1" x14ac:dyDescent="0.15">
      <c r="A66" s="33"/>
      <c r="B66" s="262"/>
      <c r="C66" s="263"/>
      <c r="D66" s="263"/>
      <c r="E66" s="263"/>
      <c r="F66" s="263"/>
      <c r="G66" s="263"/>
      <c r="H66" s="263"/>
      <c r="I66" s="263"/>
      <c r="J66" s="264"/>
    </row>
    <row r="67" spans="1:11" ht="18.75" customHeight="1" x14ac:dyDescent="0.15">
      <c r="A67" s="33"/>
      <c r="B67" s="265"/>
      <c r="C67" s="266"/>
      <c r="D67" s="266"/>
      <c r="E67" s="266"/>
      <c r="F67" s="266"/>
      <c r="G67" s="266"/>
      <c r="H67" s="266"/>
      <c r="I67" s="266"/>
      <c r="J67" s="267"/>
    </row>
    <row r="68" spans="1:11" ht="7.5" customHeight="1" x14ac:dyDescent="0.15">
      <c r="A68" s="33"/>
      <c r="B68" s="33"/>
      <c r="C68" s="33"/>
      <c r="D68" s="33"/>
      <c r="E68" s="33"/>
      <c r="F68" s="33"/>
      <c r="G68" s="33"/>
      <c r="H68" s="33"/>
      <c r="I68" s="33"/>
      <c r="J68" s="33"/>
    </row>
    <row r="69" spans="1:11" s="4" customFormat="1" ht="18.75" customHeight="1" x14ac:dyDescent="0.15">
      <c r="A69" s="1" t="s">
        <v>17</v>
      </c>
      <c r="B69" s="1" t="s">
        <v>150</v>
      </c>
      <c r="C69" s="1"/>
      <c r="D69" s="1"/>
      <c r="E69" s="1"/>
      <c r="F69" s="1"/>
      <c r="G69" s="1"/>
      <c r="H69" s="1"/>
      <c r="I69" s="1"/>
      <c r="J69" s="1"/>
      <c r="K69" s="27"/>
    </row>
    <row r="70" spans="1:11" s="4" customFormat="1" ht="18.75" customHeight="1" x14ac:dyDescent="0.15">
      <c r="A70" s="1"/>
      <c r="B70" s="269" t="s">
        <v>151</v>
      </c>
      <c r="C70" s="270"/>
      <c r="D70" s="270"/>
      <c r="E70" s="270"/>
      <c r="F70" s="270"/>
      <c r="G70" s="270"/>
      <c r="H70" s="270"/>
      <c r="I70" s="271"/>
      <c r="J70" s="272"/>
      <c r="K70" s="27" t="str">
        <f>IF(B70="","入力してください","")</f>
        <v/>
      </c>
    </row>
    <row r="71" spans="1:11" s="4" customFormat="1" ht="18.75" customHeight="1" x14ac:dyDescent="0.15">
      <c r="A71" s="1"/>
      <c r="B71" s="273"/>
      <c r="C71" s="274"/>
      <c r="D71" s="274"/>
      <c r="E71" s="274"/>
      <c r="F71" s="274"/>
      <c r="G71" s="274"/>
      <c r="H71" s="274"/>
      <c r="I71" s="274"/>
      <c r="J71" s="275"/>
      <c r="K71" s="27"/>
    </row>
    <row r="72" spans="1:11" s="4" customFormat="1" ht="18.75" customHeight="1" x14ac:dyDescent="0.15">
      <c r="A72" s="1"/>
      <c r="B72" s="273"/>
      <c r="C72" s="274"/>
      <c r="D72" s="274"/>
      <c r="E72" s="274"/>
      <c r="F72" s="274"/>
      <c r="G72" s="274"/>
      <c r="H72" s="274"/>
      <c r="I72" s="274"/>
      <c r="J72" s="275"/>
      <c r="K72" s="27"/>
    </row>
    <row r="73" spans="1:11" s="4" customFormat="1" ht="18.75" customHeight="1" x14ac:dyDescent="0.15">
      <c r="A73" s="1"/>
      <c r="B73" s="273"/>
      <c r="C73" s="274"/>
      <c r="D73" s="274"/>
      <c r="E73" s="274"/>
      <c r="F73" s="274"/>
      <c r="G73" s="274"/>
      <c r="H73" s="274"/>
      <c r="I73" s="274"/>
      <c r="J73" s="275"/>
      <c r="K73" s="27"/>
    </row>
    <row r="74" spans="1:11" s="4" customFormat="1" ht="18.75" customHeight="1" x14ac:dyDescent="0.15">
      <c r="A74" s="1"/>
      <c r="B74" s="273"/>
      <c r="C74" s="274"/>
      <c r="D74" s="274"/>
      <c r="E74" s="274"/>
      <c r="F74" s="274"/>
      <c r="G74" s="274"/>
      <c r="H74" s="274"/>
      <c r="I74" s="274"/>
      <c r="J74" s="275"/>
      <c r="K74" s="27"/>
    </row>
    <row r="75" spans="1:11" s="4" customFormat="1" ht="18.75" customHeight="1" x14ac:dyDescent="0.15">
      <c r="A75" s="1"/>
      <c r="B75" s="273"/>
      <c r="C75" s="274"/>
      <c r="D75" s="274"/>
      <c r="E75" s="274"/>
      <c r="F75" s="274"/>
      <c r="G75" s="274"/>
      <c r="H75" s="274"/>
      <c r="I75" s="274"/>
      <c r="J75" s="275"/>
      <c r="K75" s="27"/>
    </row>
    <row r="76" spans="1:11" s="4" customFormat="1" ht="18.75" customHeight="1" x14ac:dyDescent="0.15">
      <c r="A76" s="1"/>
      <c r="B76" s="273"/>
      <c r="C76" s="274"/>
      <c r="D76" s="274"/>
      <c r="E76" s="274"/>
      <c r="F76" s="274"/>
      <c r="G76" s="274"/>
      <c r="H76" s="274"/>
      <c r="I76" s="274"/>
      <c r="J76" s="275"/>
      <c r="K76" s="27"/>
    </row>
    <row r="77" spans="1:11" s="4" customFormat="1" ht="18.75" customHeight="1" x14ac:dyDescent="0.15">
      <c r="A77" s="1"/>
      <c r="B77" s="273"/>
      <c r="C77" s="274"/>
      <c r="D77" s="274"/>
      <c r="E77" s="274"/>
      <c r="F77" s="274"/>
      <c r="G77" s="274"/>
      <c r="H77" s="274"/>
      <c r="I77" s="274"/>
      <c r="J77" s="275"/>
      <c r="K77" s="27"/>
    </row>
    <row r="78" spans="1:11" s="4" customFormat="1" ht="18.75" customHeight="1" x14ac:dyDescent="0.15">
      <c r="A78" s="1"/>
      <c r="B78" s="273"/>
      <c r="C78" s="274"/>
      <c r="D78" s="274"/>
      <c r="E78" s="274"/>
      <c r="F78" s="274"/>
      <c r="G78" s="274"/>
      <c r="H78" s="274"/>
      <c r="I78" s="274"/>
      <c r="J78" s="275"/>
      <c r="K78" s="27"/>
    </row>
    <row r="79" spans="1:11" s="4" customFormat="1" ht="18.75" customHeight="1" x14ac:dyDescent="0.15">
      <c r="A79" s="1"/>
      <c r="B79" s="273"/>
      <c r="C79" s="274"/>
      <c r="D79" s="274"/>
      <c r="E79" s="274"/>
      <c r="F79" s="274"/>
      <c r="G79" s="274"/>
      <c r="H79" s="274"/>
      <c r="I79" s="274"/>
      <c r="J79" s="275"/>
      <c r="K79" s="27"/>
    </row>
    <row r="80" spans="1:11" s="4" customFormat="1" ht="18.75" customHeight="1" x14ac:dyDescent="0.15">
      <c r="A80" s="1"/>
      <c r="B80" s="273"/>
      <c r="C80" s="274"/>
      <c r="D80" s="274"/>
      <c r="E80" s="274"/>
      <c r="F80" s="274"/>
      <c r="G80" s="274"/>
      <c r="H80" s="274"/>
      <c r="I80" s="274"/>
      <c r="J80" s="275"/>
      <c r="K80" s="27"/>
    </row>
    <row r="81" spans="1:11" s="4" customFormat="1" ht="18.75" customHeight="1" x14ac:dyDescent="0.15">
      <c r="A81" s="1"/>
      <c r="B81" s="273"/>
      <c r="C81" s="274"/>
      <c r="D81" s="274"/>
      <c r="E81" s="274"/>
      <c r="F81" s="274"/>
      <c r="G81" s="274"/>
      <c r="H81" s="274"/>
      <c r="I81" s="274"/>
      <c r="J81" s="275"/>
      <c r="K81" s="27"/>
    </row>
    <row r="82" spans="1:11" s="4" customFormat="1" ht="18.75" customHeight="1" x14ac:dyDescent="0.15">
      <c r="A82" s="1"/>
      <c r="B82" s="273"/>
      <c r="C82" s="274"/>
      <c r="D82" s="274"/>
      <c r="E82" s="274"/>
      <c r="F82" s="274"/>
      <c r="G82" s="274"/>
      <c r="H82" s="274"/>
      <c r="I82" s="274"/>
      <c r="J82" s="275"/>
      <c r="K82" s="27"/>
    </row>
    <row r="83" spans="1:11" s="4" customFormat="1" ht="18.75" customHeight="1" x14ac:dyDescent="0.15">
      <c r="A83" s="1"/>
      <c r="B83" s="273"/>
      <c r="C83" s="274"/>
      <c r="D83" s="274"/>
      <c r="E83" s="274"/>
      <c r="F83" s="274"/>
      <c r="G83" s="274"/>
      <c r="H83" s="274"/>
      <c r="I83" s="274"/>
      <c r="J83" s="275"/>
      <c r="K83" s="27"/>
    </row>
    <row r="84" spans="1:11" s="4" customFormat="1" ht="18.75" customHeight="1" x14ac:dyDescent="0.15">
      <c r="A84" s="1"/>
      <c r="B84" s="273"/>
      <c r="C84" s="274"/>
      <c r="D84" s="274"/>
      <c r="E84" s="274"/>
      <c r="F84" s="274"/>
      <c r="G84" s="274"/>
      <c r="H84" s="274"/>
      <c r="I84" s="274"/>
      <c r="J84" s="275"/>
      <c r="K84" s="27"/>
    </row>
    <row r="85" spans="1:11" s="4" customFormat="1" ht="18.75" customHeight="1" x14ac:dyDescent="0.15">
      <c r="A85" s="1"/>
      <c r="B85" s="273"/>
      <c r="C85" s="274"/>
      <c r="D85" s="274"/>
      <c r="E85" s="274"/>
      <c r="F85" s="274"/>
      <c r="G85" s="274"/>
      <c r="H85" s="274"/>
      <c r="I85" s="274"/>
      <c r="J85" s="275"/>
      <c r="K85" s="27"/>
    </row>
    <row r="86" spans="1:11" ht="18.75" customHeight="1" x14ac:dyDescent="0.15">
      <c r="A86" s="33"/>
      <c r="B86" s="273"/>
      <c r="C86" s="274"/>
      <c r="D86" s="274"/>
      <c r="E86" s="274"/>
      <c r="F86" s="274"/>
      <c r="G86" s="274"/>
      <c r="H86" s="274"/>
      <c r="I86" s="274"/>
      <c r="J86" s="275"/>
    </row>
    <row r="87" spans="1:11" ht="18.75" customHeight="1" x14ac:dyDescent="0.15">
      <c r="A87" s="33"/>
      <c r="B87" s="276"/>
      <c r="C87" s="277"/>
      <c r="D87" s="277"/>
      <c r="E87" s="277"/>
      <c r="F87" s="277"/>
      <c r="G87" s="277"/>
      <c r="H87" s="277"/>
      <c r="I87" s="277"/>
      <c r="J87" s="278"/>
    </row>
    <row r="88" spans="1:11" ht="7.5" customHeight="1" x14ac:dyDescent="0.15">
      <c r="A88" s="33"/>
      <c r="B88" s="33"/>
      <c r="C88" s="33"/>
      <c r="D88" s="33"/>
      <c r="E88" s="33"/>
      <c r="F88" s="33"/>
      <c r="G88" s="33"/>
      <c r="H88" s="33"/>
      <c r="I88" s="33"/>
      <c r="J88" s="33"/>
    </row>
    <row r="89" spans="1:11" s="4" customFormat="1" ht="18.75" customHeight="1" x14ac:dyDescent="0.15">
      <c r="A89" s="1" t="s">
        <v>152</v>
      </c>
      <c r="B89" s="1" t="s">
        <v>153</v>
      </c>
      <c r="C89" s="1"/>
      <c r="D89" s="1"/>
      <c r="E89" s="1"/>
      <c r="F89" s="1"/>
      <c r="G89" s="1"/>
      <c r="H89" s="1"/>
      <c r="I89" s="1"/>
      <c r="J89" s="1"/>
      <c r="K89" s="27"/>
    </row>
    <row r="90" spans="1:11" s="4" customFormat="1" ht="18.75" customHeight="1" x14ac:dyDescent="0.15">
      <c r="A90" s="1"/>
      <c r="B90" s="269" t="s">
        <v>154</v>
      </c>
      <c r="C90" s="270"/>
      <c r="D90" s="270"/>
      <c r="E90" s="270"/>
      <c r="F90" s="270"/>
      <c r="G90" s="270"/>
      <c r="H90" s="270"/>
      <c r="I90" s="271"/>
      <c r="J90" s="272"/>
      <c r="K90" s="27"/>
    </row>
    <row r="91" spans="1:11" s="4" customFormat="1" ht="18.75" customHeight="1" x14ac:dyDescent="0.15">
      <c r="A91" s="1"/>
      <c r="B91" s="273"/>
      <c r="C91" s="274"/>
      <c r="D91" s="274"/>
      <c r="E91" s="274"/>
      <c r="F91" s="274"/>
      <c r="G91" s="274"/>
      <c r="H91" s="274"/>
      <c r="I91" s="274"/>
      <c r="J91" s="275"/>
      <c r="K91" s="27"/>
    </row>
    <row r="92" spans="1:11" s="4" customFormat="1" ht="18.75" customHeight="1" x14ac:dyDescent="0.15">
      <c r="A92" s="1"/>
      <c r="B92" s="273"/>
      <c r="C92" s="274"/>
      <c r="D92" s="274"/>
      <c r="E92" s="274"/>
      <c r="F92" s="274"/>
      <c r="G92" s="274"/>
      <c r="H92" s="274"/>
      <c r="I92" s="274"/>
      <c r="J92" s="275"/>
      <c r="K92" s="27" t="str">
        <f>IF(B90="","入力してください","")</f>
        <v/>
      </c>
    </row>
    <row r="93" spans="1:11" s="4" customFormat="1" ht="18.75" customHeight="1" x14ac:dyDescent="0.15">
      <c r="A93" s="1"/>
      <c r="B93" s="273"/>
      <c r="C93" s="274"/>
      <c r="D93" s="274"/>
      <c r="E93" s="274"/>
      <c r="F93" s="274"/>
      <c r="G93" s="274"/>
      <c r="H93" s="274"/>
      <c r="I93" s="274"/>
      <c r="J93" s="275"/>
      <c r="K93" s="27"/>
    </row>
    <row r="94" spans="1:11" s="4" customFormat="1" ht="18.75" customHeight="1" x14ac:dyDescent="0.15">
      <c r="A94" s="1"/>
      <c r="B94" s="273"/>
      <c r="C94" s="274"/>
      <c r="D94" s="274"/>
      <c r="E94" s="274"/>
      <c r="F94" s="274"/>
      <c r="G94" s="274"/>
      <c r="H94" s="274"/>
      <c r="I94" s="274"/>
      <c r="J94" s="275"/>
      <c r="K94" s="27"/>
    </row>
    <row r="95" spans="1:11" s="4" customFormat="1" ht="18.75" customHeight="1" x14ac:dyDescent="0.15">
      <c r="A95" s="1"/>
      <c r="B95" s="273"/>
      <c r="C95" s="274"/>
      <c r="D95" s="274"/>
      <c r="E95" s="274"/>
      <c r="F95" s="274"/>
      <c r="G95" s="274"/>
      <c r="H95" s="274"/>
      <c r="I95" s="274"/>
      <c r="J95" s="275"/>
      <c r="K95" s="27"/>
    </row>
    <row r="96" spans="1:11" s="4" customFormat="1" ht="18.75" customHeight="1" x14ac:dyDescent="0.15">
      <c r="A96" s="1"/>
      <c r="B96" s="273"/>
      <c r="C96" s="274"/>
      <c r="D96" s="274"/>
      <c r="E96" s="274"/>
      <c r="F96" s="274"/>
      <c r="G96" s="274"/>
      <c r="H96" s="274"/>
      <c r="I96" s="274"/>
      <c r="J96" s="275"/>
      <c r="K96" s="27"/>
    </row>
    <row r="97" spans="1:11" s="4" customFormat="1" ht="18.75" customHeight="1" x14ac:dyDescent="0.15">
      <c r="A97" s="1"/>
      <c r="B97" s="273"/>
      <c r="C97" s="274"/>
      <c r="D97" s="274"/>
      <c r="E97" s="274"/>
      <c r="F97" s="274"/>
      <c r="G97" s="274"/>
      <c r="H97" s="274"/>
      <c r="I97" s="274"/>
      <c r="J97" s="275"/>
      <c r="K97" s="27"/>
    </row>
    <row r="98" spans="1:11" s="4" customFormat="1" ht="18.75" customHeight="1" x14ac:dyDescent="0.15">
      <c r="A98" s="1"/>
      <c r="B98" s="273"/>
      <c r="C98" s="274"/>
      <c r="D98" s="274"/>
      <c r="E98" s="274"/>
      <c r="F98" s="274"/>
      <c r="G98" s="274"/>
      <c r="H98" s="274"/>
      <c r="I98" s="274"/>
      <c r="J98" s="275"/>
      <c r="K98" s="27"/>
    </row>
    <row r="99" spans="1:11" s="4" customFormat="1" ht="18.75" customHeight="1" x14ac:dyDescent="0.15">
      <c r="A99" s="1"/>
      <c r="B99" s="273"/>
      <c r="C99" s="274"/>
      <c r="D99" s="274"/>
      <c r="E99" s="274"/>
      <c r="F99" s="274"/>
      <c r="G99" s="274"/>
      <c r="H99" s="274"/>
      <c r="I99" s="274"/>
      <c r="J99" s="275"/>
      <c r="K99" s="27"/>
    </row>
    <row r="100" spans="1:11" s="4" customFormat="1" ht="18.75" customHeight="1" x14ac:dyDescent="0.15">
      <c r="A100" s="1"/>
      <c r="B100" s="273"/>
      <c r="C100" s="274"/>
      <c r="D100" s="274"/>
      <c r="E100" s="274"/>
      <c r="F100" s="274"/>
      <c r="G100" s="274"/>
      <c r="H100" s="274"/>
      <c r="I100" s="274"/>
      <c r="J100" s="275"/>
      <c r="K100" s="27"/>
    </row>
    <row r="101" spans="1:11" s="4" customFormat="1" ht="18.75" customHeight="1" x14ac:dyDescent="0.15">
      <c r="A101" s="1"/>
      <c r="B101" s="273"/>
      <c r="C101" s="274"/>
      <c r="D101" s="274"/>
      <c r="E101" s="274"/>
      <c r="F101" s="274"/>
      <c r="G101" s="274"/>
      <c r="H101" s="274"/>
      <c r="I101" s="274"/>
      <c r="J101" s="275"/>
      <c r="K101" s="27"/>
    </row>
    <row r="102" spans="1:11" s="4" customFormat="1" ht="18.75" customHeight="1" x14ac:dyDescent="0.15">
      <c r="A102" s="1"/>
      <c r="B102" s="273"/>
      <c r="C102" s="274"/>
      <c r="D102" s="274"/>
      <c r="E102" s="274"/>
      <c r="F102" s="274"/>
      <c r="G102" s="274"/>
      <c r="H102" s="274"/>
      <c r="I102" s="274"/>
      <c r="J102" s="275"/>
      <c r="K102" s="27"/>
    </row>
    <row r="103" spans="1:11" s="4" customFormat="1" ht="18.75" customHeight="1" x14ac:dyDescent="0.15">
      <c r="A103" s="1"/>
      <c r="B103" s="273"/>
      <c r="C103" s="274"/>
      <c r="D103" s="274"/>
      <c r="E103" s="274"/>
      <c r="F103" s="274"/>
      <c r="G103" s="274"/>
      <c r="H103" s="274"/>
      <c r="I103" s="274"/>
      <c r="J103" s="275"/>
      <c r="K103" s="27"/>
    </row>
    <row r="104" spans="1:11" s="4" customFormat="1" ht="18.75" customHeight="1" x14ac:dyDescent="0.15">
      <c r="A104" s="1"/>
      <c r="B104" s="273"/>
      <c r="C104" s="274"/>
      <c r="D104" s="274"/>
      <c r="E104" s="274"/>
      <c r="F104" s="274"/>
      <c r="G104" s="274"/>
      <c r="H104" s="274"/>
      <c r="I104" s="274"/>
      <c r="J104" s="275"/>
      <c r="K104" s="27"/>
    </row>
    <row r="105" spans="1:11" s="4" customFormat="1" ht="18.75" customHeight="1" x14ac:dyDescent="0.15">
      <c r="A105" s="1"/>
      <c r="B105" s="273"/>
      <c r="C105" s="274"/>
      <c r="D105" s="274"/>
      <c r="E105" s="274"/>
      <c r="F105" s="274"/>
      <c r="G105" s="274"/>
      <c r="H105" s="274"/>
      <c r="I105" s="274"/>
      <c r="J105" s="275"/>
      <c r="K105" s="27"/>
    </row>
    <row r="106" spans="1:11" s="4" customFormat="1" ht="18.75" customHeight="1" x14ac:dyDescent="0.15">
      <c r="A106" s="1"/>
      <c r="B106" s="273"/>
      <c r="C106" s="274"/>
      <c r="D106" s="274"/>
      <c r="E106" s="274"/>
      <c r="F106" s="274"/>
      <c r="G106" s="274"/>
      <c r="H106" s="274"/>
      <c r="I106" s="274"/>
      <c r="J106" s="275"/>
      <c r="K106" s="27"/>
    </row>
    <row r="107" spans="1:11" s="4" customFormat="1" ht="18.75" customHeight="1" x14ac:dyDescent="0.15">
      <c r="A107" s="1"/>
      <c r="B107" s="273"/>
      <c r="C107" s="274"/>
      <c r="D107" s="274"/>
      <c r="E107" s="274"/>
      <c r="F107" s="274"/>
      <c r="G107" s="274"/>
      <c r="H107" s="274"/>
      <c r="I107" s="274"/>
      <c r="J107" s="275"/>
      <c r="K107" s="27"/>
    </row>
    <row r="108" spans="1:11" ht="18.75" customHeight="1" x14ac:dyDescent="0.15">
      <c r="A108" s="33"/>
      <c r="B108" s="273"/>
      <c r="C108" s="274"/>
      <c r="D108" s="274"/>
      <c r="E108" s="274"/>
      <c r="F108" s="274"/>
      <c r="G108" s="274"/>
      <c r="H108" s="274"/>
      <c r="I108" s="274"/>
      <c r="J108" s="275"/>
    </row>
    <row r="109" spans="1:11" ht="18.75" customHeight="1" x14ac:dyDescent="0.15">
      <c r="A109" s="33"/>
      <c r="B109" s="276"/>
      <c r="C109" s="277"/>
      <c r="D109" s="277"/>
      <c r="E109" s="277"/>
      <c r="F109" s="277"/>
      <c r="G109" s="277"/>
      <c r="H109" s="277"/>
      <c r="I109" s="277"/>
      <c r="J109" s="278"/>
    </row>
    <row r="110" spans="1:11" ht="7.5" customHeight="1" x14ac:dyDescent="0.15">
      <c r="A110" s="33"/>
      <c r="B110" s="33"/>
      <c r="C110" s="33"/>
      <c r="D110" s="33"/>
      <c r="E110" s="33"/>
      <c r="F110" s="33"/>
      <c r="G110" s="33"/>
      <c r="H110" s="33"/>
      <c r="I110" s="33"/>
      <c r="J110" s="33"/>
    </row>
    <row r="111" spans="1:11" s="4" customFormat="1" ht="18.75" customHeight="1" x14ac:dyDescent="0.15">
      <c r="A111" s="1" t="s">
        <v>23</v>
      </c>
      <c r="B111" s="280" t="s">
        <v>155</v>
      </c>
      <c r="C111" s="280"/>
      <c r="D111" s="280"/>
      <c r="E111" s="280"/>
      <c r="F111" s="280"/>
      <c r="G111" s="280"/>
      <c r="H111" s="280"/>
      <c r="I111" s="280"/>
      <c r="J111" s="280"/>
      <c r="K111" s="27"/>
    </row>
    <row r="112" spans="1:11" ht="18.75" customHeight="1" x14ac:dyDescent="0.15">
      <c r="A112" s="33"/>
      <c r="B112" s="269" t="s">
        <v>156</v>
      </c>
      <c r="C112" s="270"/>
      <c r="D112" s="270"/>
      <c r="E112" s="270"/>
      <c r="F112" s="270"/>
      <c r="G112" s="270"/>
      <c r="H112" s="270"/>
      <c r="I112" s="271"/>
      <c r="J112" s="272"/>
    </row>
    <row r="113" spans="1:11" ht="18.75" customHeight="1" x14ac:dyDescent="0.15">
      <c r="A113" s="33"/>
      <c r="B113" s="273"/>
      <c r="C113" s="274"/>
      <c r="D113" s="274"/>
      <c r="E113" s="274"/>
      <c r="F113" s="274"/>
      <c r="G113" s="274"/>
      <c r="H113" s="274"/>
      <c r="I113" s="274"/>
      <c r="J113" s="275"/>
    </row>
    <row r="114" spans="1:11" ht="18.75" customHeight="1" x14ac:dyDescent="0.15">
      <c r="A114" s="33"/>
      <c r="B114" s="273"/>
      <c r="C114" s="274"/>
      <c r="D114" s="274"/>
      <c r="E114" s="274"/>
      <c r="F114" s="274"/>
      <c r="G114" s="274"/>
      <c r="H114" s="274"/>
      <c r="I114" s="274"/>
      <c r="J114" s="275"/>
      <c r="K114" s="27" t="str">
        <f>IF(B112="","入力してください","")</f>
        <v/>
      </c>
    </row>
    <row r="115" spans="1:11" ht="18.75" customHeight="1" x14ac:dyDescent="0.15">
      <c r="A115" s="33"/>
      <c r="B115" s="273"/>
      <c r="C115" s="274"/>
      <c r="D115" s="274"/>
      <c r="E115" s="274"/>
      <c r="F115" s="274"/>
      <c r="G115" s="274"/>
      <c r="H115" s="274"/>
      <c r="I115" s="274"/>
      <c r="J115" s="275"/>
    </row>
    <row r="116" spans="1:11" ht="18.75" customHeight="1" x14ac:dyDescent="0.15">
      <c r="A116" s="33"/>
      <c r="B116" s="273"/>
      <c r="C116" s="274"/>
      <c r="D116" s="274"/>
      <c r="E116" s="274"/>
      <c r="F116" s="274"/>
      <c r="G116" s="274"/>
      <c r="H116" s="274"/>
      <c r="I116" s="274"/>
      <c r="J116" s="275"/>
    </row>
    <row r="117" spans="1:11" ht="18.75" customHeight="1" x14ac:dyDescent="0.15">
      <c r="A117" s="33"/>
      <c r="B117" s="273"/>
      <c r="C117" s="274"/>
      <c r="D117" s="274"/>
      <c r="E117" s="274"/>
      <c r="F117" s="274"/>
      <c r="G117" s="274"/>
      <c r="H117" s="274"/>
      <c r="I117" s="274"/>
      <c r="J117" s="275"/>
    </row>
    <row r="118" spans="1:11" ht="18.75" customHeight="1" x14ac:dyDescent="0.15">
      <c r="A118" s="33"/>
      <c r="B118" s="273"/>
      <c r="C118" s="274"/>
      <c r="D118" s="274"/>
      <c r="E118" s="274"/>
      <c r="F118" s="274"/>
      <c r="G118" s="274"/>
      <c r="H118" s="274"/>
      <c r="I118" s="274"/>
      <c r="J118" s="275"/>
    </row>
    <row r="119" spans="1:11" ht="18.75" customHeight="1" x14ac:dyDescent="0.15">
      <c r="A119" s="33"/>
      <c r="B119" s="273"/>
      <c r="C119" s="274"/>
      <c r="D119" s="274"/>
      <c r="E119" s="274"/>
      <c r="F119" s="274"/>
      <c r="G119" s="274"/>
      <c r="H119" s="274"/>
      <c r="I119" s="274"/>
      <c r="J119" s="275"/>
    </row>
    <row r="120" spans="1:11" ht="18.75" customHeight="1" x14ac:dyDescent="0.15">
      <c r="A120" s="33"/>
      <c r="B120" s="273"/>
      <c r="C120" s="274"/>
      <c r="D120" s="274"/>
      <c r="E120" s="274"/>
      <c r="F120" s="274"/>
      <c r="G120" s="274"/>
      <c r="H120" s="274"/>
      <c r="I120" s="274"/>
      <c r="J120" s="275"/>
    </row>
    <row r="121" spans="1:11" ht="18.75" customHeight="1" x14ac:dyDescent="0.15">
      <c r="A121" s="33"/>
      <c r="B121" s="273"/>
      <c r="C121" s="274"/>
      <c r="D121" s="274"/>
      <c r="E121" s="274"/>
      <c r="F121" s="274"/>
      <c r="G121" s="274"/>
      <c r="H121" s="274"/>
      <c r="I121" s="274"/>
      <c r="J121" s="275"/>
    </row>
    <row r="122" spans="1:11" ht="18.75" customHeight="1" x14ac:dyDescent="0.15">
      <c r="A122" s="33"/>
      <c r="B122" s="273"/>
      <c r="C122" s="274"/>
      <c r="D122" s="274"/>
      <c r="E122" s="274"/>
      <c r="F122" s="274"/>
      <c r="G122" s="274"/>
      <c r="H122" s="274"/>
      <c r="I122" s="274"/>
      <c r="J122" s="275"/>
    </row>
    <row r="123" spans="1:11" ht="18.75" customHeight="1" x14ac:dyDescent="0.15">
      <c r="A123" s="33"/>
      <c r="B123" s="273"/>
      <c r="C123" s="274"/>
      <c r="D123" s="274"/>
      <c r="E123" s="274"/>
      <c r="F123" s="274"/>
      <c r="G123" s="274"/>
      <c r="H123" s="274"/>
      <c r="I123" s="274"/>
      <c r="J123" s="275"/>
    </row>
    <row r="124" spans="1:11" ht="18.75" customHeight="1" x14ac:dyDescent="0.15">
      <c r="A124" s="33"/>
      <c r="B124" s="273"/>
      <c r="C124" s="274"/>
      <c r="D124" s="274"/>
      <c r="E124" s="274"/>
      <c r="F124" s="274"/>
      <c r="G124" s="274"/>
      <c r="H124" s="274"/>
      <c r="I124" s="274"/>
      <c r="J124" s="275"/>
    </row>
    <row r="125" spans="1:11" ht="18.75" customHeight="1" x14ac:dyDescent="0.15">
      <c r="A125" s="33"/>
      <c r="B125" s="273"/>
      <c r="C125" s="274"/>
      <c r="D125" s="274"/>
      <c r="E125" s="274"/>
      <c r="F125" s="274"/>
      <c r="G125" s="274"/>
      <c r="H125" s="274"/>
      <c r="I125" s="274"/>
      <c r="J125" s="275"/>
    </row>
    <row r="126" spans="1:11" ht="18.75" customHeight="1" x14ac:dyDescent="0.15">
      <c r="A126" s="33"/>
      <c r="B126" s="273"/>
      <c r="C126" s="274"/>
      <c r="D126" s="274"/>
      <c r="E126" s="274"/>
      <c r="F126" s="274"/>
      <c r="G126" s="274"/>
      <c r="H126" s="274"/>
      <c r="I126" s="274"/>
      <c r="J126" s="275"/>
    </row>
    <row r="127" spans="1:11" ht="18.75" customHeight="1" x14ac:dyDescent="0.15">
      <c r="A127" s="33"/>
      <c r="B127" s="273"/>
      <c r="C127" s="274"/>
      <c r="D127" s="274"/>
      <c r="E127" s="274"/>
      <c r="F127" s="274"/>
      <c r="G127" s="274"/>
      <c r="H127" s="274"/>
      <c r="I127" s="274"/>
      <c r="J127" s="275"/>
    </row>
    <row r="128" spans="1:11" ht="18.75" customHeight="1" x14ac:dyDescent="0.15">
      <c r="A128" s="33"/>
      <c r="B128" s="273"/>
      <c r="C128" s="274"/>
      <c r="D128" s="274"/>
      <c r="E128" s="274"/>
      <c r="F128" s="274"/>
      <c r="G128" s="274"/>
      <c r="H128" s="274"/>
      <c r="I128" s="274"/>
      <c r="J128" s="275"/>
    </row>
    <row r="129" spans="1:10" ht="18.75" customHeight="1" x14ac:dyDescent="0.15">
      <c r="A129" s="33"/>
      <c r="B129" s="273"/>
      <c r="C129" s="274"/>
      <c r="D129" s="274"/>
      <c r="E129" s="274"/>
      <c r="F129" s="274"/>
      <c r="G129" s="274"/>
      <c r="H129" s="274"/>
      <c r="I129" s="274"/>
      <c r="J129" s="275"/>
    </row>
    <row r="130" spans="1:10" ht="18.75" customHeight="1" x14ac:dyDescent="0.15">
      <c r="A130" s="33"/>
      <c r="B130" s="276"/>
      <c r="C130" s="277"/>
      <c r="D130" s="277"/>
      <c r="E130" s="277"/>
      <c r="F130" s="277"/>
      <c r="G130" s="277"/>
      <c r="H130" s="277"/>
      <c r="I130" s="277"/>
      <c r="J130" s="278"/>
    </row>
    <row r="131" spans="1:10" ht="7.5" customHeight="1" x14ac:dyDescent="0.15">
      <c r="A131" s="33"/>
      <c r="B131" s="95"/>
      <c r="C131" s="95"/>
      <c r="D131" s="95"/>
      <c r="E131" s="95"/>
      <c r="F131" s="95"/>
      <c r="G131" s="95"/>
      <c r="H131" s="95"/>
      <c r="I131" s="95"/>
      <c r="J131" s="95"/>
    </row>
    <row r="132" spans="1:10" ht="18.75" customHeight="1" x14ac:dyDescent="0.15">
      <c r="A132" s="33"/>
      <c r="B132" s="33"/>
      <c r="C132" s="33"/>
      <c r="D132" s="33"/>
      <c r="E132" s="33"/>
      <c r="F132" s="33"/>
      <c r="G132" s="33"/>
      <c r="H132" s="33"/>
      <c r="I132" s="33"/>
      <c r="J132" s="33"/>
    </row>
    <row r="133" spans="1:10" ht="18.75" customHeight="1" x14ac:dyDescent="0.15">
      <c r="A133" s="33"/>
      <c r="B133" s="33"/>
      <c r="C133" s="33"/>
      <c r="D133" s="33"/>
      <c r="E133" s="33"/>
      <c r="F133" s="33"/>
      <c r="G133" s="33"/>
      <c r="H133" s="33"/>
      <c r="I133" s="33"/>
      <c r="J133" s="33"/>
    </row>
    <row r="134" spans="1:10" ht="18.75" customHeight="1" x14ac:dyDescent="0.15">
      <c r="A134" s="33"/>
      <c r="B134" s="33"/>
      <c r="C134" s="33"/>
      <c r="D134" s="33"/>
      <c r="E134" s="33"/>
      <c r="F134" s="33"/>
      <c r="G134" s="33"/>
      <c r="H134" s="33"/>
      <c r="I134" s="33"/>
      <c r="J134" s="33"/>
    </row>
    <row r="135" spans="1:10" ht="18.75" customHeight="1" x14ac:dyDescent="0.15">
      <c r="A135" s="33"/>
      <c r="B135" s="33"/>
      <c r="C135" s="33"/>
      <c r="D135" s="33"/>
      <c r="E135" s="33"/>
      <c r="F135" s="33"/>
      <c r="G135" s="33"/>
      <c r="H135" s="33"/>
      <c r="I135" s="33"/>
      <c r="J135" s="33"/>
    </row>
    <row r="136" spans="1:10" ht="18.75" customHeight="1" x14ac:dyDescent="0.15">
      <c r="A136" s="33"/>
      <c r="B136" s="33"/>
      <c r="C136" s="33"/>
      <c r="D136" s="33"/>
      <c r="E136" s="33"/>
      <c r="F136" s="33"/>
      <c r="G136" s="33"/>
      <c r="H136" s="33"/>
      <c r="I136" s="33"/>
      <c r="J136" s="33"/>
    </row>
    <row r="137" spans="1:10" ht="18.75" customHeight="1" x14ac:dyDescent="0.15">
      <c r="A137" s="33"/>
      <c r="B137" s="33"/>
      <c r="C137" s="33"/>
      <c r="D137" s="33"/>
      <c r="E137" s="33"/>
      <c r="F137" s="33"/>
      <c r="G137" s="33"/>
      <c r="H137" s="33"/>
      <c r="I137" s="33"/>
      <c r="J137" s="33"/>
    </row>
    <row r="138" spans="1:10" ht="18.75" customHeight="1" x14ac:dyDescent="0.15">
      <c r="A138" s="33"/>
      <c r="B138" s="33"/>
      <c r="C138" s="33"/>
      <c r="D138" s="33"/>
      <c r="E138" s="33"/>
      <c r="F138" s="33"/>
      <c r="G138" s="33"/>
      <c r="H138" s="33"/>
      <c r="I138" s="33"/>
      <c r="J138" s="33"/>
    </row>
    <row r="139" spans="1:10" ht="18.75" customHeight="1" x14ac:dyDescent="0.15">
      <c r="A139" s="33"/>
      <c r="B139" s="33"/>
      <c r="C139" s="33"/>
      <c r="D139" s="33"/>
      <c r="E139" s="33"/>
      <c r="F139" s="33"/>
      <c r="G139" s="33"/>
      <c r="H139" s="33"/>
      <c r="I139" s="33"/>
      <c r="J139" s="33"/>
    </row>
    <row r="140" spans="1:10" ht="18.75" customHeight="1" x14ac:dyDescent="0.15">
      <c r="A140" s="33"/>
      <c r="B140" s="33"/>
      <c r="C140" s="33"/>
      <c r="D140" s="33"/>
      <c r="E140" s="33"/>
      <c r="F140" s="33"/>
      <c r="G140" s="33"/>
      <c r="H140" s="33"/>
      <c r="I140" s="33"/>
      <c r="J140" s="33"/>
    </row>
    <row r="141" spans="1:10" ht="18.75" customHeight="1" x14ac:dyDescent="0.15">
      <c r="A141" s="33"/>
      <c r="B141" s="33"/>
      <c r="C141" s="33"/>
      <c r="D141" s="33"/>
      <c r="E141" s="33"/>
      <c r="F141" s="33"/>
      <c r="G141" s="33"/>
      <c r="H141" s="33"/>
      <c r="I141" s="33"/>
      <c r="J141" s="33"/>
    </row>
    <row r="142" spans="1:10" ht="18.75" customHeight="1" x14ac:dyDescent="0.15">
      <c r="A142" s="33"/>
      <c r="B142" s="33"/>
      <c r="C142" s="33"/>
      <c r="D142" s="33"/>
      <c r="E142" s="33"/>
      <c r="F142" s="33"/>
      <c r="G142" s="33"/>
      <c r="H142" s="33"/>
      <c r="I142" s="33"/>
      <c r="J142" s="33"/>
    </row>
    <row r="143" spans="1:10" ht="18.75" customHeight="1" x14ac:dyDescent="0.15">
      <c r="A143" s="33"/>
      <c r="B143" s="33"/>
      <c r="C143" s="33"/>
      <c r="D143" s="33"/>
      <c r="E143" s="33"/>
      <c r="F143" s="33"/>
      <c r="G143" s="33"/>
      <c r="H143" s="33"/>
      <c r="I143" s="33"/>
      <c r="J143" s="33"/>
    </row>
    <row r="144" spans="1:10" ht="14.25" x14ac:dyDescent="0.15">
      <c r="A144" s="33"/>
      <c r="B144" s="33"/>
      <c r="C144" s="33"/>
      <c r="D144" s="33"/>
      <c r="E144" s="33"/>
      <c r="F144" s="33"/>
      <c r="G144" s="33"/>
      <c r="H144" s="33"/>
      <c r="I144" s="33"/>
      <c r="J144" s="33"/>
    </row>
    <row r="145" spans="1:10" ht="7.5" customHeight="1" x14ac:dyDescent="0.15">
      <c r="A145" s="96"/>
      <c r="B145" s="96"/>
      <c r="C145" s="96"/>
      <c r="D145" s="96"/>
      <c r="E145" s="96"/>
      <c r="F145" s="96"/>
      <c r="G145" s="96"/>
      <c r="H145" s="96"/>
      <c r="I145" s="96"/>
      <c r="J145" s="96"/>
    </row>
  </sheetData>
  <mergeCells count="11">
    <mergeCell ref="B47:J67"/>
    <mergeCell ref="B70:J87"/>
    <mergeCell ref="B90:J109"/>
    <mergeCell ref="B111:J111"/>
    <mergeCell ref="B112:J130"/>
    <mergeCell ref="B32:J45"/>
    <mergeCell ref="A2:J2"/>
    <mergeCell ref="B5:J5"/>
    <mergeCell ref="B8:J13"/>
    <mergeCell ref="B16:J26"/>
    <mergeCell ref="B31:J31"/>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5" max="9" man="1"/>
    <brk id="88"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50" zoomScaleNormal="100" zoomScaleSheetLayoutView="50"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157</v>
      </c>
      <c r="J1" s="35" t="s">
        <v>158</v>
      </c>
    </row>
    <row r="2" spans="1:11" ht="18.75" customHeight="1" x14ac:dyDescent="0.15">
      <c r="A2" s="243" t="s">
        <v>159</v>
      </c>
      <c r="B2" s="243"/>
      <c r="C2" s="243"/>
      <c r="D2" s="243"/>
      <c r="E2" s="243"/>
      <c r="F2" s="243"/>
      <c r="G2" s="243"/>
      <c r="H2" s="243"/>
      <c r="I2" s="243"/>
      <c r="J2" s="243"/>
    </row>
    <row r="3" spans="1:11" ht="7.5" customHeight="1" x14ac:dyDescent="0.15">
      <c r="A3" s="36"/>
      <c r="B3" s="36"/>
      <c r="C3" s="36"/>
      <c r="D3" s="36"/>
      <c r="E3" s="36"/>
      <c r="F3" s="36"/>
      <c r="G3" s="36"/>
      <c r="H3" s="36"/>
      <c r="I3" s="36"/>
      <c r="J3" s="36"/>
    </row>
    <row r="4" spans="1:11" ht="18.75" customHeight="1" x14ac:dyDescent="0.15">
      <c r="A4" s="1" t="s">
        <v>2</v>
      </c>
      <c r="B4" s="4" t="s">
        <v>160</v>
      </c>
      <c r="C4" s="33"/>
      <c r="D4" s="33"/>
      <c r="E4" s="34"/>
      <c r="F4" s="34"/>
      <c r="G4" s="34"/>
      <c r="H4" s="34"/>
      <c r="I4" s="34"/>
      <c r="J4" s="34"/>
    </row>
    <row r="5" spans="1:11" ht="18.75" customHeight="1" x14ac:dyDescent="0.15">
      <c r="B5" s="286" t="s">
        <v>161</v>
      </c>
      <c r="C5" s="287"/>
      <c r="D5" s="288"/>
      <c r="E5" s="289" t="s">
        <v>162</v>
      </c>
      <c r="F5" s="289"/>
      <c r="G5" s="289"/>
      <c r="H5" s="289"/>
      <c r="I5" s="289"/>
      <c r="J5" s="290"/>
    </row>
    <row r="6" spans="1:11" ht="18.75" customHeight="1" x14ac:dyDescent="0.15">
      <c r="B6" s="3" t="s">
        <v>163</v>
      </c>
      <c r="C6" s="33"/>
      <c r="D6" s="7"/>
      <c r="I6" s="34"/>
      <c r="J6" s="5"/>
    </row>
    <row r="7" spans="1:11" ht="207" customHeight="1" x14ac:dyDescent="0.15">
      <c r="B7" s="6"/>
      <c r="C7" s="291" t="s">
        <v>164</v>
      </c>
      <c r="D7" s="292"/>
      <c r="E7" s="283" t="s">
        <v>165</v>
      </c>
      <c r="F7" s="284"/>
      <c r="G7" s="284"/>
      <c r="H7" s="284"/>
      <c r="I7" s="284"/>
      <c r="J7" s="285"/>
      <c r="K7" s="27" t="str">
        <f>IF(E7="","入力してください","")</f>
        <v/>
      </c>
    </row>
    <row r="8" spans="1:11" ht="207" customHeight="1" x14ac:dyDescent="0.15">
      <c r="B8" s="6"/>
      <c r="C8" s="281" t="s">
        <v>166</v>
      </c>
      <c r="D8" s="282"/>
      <c r="E8" s="283" t="s">
        <v>167</v>
      </c>
      <c r="F8" s="284"/>
      <c r="G8" s="284"/>
      <c r="H8" s="284"/>
      <c r="I8" s="284"/>
      <c r="J8" s="285"/>
      <c r="K8" s="27" t="str">
        <f>IF(E8="","入力してください","")</f>
        <v/>
      </c>
    </row>
    <row r="9" spans="1:11" ht="172.5" customHeight="1" x14ac:dyDescent="0.15">
      <c r="B9" s="6"/>
      <c r="C9" s="291" t="s">
        <v>168</v>
      </c>
      <c r="D9" s="292"/>
      <c r="E9" s="283" t="s">
        <v>169</v>
      </c>
      <c r="F9" s="284"/>
      <c r="G9" s="284"/>
      <c r="H9" s="284"/>
      <c r="I9" s="284"/>
      <c r="J9" s="285"/>
      <c r="K9" s="27" t="str">
        <f>IF(E9="","入力してください","")</f>
        <v/>
      </c>
    </row>
    <row r="10" spans="1:11" ht="172.5" customHeight="1" x14ac:dyDescent="0.15">
      <c r="B10" s="6"/>
      <c r="C10" s="291" t="s">
        <v>170</v>
      </c>
      <c r="D10" s="292"/>
      <c r="E10" s="283" t="s">
        <v>205</v>
      </c>
      <c r="F10" s="284"/>
      <c r="G10" s="284"/>
      <c r="H10" s="284"/>
      <c r="I10" s="284"/>
      <c r="J10" s="285"/>
      <c r="K10" s="27" t="str">
        <f t="shared" ref="K10:K14" si="0">IF(E10="","入力してください","")</f>
        <v/>
      </c>
    </row>
    <row r="11" spans="1:11" ht="172.5" customHeight="1" x14ac:dyDescent="0.15">
      <c r="B11" s="6"/>
      <c r="C11" s="291" t="s">
        <v>171</v>
      </c>
      <c r="D11" s="292"/>
      <c r="E11" s="283" t="s">
        <v>172</v>
      </c>
      <c r="F11" s="284"/>
      <c r="G11" s="284"/>
      <c r="H11" s="284"/>
      <c r="I11" s="284"/>
      <c r="J11" s="285"/>
      <c r="K11" s="27" t="str">
        <f t="shared" si="0"/>
        <v/>
      </c>
    </row>
    <row r="12" spans="1:11" ht="18.75" customHeight="1" x14ac:dyDescent="0.15">
      <c r="B12" s="9" t="s">
        <v>173</v>
      </c>
      <c r="C12" s="24"/>
      <c r="D12" s="8"/>
      <c r="E12" s="28"/>
      <c r="F12" s="28"/>
      <c r="G12" s="28"/>
      <c r="H12" s="28"/>
      <c r="I12" s="28"/>
      <c r="J12" s="29"/>
    </row>
    <row r="13" spans="1:11" ht="244.15" customHeight="1" x14ac:dyDescent="0.15">
      <c r="B13" s="6"/>
      <c r="C13" s="291" t="s">
        <v>174</v>
      </c>
      <c r="D13" s="292"/>
      <c r="E13" s="284" t="s">
        <v>175</v>
      </c>
      <c r="F13" s="284"/>
      <c r="G13" s="284"/>
      <c r="H13" s="284"/>
      <c r="I13" s="284"/>
      <c r="J13" s="285"/>
      <c r="K13" s="27" t="str">
        <f t="shared" si="0"/>
        <v/>
      </c>
    </row>
    <row r="14" spans="1:11" ht="255" customHeight="1" x14ac:dyDescent="0.15">
      <c r="B14" s="6"/>
      <c r="C14" s="291" t="s">
        <v>176</v>
      </c>
      <c r="D14" s="292"/>
      <c r="E14" s="284" t="s">
        <v>177</v>
      </c>
      <c r="F14" s="284"/>
      <c r="G14" s="284"/>
      <c r="H14" s="284"/>
      <c r="I14" s="284"/>
      <c r="J14" s="285"/>
      <c r="K14" s="27" t="str">
        <f t="shared" si="0"/>
        <v/>
      </c>
    </row>
    <row r="15" spans="1:11" ht="243" customHeight="1" x14ac:dyDescent="0.15">
      <c r="B15" s="299" t="s">
        <v>178</v>
      </c>
      <c r="C15" s="300"/>
      <c r="D15" s="292"/>
      <c r="E15" s="284" t="s">
        <v>179</v>
      </c>
      <c r="F15" s="284"/>
      <c r="G15" s="284"/>
      <c r="H15" s="284"/>
      <c r="I15" s="284"/>
      <c r="J15" s="285"/>
      <c r="K15" s="27" t="str">
        <f>IF(E15="","入力してください","")</f>
        <v/>
      </c>
    </row>
    <row r="16" spans="1:11" ht="243" customHeight="1" x14ac:dyDescent="0.15">
      <c r="A16" s="27"/>
      <c r="B16" s="293" t="s">
        <v>180</v>
      </c>
      <c r="C16" s="294"/>
      <c r="D16" s="295"/>
      <c r="E16" s="266" t="s">
        <v>181</v>
      </c>
      <c r="F16" s="266"/>
      <c r="G16" s="266"/>
      <c r="H16" s="266"/>
      <c r="I16" s="266"/>
      <c r="J16" s="267"/>
      <c r="K16" s="27" t="str">
        <f>IF(E16="","入力してください","")</f>
        <v/>
      </c>
    </row>
    <row r="17" spans="1:11" ht="7.5" customHeight="1" x14ac:dyDescent="0.15">
      <c r="B17" s="33"/>
      <c r="C17" s="33"/>
      <c r="D17" s="33"/>
      <c r="E17" s="34"/>
      <c r="F17" s="34"/>
      <c r="G17" s="34"/>
      <c r="H17" s="34"/>
      <c r="I17" s="34"/>
      <c r="J17" s="34"/>
    </row>
    <row r="18" spans="1:11" ht="18.75" customHeight="1" x14ac:dyDescent="0.15">
      <c r="A18" s="1" t="s">
        <v>182</v>
      </c>
      <c r="B18" s="4"/>
      <c r="C18" s="33"/>
      <c r="D18" s="33"/>
      <c r="E18" s="34"/>
      <c r="F18" s="85"/>
      <c r="G18" s="296" t="s">
        <v>183</v>
      </c>
      <c r="H18" s="297"/>
      <c r="I18" s="297"/>
      <c r="J18" s="298"/>
      <c r="K18" s="27" t="str">
        <f>IF(G18="","入力してください","")</f>
        <v/>
      </c>
    </row>
    <row r="19" spans="1:11" ht="22.5" customHeight="1" x14ac:dyDescent="0.15">
      <c r="B19" s="33"/>
      <c r="C19" s="33"/>
      <c r="D19" s="33"/>
      <c r="E19" s="34"/>
      <c r="F19" s="34"/>
      <c r="G19" s="34"/>
      <c r="H19" s="34"/>
      <c r="I19" s="34"/>
      <c r="J19" s="34"/>
    </row>
    <row r="20" spans="1:11" ht="22.5" customHeight="1" x14ac:dyDescent="0.15">
      <c r="B20" s="33"/>
      <c r="C20" s="33"/>
      <c r="D20" s="33"/>
      <c r="E20" s="34"/>
      <c r="F20" s="34"/>
      <c r="G20" s="34"/>
      <c r="H20" s="34"/>
      <c r="I20" s="34"/>
      <c r="J20" s="34"/>
    </row>
    <row r="21" spans="1:11" ht="22.5" customHeight="1" x14ac:dyDescent="0.15">
      <c r="B21" s="33"/>
      <c r="C21" s="33"/>
      <c r="D21" s="33"/>
      <c r="E21" s="34"/>
      <c r="F21" s="34"/>
      <c r="G21" s="34"/>
      <c r="H21" s="34"/>
      <c r="I21" s="34"/>
      <c r="J21" s="34"/>
    </row>
    <row r="22" spans="1:11" ht="22.5" customHeight="1" x14ac:dyDescent="0.15">
      <c r="B22" s="33"/>
      <c r="C22" s="33"/>
      <c r="D22" s="33"/>
      <c r="E22" s="34"/>
      <c r="F22" s="34"/>
      <c r="G22" s="34"/>
      <c r="H22" s="34"/>
      <c r="I22" s="34"/>
      <c r="J22" s="34"/>
    </row>
    <row r="23" spans="1:11" ht="22.5" customHeight="1" x14ac:dyDescent="0.15">
      <c r="B23" s="33"/>
      <c r="C23" s="33"/>
      <c r="D23" s="33"/>
      <c r="E23" s="34"/>
      <c r="F23" s="34"/>
      <c r="G23" s="34"/>
      <c r="H23" s="34"/>
      <c r="I23" s="34"/>
      <c r="J23" s="34"/>
    </row>
    <row r="24" spans="1:11" ht="22.5" customHeight="1" x14ac:dyDescent="0.15">
      <c r="B24" s="97"/>
      <c r="C24" s="97"/>
      <c r="D24" s="97"/>
      <c r="E24" s="97"/>
      <c r="F24" s="97"/>
      <c r="G24" s="97"/>
      <c r="H24" s="97"/>
      <c r="I24" s="97"/>
      <c r="J24" s="97"/>
    </row>
    <row r="25" spans="1:11" ht="22.5" customHeight="1" x14ac:dyDescent="0.15">
      <c r="B25" s="97"/>
      <c r="C25" s="97"/>
      <c r="D25" s="97"/>
      <c r="E25" s="97"/>
      <c r="F25" s="97"/>
      <c r="G25" s="97"/>
      <c r="H25" s="97"/>
      <c r="I25" s="97"/>
      <c r="J25" s="97"/>
    </row>
    <row r="26" spans="1:11" ht="22.5" customHeight="1" x14ac:dyDescent="0.15">
      <c r="B26" s="97"/>
      <c r="C26" s="97"/>
      <c r="D26" s="97"/>
      <c r="E26" s="97"/>
      <c r="F26" s="97"/>
      <c r="G26" s="97"/>
      <c r="H26" s="97"/>
      <c r="I26" s="97"/>
      <c r="J26" s="9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E349E5C-C755-4565-BA81-5F476E2BCC35}"/>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様式２-２　プログラムを構成する授業科目</vt:lpstr>
      <vt:lpstr>様式２-3　プログラムを構成する授業科目</vt:lpstr>
      <vt:lpstr>様式２-4　プログラムを構成する授業科目</vt:lpstr>
      <vt:lpstr>様式２-5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'様式２-3　プログラムを構成する授業科目'!Print_Area</vt:lpstr>
      <vt:lpstr>'様式２-4　プログラムを構成する授業科目'!Print_Area</vt:lpstr>
      <vt:lpstr>'様式２-5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淺香　樹</cp:lastModifiedBy>
  <cp:revision/>
  <cp:lastPrinted>2022-05-20T02:40:34Z</cp:lastPrinted>
  <dcterms:created xsi:type="dcterms:W3CDTF">2011-06-14T05:32:50Z</dcterms:created>
  <dcterms:modified xsi:type="dcterms:W3CDTF">2022-05-26T04:52:32Z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